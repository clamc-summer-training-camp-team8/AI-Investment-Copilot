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comments1.xml" ContentType="application/vnd.openxmlformats-officedocument.spreadsheetml.comments+xml"/>
  <Override PartName="/xl/threadedcomments/threadedcomment.xml" ContentType="application/vnd.ms-excel.threadedcomments+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49e409c39872402a" /></Relationships>
</file>

<file path=xl/workbook.xml><?xml version="1.0" encoding="utf-8"?>
<x:workbook xmlns:x="http://schemas.openxmlformats.org/spreadsheetml/2006/main">
  <x:sheets>
    <x:sheet xmlns:r="http://schemas.openxmlformats.org/officeDocument/2006/relationships" name="v5盲标" sheetId="1" r:id="Rf5d7c2121c7a42a6"/>
    <x:sheet xmlns:r="http://schemas.openxmlformats.org/officeDocument/2006/relationships" name="标注说明" sheetId="2" r:id="R4f04d68887bf4197"/>
    <x:sheet xmlns:r="http://schemas.openxmlformats.org/officeDocument/2006/relationships" name="质检概览" sheetId="3" r:id="Rf579645a98c34bb2"/>
  </x:sheets>
</x:workbook>
</file>

<file path=xl/comments1.xml><?xml version="1.0" encoding="utf-8"?>
<x:comments xmlns:x="http://schemas.openxmlformats.org/spreadsheetml/2006/main">
  <x:authors>
    <x:author>tc={7626C5C7-CBE3-E096-1AE2-1D344D99071B}</x:author>
    <x:author>tc={4D02F1D4-CC10-075E-FECB-7EBAC8A356BD}</x:author>
    <x:author>tc={B20B7AFC-BAF8-3878-CED8-11E924504F31}</x:author>
  </x:authors>
  <x:commentList>
    <x:comment ref="N1" authorId="0">
      <x:text>
        <x:r>
          <x:t>[Threaded comment]
Your version of Excel allows you to read this threaded comment; however, any edits to it will get removed if the file is opened in a newer version of Excel. Learn more: https://go.microsoft.com/fwlink/?linkid=870924
Comment:
    必须从下拉列表选择：0-无关、1-弱相关、2-间接相关或3-直接相关。</x:t>
        </x:r>
      </x:text>
    </x:comment>
    <x:comment ref="P1" authorId="1">
      <x:text>
        <x:r>
          <x:t>[Threaded comment]
Your version of Excel allows you to read this threaded comment; however, any edits to it will get removed if the file is opened in a newer version of Excel. Learn more: https://go.microsoft.com/fwlink/?linkid=870924
Comment:
    请写出可复核的判断依据，说明候选原文如何影响查询假设，不能只写‘相关’或‘无关’。</x:t>
        </x:r>
      </x:text>
    </x:comment>
    <x:comment ref="R1" authorId="2">
      <x:text>
        <x:r>
          <x:t>[Threaded comment]
Your version of Excel allows you to read this threaded comment; however, any edits to it will get removed if the file is opened in a newer version of Excel. Learn more: https://go.microsoft.com/fwlink/?linkid=870924
Comment:
    请按 ISO 8601 且带时区填写，例如 2026-08-28T10:30:00+08:00。</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
    <x:numFmt numFmtId="201" formatCode="yyyy-mm-dd hh:mm:ss"/>
    <x:numFmt numFmtId="202" formatCode="0.0%"/>
  </x:numFmts>
  <x:fonts count="8">
    <x:font>
      <x:sz val="11"/>
      <x:name val="Carlito"/>
    </x:font>
    <x:font>
      <x:sz val="10"/>
      <x:color rgb="FF1F2937"/>
      <x:name val="Microsoft YaHei"/>
    </x:font>
    <x:font>
      <x:b/>
      <x:sz val="10"/>
      <x:color rgb="FFFFFFFF"/>
      <x:name val="Microsoft YaHei"/>
    </x:font>
    <x:font>
      <x:b/>
      <x:sz val="20"/>
      <x:color rgb="FFFFFFFF"/>
      <x:name val="Microsoft YaHei"/>
    </x:font>
    <x:font>
      <x:sz val="11"/>
      <x:color rgb="FF1F2937"/>
      <x:name val="Microsoft YaHei"/>
    </x:font>
    <x:font>
      <x:b/>
      <x:sz val="10"/>
      <x:color rgb="FF17324D"/>
      <x:name val="Microsoft YaHei"/>
    </x:font>
    <x:font>
      <x:b/>
      <x:sz val="12"/>
      <x:color rgb="FFFFFFFF"/>
      <x:name val="Microsoft YaHei"/>
    </x:font>
    <x:font>
      <x:b/>
      <x:sz val="18"/>
      <x:color rgb="FFFFFFFF"/>
      <x:name val="Microsoft YaHei"/>
    </x:font>
  </x:fonts>
  <x:fills count="8">
    <x:fill>
      <x:patternFill patternType="none"/>
    </x:fill>
    <x:fill>
      <x:patternFill patternType="gray125"/>
    </x:fill>
    <x:fill>
      <x:patternFill patternType="solid">
        <x:fgColor rgb="FF17324D"/>
      </x:patternFill>
    </x:fill>
    <x:fill>
      <x:patternFill patternType="solid">
        <x:fgColor rgb="FFFFFFFF"/>
      </x:patternFill>
    </x:fill>
    <x:fill>
      <x:patternFill patternType="solid">
        <x:fgColor rgb="FFFFF6D8"/>
      </x:patternFill>
    </x:fill>
    <x:fill>
      <x:patternFill patternType="solid">
        <x:fgColor rgb="FFEAF2F8"/>
      </x:patternFill>
    </x:fill>
    <x:fill>
      <x:patternFill patternType="solid">
        <x:fgColor rgb="FFDCE6F1"/>
      </x:patternFill>
    </x:fill>
    <x:fill>
      <x:patternFill patternType="solid">
        <x:fgColor rgb="FF2F6690"/>
      </x:patternFill>
    </x:fill>
  </x:fills>
  <x:borders count="28">
    <x:border/>
    <x:border/>
    <x:border>
      <x:left style="medium">
        <x:color rgb="FF17324D"/>
      </x:left>
      <x:top style="medium">
        <x:color rgb="FF17324D"/>
      </x:top>
      <x:bottom style="medium">
        <x:color rgb="FF17324D"/>
      </x:bottom>
    </x:border>
    <x:border>
      <x:top style="medium">
        <x:color rgb="FF17324D"/>
      </x:top>
      <x:bottom style="medium">
        <x:color rgb="FF17324D"/>
      </x:bottom>
    </x:border>
    <x:border>
      <x:right style="medium">
        <x:color rgb="FF17324D"/>
      </x:right>
      <x:top style="medium">
        <x:color rgb="FF17324D"/>
      </x:top>
      <x:bottom style="medium">
        <x:color rgb="FF17324D"/>
      </x:bottom>
    </x:border>
    <x:border>
      <x:left style="medium">
        <x:color rgb="FF17324D"/>
      </x:left>
      <x:top style="medium">
        <x:color rgb="FF17324D"/>
      </x:top>
      <x:bottom style="medium">
        <x:color rgb="FF17324D"/>
      </x:bottom>
    </x:border>
    <x:border>
      <x:top style="medium">
        <x:color rgb="FF17324D"/>
      </x:top>
      <x:bottom style="medium">
        <x:color rgb="FF17324D"/>
      </x:bottom>
    </x:border>
    <x:border>
      <x:right style="medium">
        <x:color rgb="FF17324D"/>
      </x:right>
      <x:top style="medium">
        <x:color rgb="FF17324D"/>
      </x:top>
      <x:bottom style="medium">
        <x:color rgb="FF17324D"/>
      </x:bottom>
    </x:border>
    <x:border>
      <x:bottom style="thin">
        <x:color rgb="FFD6DEE6"/>
      </x:bottom>
    </x:border>
    <x:border>
      <x:top style="thin">
        <x:color rgb="FFD6DEE6"/>
      </x:top>
      <x:bottom style="thin">
        <x:color rgb="FFD6DEE6"/>
      </x:bottom>
    </x:border>
    <x:border>
      <x:top style="thin">
        <x:color rgb="FFD6DEE6"/>
      </x:top>
    </x:border>
    <x:border>
      <x:bottom style="thin">
        <x:color rgb="FFD6DEE6"/>
      </x:bottom>
    </x:border>
    <x:border>
      <x:top style="thin">
        <x:color rgb="FFD6DEE6"/>
      </x:top>
      <x:bottom style="thin">
        <x:color rgb="FFD6DEE6"/>
      </x:bottom>
    </x:border>
    <x:border>
      <x:top style="thin">
        <x:color rgb="FFD6DEE6"/>
      </x:top>
    </x:border>
    <x:border>
      <x:left style="thin">
        <x:color rgb="FF2F6690"/>
      </x:left>
      <x:top style="thin">
        <x:color rgb="FF2F6690"/>
      </x:top>
    </x:border>
    <x:border>
      <x:top style="thin">
        <x:color rgb="FF2F6690"/>
      </x:top>
    </x:border>
    <x:border>
      <x:right style="thin">
        <x:color rgb="FF2F6690"/>
      </x:right>
      <x:top style="thin">
        <x:color rgb="FF2F6690"/>
      </x:top>
    </x:border>
    <x:border>
      <x:left style="thin">
        <x:color rgb="FF2F6690"/>
      </x:left>
      <x:bottom style="thin">
        <x:color rgb="FF2F6690"/>
      </x:bottom>
    </x:border>
    <x:border>
      <x:bottom style="thin">
        <x:color rgb="FF2F6690"/>
      </x:bottom>
    </x:border>
    <x:border>
      <x:right style="thin">
        <x:color rgb="FF2F6690"/>
      </x:right>
      <x:bottom style="thin">
        <x:color rgb="FF2F6690"/>
      </x:bottom>
    </x:border>
    <x:border>
      <x:left style="thin">
        <x:color rgb="FF2F6690"/>
      </x:left>
      <x:top style="thin">
        <x:color rgb="FF2F6690"/>
      </x:top>
    </x:border>
    <x:border>
      <x:top style="thin">
        <x:color rgb="FF2F6690"/>
      </x:top>
    </x:border>
    <x:border>
      <x:right style="thin">
        <x:color rgb="FF2F6690"/>
      </x:right>
      <x:top style="thin">
        <x:color rgb="FF2F6690"/>
      </x:top>
    </x:border>
    <x:border>
      <x:left style="thin">
        <x:color rgb="FF2F6690"/>
      </x:left>
      <x:bottom style="thin">
        <x:color rgb="FF2F6690"/>
      </x:bottom>
    </x:border>
    <x:border>
      <x:bottom style="thin">
        <x:color rgb="FF2F6690"/>
      </x:bottom>
    </x:border>
    <x:border>
      <x:right style="thin">
        <x:color rgb="FF2F6690"/>
      </x:right>
      <x:bottom style="thin">
        <x:color rgb="FF2F6690"/>
      </x:bottom>
    </x:border>
    <x:border>
      <x:left style="thin">
        <x:color rgb="FFD6DEE6"/>
      </x:left>
      <x:right style="thin">
        <x:color rgb="FFD6DEE6"/>
      </x:right>
      <x:top style="thin">
        <x:color rgb="FFD6DEE6"/>
      </x:top>
      <x:bottom style="thin">
        <x:color rgb="FFD6DEE6"/>
      </x:bottom>
    </x:border>
    <x:border>
      <x:left style="thin">
        <x:color rgb="FFD6DEE6"/>
      </x:left>
      <x:right style="thin">
        <x:color rgb="FFD6DEE6"/>
      </x:right>
      <x:top style="thin">
        <x:color rgb="FFD6DEE6"/>
      </x:top>
      <x:bottom style="thin">
        <x:color rgb="FFD6DEE6"/>
      </x:bottom>
    </x:border>
  </x:borders>
  <x:cellStyleXfs count="1">
    <x:xf numFmtId="0" fontId="0" fillId="0" borderId="0"/>
  </x:cellStyleXfs>
  <x:cellXfs count="193">
    <x:xf numFmtId="0" fontId="0" fillId="0" borderId="0" xfId="0"/>
    <x:xf numFmtId="0" fontId="0" fillId="0" borderId="1" xfId="0" applyNumberFormat="1" applyFont="1" applyFill="1" applyBorder="1"/>
    <x:xf numFmtId="0" fontId="1" fillId="0" borderId="0" xfId="0" applyNumberFormat="1" applyFont="1" applyFill="1" applyBorder="1"/>
    <x:xf numFmtId="0" fontId="1" fillId="0" borderId="1" xfId="0" applyNumberFormat="1" applyFont="1" applyFill="1" applyBorder="1"/>
    <x:xf numFmtId="0" fontId="1" fillId="0" borderId="0" xfId="0" applyNumberFormat="1" applyFont="1" applyFill="1" applyBorder="1" applyAlignment="1">
      <x:alignment vertical="top"/>
    </x:xf>
    <x:xf numFmtId="0" fontId="1" fillId="0" borderId="1" xfId="0" applyNumberFormat="1" applyFont="1" applyFill="1" applyBorder="1" applyAlignment="1">
      <x:alignment vertical="top"/>
    </x:xf>
    <x:xf numFmtId="0" fontId="1" fillId="2" borderId="0" xfId="0" applyNumberFormat="1" applyFont="1" applyFill="1" applyBorder="1" applyAlignment="1">
      <x:alignment vertical="top"/>
    </x:xf>
    <x:xf numFmtId="0" fontId="1" fillId="2" borderId="1" xfId="0" applyNumberFormat="1" applyFont="1" applyFill="1" applyBorder="1" applyAlignment="1">
      <x:alignment vertical="top"/>
    </x:xf>
    <x:xf numFmtId="0" fontId="2" fillId="2" borderId="0" xfId="0" applyNumberFormat="1" applyFont="1" applyFill="1" applyBorder="1" applyAlignment="1">
      <x:alignment vertical="top"/>
    </x:xf>
    <x:xf numFmtId="0" fontId="2" fillId="2" borderId="1" xfId="0" applyNumberFormat="1" applyFont="1" applyFill="1" applyBorder="1" applyAlignment="1">
      <x:alignment vertical="top"/>
    </x:xf>
    <x:xf numFmtId="0" fontId="2" fillId="2" borderId="2" xfId="0" applyNumberFormat="1" applyFont="1" applyFill="1" applyBorder="1" applyAlignment="1">
      <x:alignment vertical="top"/>
    </x:xf>
    <x:xf numFmtId="0" fontId="2" fillId="2" borderId="3" xfId="0" applyNumberFormat="1" applyFont="1" applyFill="1" applyBorder="1" applyAlignment="1">
      <x:alignment vertical="top"/>
    </x:xf>
    <x:xf numFmtId="0" fontId="2" fillId="2" borderId="4" xfId="0" applyNumberFormat="1" applyFont="1" applyFill="1" applyBorder="1" applyAlignment="1">
      <x:alignment vertical="top"/>
    </x:xf>
    <x:xf numFmtId="0" fontId="2" fillId="2" borderId="5" xfId="0" applyNumberFormat="1" applyFont="1" applyFill="1" applyBorder="1" applyAlignment="1">
      <x:alignment vertical="top"/>
    </x:xf>
    <x:xf numFmtId="0" fontId="2" fillId="2" borderId="6" xfId="0" applyNumberFormat="1" applyFont="1" applyFill="1" applyBorder="1" applyAlignment="1">
      <x:alignment vertical="top"/>
    </x:xf>
    <x:xf numFmtId="0" fontId="2" fillId="2" borderId="7" xfId="0" applyNumberFormat="1" applyFont="1" applyFill="1" applyBorder="1" applyAlignment="1">
      <x:alignment vertical="top"/>
    </x:xf>
    <x:xf numFmtId="0" fontId="2" fillId="2" borderId="2" xfId="0" applyNumberFormat="1" applyFont="1" applyFill="1" applyBorder="1" applyAlignment="1">
      <x:alignment vertical="top" wrapText="1"/>
    </x:xf>
    <x:xf numFmtId="0" fontId="2" fillId="2" borderId="3" xfId="0" applyNumberFormat="1" applyFont="1" applyFill="1" applyBorder="1" applyAlignment="1">
      <x:alignment vertical="top" wrapText="1"/>
    </x:xf>
    <x:xf numFmtId="0" fontId="2" fillId="2" borderId="4" xfId="0" applyNumberFormat="1" applyFont="1" applyFill="1" applyBorder="1" applyAlignment="1">
      <x:alignment vertical="top" wrapText="1"/>
    </x:xf>
    <x:xf numFmtId="0" fontId="2" fillId="2" borderId="5" xfId="0" applyNumberFormat="1" applyFont="1" applyFill="1" applyBorder="1" applyAlignment="1">
      <x:alignment vertical="top" wrapText="1"/>
    </x:xf>
    <x:xf numFmtId="0" fontId="2" fillId="2" borderId="6" xfId="0" applyNumberFormat="1" applyFont="1" applyFill="1" applyBorder="1" applyAlignment="1">
      <x:alignment vertical="top" wrapText="1"/>
    </x:xf>
    <x:xf numFmtId="0" fontId="2" fillId="2" borderId="7" xfId="0" applyNumberFormat="1" applyFont="1" applyFill="1" applyBorder="1" applyAlignment="1">
      <x:alignment vertical="top" wrapText="1"/>
    </x:xf>
    <x:xf numFmtId="0" fontId="2" fillId="2" borderId="2" xfId="0" applyNumberFormat="1" applyFont="1" applyFill="1" applyBorder="1" applyAlignment="1">
      <x:alignment horizontal="center" vertical="top" wrapText="1"/>
    </x:xf>
    <x:xf numFmtId="0" fontId="2" fillId="2" borderId="3" xfId="0" applyNumberFormat="1" applyFont="1" applyFill="1" applyBorder="1" applyAlignment="1">
      <x:alignment horizontal="center" vertical="top" wrapText="1"/>
    </x:xf>
    <x:xf numFmtId="0" fontId="2" fillId="2" borderId="4" xfId="0" applyNumberFormat="1" applyFont="1" applyFill="1" applyBorder="1" applyAlignment="1">
      <x:alignment horizontal="center" vertical="top" wrapText="1"/>
    </x:xf>
    <x:xf numFmtId="0" fontId="2" fillId="2" borderId="5" xfId="0" applyNumberFormat="1" applyFont="1" applyFill="1" applyBorder="1" applyAlignment="1">
      <x:alignment horizontal="center" vertical="top" wrapText="1"/>
    </x:xf>
    <x:xf numFmtId="0" fontId="2" fillId="2" borderId="6" xfId="0" applyNumberFormat="1" applyFont="1" applyFill="1" applyBorder="1" applyAlignment="1">
      <x:alignment horizontal="center" vertical="top" wrapText="1"/>
    </x:xf>
    <x:xf numFmtId="0" fontId="2" fillId="2" borderId="7" xfId="0" applyNumberFormat="1" applyFont="1" applyFill="1" applyBorder="1" applyAlignment="1">
      <x:alignment horizontal="center" vertical="top" wrapText="1"/>
    </x:xf>
    <x:xf numFmtId="0" fontId="2" fillId="2" borderId="2" xfId="0" applyNumberFormat="1" applyFont="1" applyFill="1" applyBorder="1" applyAlignment="1">
      <x:alignment horizontal="center" vertical="center" wrapText="1"/>
    </x:xf>
    <x:xf numFmtId="0" fontId="2" fillId="2" borderId="3" xfId="0" applyNumberFormat="1" applyFont="1" applyFill="1" applyBorder="1" applyAlignment="1">
      <x:alignment horizontal="center" vertical="center" wrapText="1"/>
    </x:xf>
    <x:xf numFmtId="0" fontId="2" fillId="2" borderId="4" xfId="0" applyNumberFormat="1" applyFont="1" applyFill="1" applyBorder="1" applyAlignment="1">
      <x:alignment horizontal="center" vertical="center" wrapText="1"/>
    </x:xf>
    <x:xf numFmtId="0" fontId="2" fillId="2" borderId="5" xfId="0" applyNumberFormat="1" applyFont="1" applyFill="1" applyBorder="1" applyAlignment="1">
      <x:alignment horizontal="center" vertical="center" wrapText="1"/>
    </x:xf>
    <x:xf numFmtId="0" fontId="2" fillId="2" borderId="6" xfId="0" applyNumberFormat="1" applyFont="1" applyFill="1" applyBorder="1" applyAlignment="1">
      <x:alignment horizontal="center" vertical="center" wrapText="1"/>
    </x:xf>
    <x:xf numFmtId="0" fontId="2" fillId="2" borderId="7" xfId="0" applyNumberFormat="1" applyFont="1" applyFill="1" applyBorder="1" applyAlignment="1">
      <x:alignment horizontal="center" vertical="center" wrapText="1"/>
    </x:xf>
    <x:xf numFmtId="0" fontId="1" fillId="3" borderId="0" xfId="0" applyNumberFormat="1" applyFont="1" applyFill="1" applyBorder="1" applyAlignment="1">
      <x:alignment vertical="top"/>
    </x:xf>
    <x:xf numFmtId="0" fontId="1" fillId="3" borderId="1" xfId="0" applyNumberFormat="1" applyFont="1" applyFill="1" applyBorder="1" applyAlignment="1">
      <x:alignment vertical="top"/>
    </x:xf>
    <x:xf numFmtId="0" fontId="1" fillId="4" borderId="0" xfId="0" applyNumberFormat="1" applyFont="1" applyFill="1" applyBorder="1" applyAlignment="1">
      <x:alignment vertical="top"/>
    </x:xf>
    <x:xf numFmtId="0" fontId="1" fillId="4" borderId="1" xfId="0" applyNumberFormat="1" applyFont="1" applyFill="1" applyBorder="1" applyAlignment="1">
      <x:alignment vertical="top"/>
    </x:xf>
    <x:xf numFmtId="0" fontId="1" fillId="3" borderId="8" xfId="0" applyNumberFormat="1" applyFont="1" applyFill="1" applyBorder="1" applyAlignment="1">
      <x:alignment vertical="top"/>
    </x:xf>
    <x:xf numFmtId="0" fontId="1" fillId="4" borderId="8" xfId="0" applyNumberFormat="1" applyFont="1" applyFill="1" applyBorder="1" applyAlignment="1">
      <x:alignment vertical="top"/>
    </x:xf>
    <x:xf numFmtId="0" fontId="1" fillId="3" borderId="9" xfId="0" applyNumberFormat="1" applyFont="1" applyFill="1" applyBorder="1" applyAlignment="1">
      <x:alignment vertical="top"/>
    </x:xf>
    <x:xf numFmtId="0" fontId="1" fillId="4" borderId="9" xfId="0" applyNumberFormat="1" applyFont="1" applyFill="1" applyBorder="1" applyAlignment="1">
      <x:alignment vertical="top"/>
    </x:xf>
    <x:xf numFmtId="0" fontId="1" fillId="3" borderId="10" xfId="0" applyNumberFormat="1" applyFont="1" applyFill="1" applyBorder="1" applyAlignment="1">
      <x:alignment vertical="top"/>
    </x:xf>
    <x:xf numFmtId="0" fontId="1" fillId="4" borderId="10" xfId="0" applyNumberFormat="1" applyFont="1" applyFill="1" applyBorder="1" applyAlignment="1">
      <x:alignment vertical="top"/>
    </x:xf>
    <x:xf numFmtId="0" fontId="1" fillId="3" borderId="11" xfId="0" applyNumberFormat="1" applyFont="1" applyFill="1" applyBorder="1" applyAlignment="1">
      <x:alignment vertical="top"/>
    </x:xf>
    <x:xf numFmtId="0" fontId="1" fillId="4" borderId="11" xfId="0" applyNumberFormat="1" applyFont="1" applyFill="1" applyBorder="1" applyAlignment="1">
      <x:alignment vertical="top"/>
    </x:xf>
    <x:xf numFmtId="0" fontId="1" fillId="3" borderId="12" xfId="0" applyNumberFormat="1" applyFont="1" applyFill="1" applyBorder="1" applyAlignment="1">
      <x:alignment vertical="top"/>
    </x:xf>
    <x:xf numFmtId="0" fontId="1" fillId="4" borderId="12" xfId="0" applyNumberFormat="1" applyFont="1" applyFill="1" applyBorder="1" applyAlignment="1">
      <x:alignment vertical="top"/>
    </x:xf>
    <x:xf numFmtId="0" fontId="1" fillId="3" borderId="13" xfId="0" applyNumberFormat="1" applyFont="1" applyFill="1" applyBorder="1" applyAlignment="1">
      <x:alignment vertical="top"/>
    </x:xf>
    <x:xf numFmtId="0" fontId="1" fillId="4" borderId="13" xfId="0" applyNumberFormat="1" applyFont="1" applyFill="1" applyBorder="1" applyAlignment="1">
      <x:alignment vertical="top"/>
    </x:xf>
    <x:xf numFmtId="0" fontId="1" fillId="3" borderId="8" xfId="0" applyNumberFormat="1" applyFont="1" applyFill="1" applyBorder="1" applyAlignment="1">
      <x:alignment vertical="top" wrapText="1"/>
    </x:xf>
    <x:xf numFmtId="0" fontId="1" fillId="3" borderId="9" xfId="0" applyNumberFormat="1" applyFont="1" applyFill="1" applyBorder="1" applyAlignment="1">
      <x:alignment vertical="top" wrapText="1"/>
    </x:xf>
    <x:xf numFmtId="0" fontId="1" fillId="3" borderId="10" xfId="0" applyNumberFormat="1" applyFont="1" applyFill="1" applyBorder="1" applyAlignment="1">
      <x:alignment vertical="top" wrapText="1"/>
    </x:xf>
    <x:xf numFmtId="0" fontId="1" fillId="3" borderId="11" xfId="0" applyNumberFormat="1" applyFont="1" applyFill="1" applyBorder="1" applyAlignment="1">
      <x:alignment vertical="top" wrapText="1"/>
    </x:xf>
    <x:xf numFmtId="0" fontId="1" fillId="3" borderId="12" xfId="0" applyNumberFormat="1" applyFont="1" applyFill="1" applyBorder="1" applyAlignment="1">
      <x:alignment vertical="top" wrapText="1"/>
    </x:xf>
    <x:xf numFmtId="0" fontId="1" fillId="3" borderId="13" xfId="0" applyNumberFormat="1" applyFont="1" applyFill="1" applyBorder="1" applyAlignment="1">
      <x:alignment vertical="top" wrapText="1"/>
    </x:xf>
    <x:xf numFmtId="0" fontId="1" fillId="4" borderId="8" xfId="0" applyNumberFormat="1" applyFont="1" applyFill="1" applyBorder="1" applyAlignment="1">
      <x:alignment vertical="top" wrapText="1"/>
    </x:xf>
    <x:xf numFmtId="0" fontId="1" fillId="4" borderId="9" xfId="0" applyNumberFormat="1" applyFont="1" applyFill="1" applyBorder="1" applyAlignment="1">
      <x:alignment vertical="top" wrapText="1"/>
    </x:xf>
    <x:xf numFmtId="0" fontId="1" fillId="4" borderId="10" xfId="0" applyNumberFormat="1" applyFont="1" applyFill="1" applyBorder="1" applyAlignment="1">
      <x:alignment vertical="top" wrapText="1"/>
    </x:xf>
    <x:xf numFmtId="0" fontId="1" fillId="4" borderId="11" xfId="0" applyNumberFormat="1" applyFont="1" applyFill="1" applyBorder="1" applyAlignment="1">
      <x:alignment vertical="top" wrapText="1"/>
    </x:xf>
    <x:xf numFmtId="0" fontId="1" fillId="4" borderId="12" xfId="0" applyNumberFormat="1" applyFont="1" applyFill="1" applyBorder="1" applyAlignment="1">
      <x:alignment vertical="top" wrapText="1"/>
    </x:xf>
    <x:xf numFmtId="0" fontId="1" fillId="4" borderId="13" xfId="0" applyNumberFormat="1" applyFont="1" applyFill="1" applyBorder="1" applyAlignment="1">
      <x:alignment vertical="top" wrapText="1"/>
    </x:xf>
    <x:xf numFmtId="200" fontId="2" fillId="2" borderId="2" xfId="0" applyNumberFormat="1" applyFont="1" applyFill="1" applyBorder="1" applyAlignment="1">
      <x:alignment horizontal="center" vertical="center" wrapText="1"/>
    </x:xf>
    <x:xf numFmtId="200" fontId="1" fillId="3" borderId="8" xfId="0" applyNumberFormat="1" applyFont="1" applyFill="1" applyBorder="1" applyAlignment="1">
      <x:alignment vertical="top"/>
    </x:xf>
    <x:xf numFmtId="200" fontId="1" fillId="3" borderId="9" xfId="0" applyNumberFormat="1" applyFont="1" applyFill="1" applyBorder="1" applyAlignment="1">
      <x:alignment vertical="top"/>
    </x:xf>
    <x:xf numFmtId="200" fontId="1" fillId="3" borderId="10" xfId="0" applyNumberFormat="1" applyFont="1" applyFill="1" applyBorder="1" applyAlignment="1">
      <x:alignment vertical="top"/>
    </x:xf>
    <x:xf numFmtId="200" fontId="2" fillId="2" borderId="5" xfId="0" applyNumberFormat="1" applyFont="1" applyFill="1" applyBorder="1" applyAlignment="1">
      <x:alignment horizontal="center" vertical="center" wrapText="1"/>
    </x:xf>
    <x:xf numFmtId="200" fontId="1" fillId="3" borderId="11" xfId="0" applyNumberFormat="1" applyFont="1" applyFill="1" applyBorder="1" applyAlignment="1">
      <x:alignment vertical="top"/>
    </x:xf>
    <x:xf numFmtId="200" fontId="1" fillId="3" borderId="12" xfId="0" applyNumberFormat="1" applyFont="1" applyFill="1" applyBorder="1" applyAlignment="1">
      <x:alignment vertical="top"/>
    </x:xf>
    <x:xf numFmtId="200" fontId="1" fillId="3" borderId="13" xfId="0" applyNumberFormat="1" applyFont="1" applyFill="1" applyBorder="1" applyAlignment="1">
      <x:alignment vertical="top"/>
    </x:xf>
    <x:xf numFmtId="200" fontId="2" fillId="2" borderId="3" xfId="0" applyNumberFormat="1" applyFont="1" applyFill="1" applyBorder="1" applyAlignment="1">
      <x:alignment horizontal="center" vertical="center" wrapText="1"/>
    </x:xf>
    <x:xf numFmtId="200" fontId="2" fillId="2" borderId="6" xfId="0" applyNumberFormat="1" applyFont="1" applyFill="1" applyBorder="1" applyAlignment="1">
      <x:alignment horizontal="center" vertical="center" wrapText="1"/>
    </x:xf>
    <x:xf numFmtId="200" fontId="1" fillId="3" borderId="8" xfId="0" applyNumberFormat="1" applyFont="1" applyFill="1" applyBorder="1" applyAlignment="1">
      <x:alignment vertical="top" wrapText="1"/>
    </x:xf>
    <x:xf numFmtId="200" fontId="1" fillId="3" borderId="9" xfId="0" applyNumberFormat="1" applyFont="1" applyFill="1" applyBorder="1" applyAlignment="1">
      <x:alignment vertical="top" wrapText="1"/>
    </x:xf>
    <x:xf numFmtId="200" fontId="1" fillId="3" borderId="10" xfId="0" applyNumberFormat="1" applyFont="1" applyFill="1" applyBorder="1" applyAlignment="1">
      <x:alignment vertical="top" wrapText="1"/>
    </x:xf>
    <x:xf numFmtId="200" fontId="1" fillId="3" borderId="11" xfId="0" applyNumberFormat="1" applyFont="1" applyFill="1" applyBorder="1" applyAlignment="1">
      <x:alignment vertical="top" wrapText="1"/>
    </x:xf>
    <x:xf numFmtId="200" fontId="1" fillId="3" borderId="12" xfId="0" applyNumberFormat="1" applyFont="1" applyFill="1" applyBorder="1" applyAlignment="1">
      <x:alignment vertical="top" wrapText="1"/>
    </x:xf>
    <x:xf numFmtId="200" fontId="1" fillId="3" borderId="13" xfId="0" applyNumberFormat="1" applyFont="1" applyFill="1" applyBorder="1" applyAlignment="1">
      <x:alignment vertical="top" wrapText="1"/>
    </x:xf>
    <x:xf numFmtId="200" fontId="2" fillId="2" borderId="4" xfId="0" applyNumberFormat="1" applyFont="1" applyFill="1" applyBorder="1" applyAlignment="1">
      <x:alignment horizontal="center" vertical="center" wrapText="1"/>
    </x:xf>
    <x:xf numFmtId="200" fontId="1" fillId="4" borderId="8" xfId="0" applyNumberFormat="1" applyFont="1" applyFill="1" applyBorder="1" applyAlignment="1">
      <x:alignment vertical="top"/>
    </x:xf>
    <x:xf numFmtId="200" fontId="1" fillId="4" borderId="9" xfId="0" applyNumberFormat="1" applyFont="1" applyFill="1" applyBorder="1" applyAlignment="1">
      <x:alignment vertical="top"/>
    </x:xf>
    <x:xf numFmtId="200" fontId="1" fillId="4" borderId="10" xfId="0" applyNumberFormat="1" applyFont="1" applyFill="1" applyBorder="1" applyAlignment="1">
      <x:alignment vertical="top"/>
    </x:xf>
    <x:xf numFmtId="200" fontId="2" fillId="2" borderId="7" xfId="0" applyNumberFormat="1" applyFont="1" applyFill="1" applyBorder="1" applyAlignment="1">
      <x:alignment horizontal="center" vertical="center" wrapText="1"/>
    </x:xf>
    <x:xf numFmtId="200" fontId="1" fillId="4" borderId="11" xfId="0" applyNumberFormat="1" applyFont="1" applyFill="1" applyBorder="1" applyAlignment="1">
      <x:alignment vertical="top"/>
    </x:xf>
    <x:xf numFmtId="200" fontId="1" fillId="4" borderId="12" xfId="0" applyNumberFormat="1" applyFont="1" applyFill="1" applyBorder="1" applyAlignment="1">
      <x:alignment vertical="top"/>
    </x:xf>
    <x:xf numFmtId="200" fontId="1" fillId="4" borderId="13" xfId="0" applyNumberFormat="1" applyFont="1" applyFill="1" applyBorder="1" applyAlignment="1">
      <x:alignment vertical="top"/>
    </x:xf>
    <x:xf numFmtId="201" fontId="1" fillId="3" borderId="8" xfId="0" applyNumberFormat="1" applyFont="1" applyFill="1" applyBorder="1" applyAlignment="1">
      <x:alignment vertical="top"/>
    </x:xf>
    <x:xf numFmtId="201" fontId="1" fillId="3" borderId="9" xfId="0" applyNumberFormat="1" applyFont="1" applyFill="1" applyBorder="1" applyAlignment="1">
      <x:alignment vertical="top"/>
    </x:xf>
    <x:xf numFmtId="201" fontId="1" fillId="3" borderId="10" xfId="0" applyNumberFormat="1" applyFont="1" applyFill="1" applyBorder="1" applyAlignment="1">
      <x:alignment vertical="top"/>
    </x:xf>
    <x:xf numFmtId="201" fontId="1" fillId="3" borderId="11" xfId="0" applyNumberFormat="1" applyFont="1" applyFill="1" applyBorder="1" applyAlignment="1">
      <x:alignment vertical="top"/>
    </x:xf>
    <x:xf numFmtId="201" fontId="1" fillId="3" borderId="12" xfId="0" applyNumberFormat="1" applyFont="1" applyFill="1" applyBorder="1" applyAlignment="1">
      <x:alignment vertical="top"/>
    </x:xf>
    <x:xf numFmtId="201" fontId="1" fillId="3" borderId="13" xfId="0" applyNumberFormat="1" applyFont="1" applyFill="1" applyBorder="1" applyAlignment="1">
      <x:alignment vertical="top"/>
    </x:xf>
    <x:xf numFmtId="0" fontId="0" fillId="2" borderId="0" xfId="0" applyNumberFormat="1" applyFont="1" applyFill="1" applyBorder="1"/>
    <x:xf numFmtId="0" fontId="0" fillId="2" borderId="1" xfId="0" applyNumberFormat="1" applyFont="1" applyFill="1" applyBorder="1"/>
    <x:xf numFmtId="0" fontId="3" fillId="2" borderId="0" xfId="0" applyNumberFormat="1" applyFont="1" applyFill="1" applyBorder="1"/>
    <x:xf numFmtId="0" fontId="3" fillId="2" borderId="1" xfId="0" applyNumberFormat="1" applyFont="1" applyFill="1" applyBorder="1"/>
    <x:xf numFmtId="0" fontId="3" fillId="2" borderId="0" xfId="0" applyNumberFormat="1" applyFont="1" applyFill="1" applyBorder="1" applyAlignment="1">
      <x:alignment horizontal="left"/>
    </x:xf>
    <x:xf numFmtId="0" fontId="3" fillId="2" borderId="1" xfId="0" applyNumberFormat="1" applyFont="1" applyFill="1" applyBorder="1" applyAlignment="1">
      <x:alignment horizontal="left"/>
    </x:xf>
    <x:xf numFmtId="0" fontId="3" fillId="2" borderId="0" xfId="0" applyNumberFormat="1" applyFont="1" applyFill="1" applyBorder="1" applyAlignment="1">
      <x:alignment horizontal="left" vertical="center"/>
    </x:xf>
    <x:xf numFmtId="0" fontId="3" fillId="2" borderId="1" xfId="0" applyNumberFormat="1" applyFont="1" applyFill="1" applyBorder="1" applyAlignment="1">
      <x:alignment horizontal="left" vertical="center"/>
    </x:xf>
    <x:xf numFmtId="0" fontId="1" fillId="5" borderId="0" xfId="0" applyNumberFormat="1" applyFont="1" applyFill="1" applyBorder="1"/>
    <x:xf numFmtId="0" fontId="1" fillId="5" borderId="1" xfId="0" applyNumberFormat="1" applyFont="1" applyFill="1" applyBorder="1"/>
    <x:xf numFmtId="0" fontId="4" fillId="5" borderId="0" xfId="0" applyNumberFormat="1" applyFont="1" applyFill="1" applyBorder="1"/>
    <x:xf numFmtId="0" fontId="4" fillId="5" borderId="1" xfId="0" applyNumberFormat="1" applyFont="1" applyFill="1" applyBorder="1"/>
    <x:xf numFmtId="0" fontId="4" fillId="5" borderId="14" xfId="0" applyNumberFormat="1" applyFont="1" applyFill="1" applyBorder="1"/>
    <x:xf numFmtId="0" fontId="4" fillId="5" borderId="15" xfId="0" applyNumberFormat="1" applyFont="1" applyFill="1" applyBorder="1"/>
    <x:xf numFmtId="0" fontId="4" fillId="5" borderId="16" xfId="0" applyNumberFormat="1" applyFont="1" applyFill="1" applyBorder="1"/>
    <x:xf numFmtId="0" fontId="4" fillId="5" borderId="17" xfId="0" applyNumberFormat="1" applyFont="1" applyFill="1" applyBorder="1"/>
    <x:xf numFmtId="0" fontId="4" fillId="5" borderId="18" xfId="0" applyNumberFormat="1" applyFont="1" applyFill="1" applyBorder="1"/>
    <x:xf numFmtId="0" fontId="4" fillId="5" borderId="19" xfId="0" applyNumberFormat="1" applyFont="1" applyFill="1" applyBorder="1"/>
    <x:xf numFmtId="0" fontId="4" fillId="5" borderId="20" xfId="0" applyNumberFormat="1" applyFont="1" applyFill="1" applyBorder="1"/>
    <x:xf numFmtId="0" fontId="4" fillId="5" borderId="21" xfId="0" applyNumberFormat="1" applyFont="1" applyFill="1" applyBorder="1"/>
    <x:xf numFmtId="0" fontId="4" fillId="5" borderId="22" xfId="0" applyNumberFormat="1" applyFont="1" applyFill="1" applyBorder="1"/>
    <x:xf numFmtId="0" fontId="4" fillId="5" borderId="23" xfId="0" applyNumberFormat="1" applyFont="1" applyFill="1" applyBorder="1"/>
    <x:xf numFmtId="0" fontId="4" fillId="5" borderId="24" xfId="0" applyNumberFormat="1" applyFont="1" applyFill="1" applyBorder="1"/>
    <x:xf numFmtId="0" fontId="4" fillId="5" borderId="25" xfId="0" applyNumberFormat="1" applyFont="1" applyFill="1" applyBorder="1"/>
    <x:xf numFmtId="0" fontId="4" fillId="5" borderId="14" xfId="0" applyNumberFormat="1" applyFont="1" applyFill="1" applyBorder="1" applyAlignment="1">
      <x:alignment wrapText="1"/>
    </x:xf>
    <x:xf numFmtId="0" fontId="4" fillId="5" borderId="15" xfId="0" applyNumberFormat="1" applyFont="1" applyFill="1" applyBorder="1" applyAlignment="1">
      <x:alignment wrapText="1"/>
    </x:xf>
    <x:xf numFmtId="0" fontId="4" fillId="5" borderId="16" xfId="0" applyNumberFormat="1" applyFont="1" applyFill="1" applyBorder="1" applyAlignment="1">
      <x:alignment wrapText="1"/>
    </x:xf>
    <x:xf numFmtId="0" fontId="4" fillId="5" borderId="17" xfId="0" applyNumberFormat="1" applyFont="1" applyFill="1" applyBorder="1" applyAlignment="1">
      <x:alignment wrapText="1"/>
    </x:xf>
    <x:xf numFmtId="0" fontId="4" fillId="5" borderId="18" xfId="0" applyNumberFormat="1" applyFont="1" applyFill="1" applyBorder="1" applyAlignment="1">
      <x:alignment wrapText="1"/>
    </x:xf>
    <x:xf numFmtId="0" fontId="4" fillId="5" borderId="19" xfId="0" applyNumberFormat="1" applyFont="1" applyFill="1" applyBorder="1" applyAlignment="1">
      <x:alignment wrapText="1"/>
    </x:xf>
    <x:xf numFmtId="0" fontId="4" fillId="5" borderId="20" xfId="0" applyNumberFormat="1" applyFont="1" applyFill="1" applyBorder="1" applyAlignment="1">
      <x:alignment wrapText="1"/>
    </x:xf>
    <x:xf numFmtId="0" fontId="4" fillId="5" borderId="21" xfId="0" applyNumberFormat="1" applyFont="1" applyFill="1" applyBorder="1" applyAlignment="1">
      <x:alignment wrapText="1"/>
    </x:xf>
    <x:xf numFmtId="0" fontId="4" fillId="5" borderId="22" xfId="0" applyNumberFormat="1" applyFont="1" applyFill="1" applyBorder="1" applyAlignment="1">
      <x:alignment wrapText="1"/>
    </x:xf>
    <x:xf numFmtId="0" fontId="4" fillId="5" borderId="23" xfId="0" applyNumberFormat="1" applyFont="1" applyFill="1" applyBorder="1" applyAlignment="1">
      <x:alignment wrapText="1"/>
    </x:xf>
    <x:xf numFmtId="0" fontId="4" fillId="5" borderId="24" xfId="0" applyNumberFormat="1" applyFont="1" applyFill="1" applyBorder="1" applyAlignment="1">
      <x:alignment wrapText="1"/>
    </x:xf>
    <x:xf numFmtId="0" fontId="4" fillId="5" borderId="25" xfId="0" applyNumberFormat="1" applyFont="1" applyFill="1" applyBorder="1" applyAlignment="1">
      <x:alignment wrapText="1"/>
    </x:xf>
    <x:xf numFmtId="0" fontId="4" fillId="5" borderId="14" xfId="0" applyNumberFormat="1" applyFont="1" applyFill="1" applyBorder="1" applyAlignment="1">
      <x:alignment vertical="center" wrapText="1"/>
    </x:xf>
    <x:xf numFmtId="0" fontId="4" fillId="5" borderId="15" xfId="0" applyNumberFormat="1" applyFont="1" applyFill="1" applyBorder="1" applyAlignment="1">
      <x:alignment vertical="center" wrapText="1"/>
    </x:xf>
    <x:xf numFmtId="0" fontId="4" fillId="5" borderId="16" xfId="0" applyNumberFormat="1" applyFont="1" applyFill="1" applyBorder="1" applyAlignment="1">
      <x:alignment vertical="center" wrapText="1"/>
    </x:xf>
    <x:xf numFmtId="0" fontId="4" fillId="5" borderId="17" xfId="0" applyNumberFormat="1" applyFont="1" applyFill="1" applyBorder="1" applyAlignment="1">
      <x:alignment vertical="center" wrapText="1"/>
    </x:xf>
    <x:xf numFmtId="0" fontId="4" fillId="5" borderId="18" xfId="0" applyNumberFormat="1" applyFont="1" applyFill="1" applyBorder="1" applyAlignment="1">
      <x:alignment vertical="center" wrapText="1"/>
    </x:xf>
    <x:xf numFmtId="0" fontId="4" fillId="5" borderId="19" xfId="0" applyNumberFormat="1" applyFont="1" applyFill="1" applyBorder="1" applyAlignment="1">
      <x:alignment vertical="center" wrapText="1"/>
    </x:xf>
    <x:xf numFmtId="0" fontId="4" fillId="5" borderId="20" xfId="0" applyNumberFormat="1" applyFont="1" applyFill="1" applyBorder="1" applyAlignment="1">
      <x:alignment vertical="center" wrapText="1"/>
    </x:xf>
    <x:xf numFmtId="0" fontId="4" fillId="5" borderId="21" xfId="0" applyNumberFormat="1" applyFont="1" applyFill="1" applyBorder="1" applyAlignment="1">
      <x:alignment vertical="center" wrapText="1"/>
    </x:xf>
    <x:xf numFmtId="0" fontId="4" fillId="5" borderId="22" xfId="0" applyNumberFormat="1" applyFont="1" applyFill="1" applyBorder="1" applyAlignment="1">
      <x:alignment vertical="center" wrapText="1"/>
    </x:xf>
    <x:xf numFmtId="0" fontId="4" fillId="5" borderId="23" xfId="0" applyNumberFormat="1" applyFont="1" applyFill="1" applyBorder="1" applyAlignment="1">
      <x:alignment vertical="center" wrapText="1"/>
    </x:xf>
    <x:xf numFmtId="0" fontId="4" fillId="5" borderId="24" xfId="0" applyNumberFormat="1" applyFont="1" applyFill="1" applyBorder="1" applyAlignment="1">
      <x:alignment vertical="center" wrapText="1"/>
    </x:xf>
    <x:xf numFmtId="0" fontId="4" fillId="5" borderId="25" xfId="0" applyNumberFormat="1" applyFont="1" applyFill="1" applyBorder="1" applyAlignment="1">
      <x:alignment vertical="center" wrapText="1"/>
    </x:xf>
    <x:xf numFmtId="0" fontId="1" fillId="6" borderId="0" xfId="0" applyNumberFormat="1" applyFont="1" applyFill="1" applyBorder="1"/>
    <x:xf numFmtId="0" fontId="1" fillId="6" borderId="1" xfId="0" applyNumberFormat="1" applyFont="1" applyFill="1" applyBorder="1"/>
    <x:xf numFmtId="0" fontId="5" fillId="6" borderId="0" xfId="0" applyNumberFormat="1" applyFont="1" applyFill="1" applyBorder="1"/>
    <x:xf numFmtId="0" fontId="5" fillId="6" borderId="1" xfId="0" applyNumberFormat="1" applyFont="1" applyFill="1" applyBorder="1"/>
    <x:xf numFmtId="0" fontId="5" fillId="6" borderId="26" xfId="0" applyNumberFormat="1" applyFont="1" applyFill="1" applyBorder="1"/>
    <x:xf numFmtId="0" fontId="1" fillId="0" borderId="26" xfId="0" applyNumberFormat="1" applyFont="1" applyFill="1" applyBorder="1"/>
    <x:xf numFmtId="0" fontId="5" fillId="6" borderId="27" xfId="0" applyNumberFormat="1" applyFont="1" applyFill="1" applyBorder="1"/>
    <x:xf numFmtId="0" fontId="1" fillId="0" borderId="27" xfId="0" applyNumberFormat="1" applyFont="1" applyFill="1" applyBorder="1"/>
    <x:xf numFmtId="0" fontId="1" fillId="7" borderId="0" xfId="0" applyNumberFormat="1" applyFont="1" applyFill="1" applyBorder="1"/>
    <x:xf numFmtId="0" fontId="1" fillId="7" borderId="1" xfId="0" applyNumberFormat="1" applyFont="1" applyFill="1" applyBorder="1"/>
    <x:xf numFmtId="0" fontId="6" fillId="7" borderId="0" xfId="0" applyNumberFormat="1" applyFont="1" applyFill="1" applyBorder="1"/>
    <x:xf numFmtId="0" fontId="6" fillId="7"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2" fillId="2" borderId="0" xfId="0" applyNumberFormat="1" applyFont="1" applyFill="1" applyBorder="1"/>
    <x:xf numFmtId="0" fontId="2" fillId="2" borderId="1" xfId="0" applyNumberFormat="1" applyFont="1" applyFill="1" applyBorder="1"/>
    <x:xf numFmtId="0" fontId="2" fillId="2" borderId="0" xfId="0" applyNumberFormat="1" applyFont="1" applyFill="1" applyBorder="1" applyAlignment="1">
      <x:alignment horizontal="center"/>
    </x:xf>
    <x:xf numFmtId="0" fontId="2" fillId="2" borderId="1" xfId="0" applyNumberFormat="1" applyFont="1" applyFill="1" applyBorder="1" applyAlignment="1">
      <x:alignment horizontal="center"/>
    </x:xf>
    <x:xf numFmtId="0" fontId="2" fillId="2" borderId="26" xfId="0" applyNumberFormat="1" applyFont="1" applyFill="1" applyBorder="1" applyAlignment="1">
      <x:alignment horizontal="center"/>
    </x:xf>
    <x:xf numFmtId="0" fontId="2" fillId="2" borderId="27" xfId="0" applyNumberFormat="1" applyFont="1" applyFill="1" applyBorder="1" applyAlignment="1">
      <x:alignment horizontal="center"/>
    </x:xf>
    <x:xf numFmtId="0" fontId="2" fillId="2" borderId="26" xfId="0" applyNumberFormat="1" applyFont="1" applyFill="1" applyBorder="1" applyAlignment="1">
      <x:alignment horizontal="center" wrapText="1"/>
    </x:xf>
    <x:xf numFmtId="0" fontId="1" fillId="0" borderId="26" xfId="0" applyNumberFormat="1" applyFont="1" applyFill="1" applyBorder="1" applyAlignment="1">
      <x:alignment wrapText="1"/>
    </x:xf>
    <x:xf numFmtId="0" fontId="2" fillId="2" borderId="27" xfId="0" applyNumberFormat="1" applyFont="1" applyFill="1" applyBorder="1" applyAlignment="1">
      <x:alignment horizontal="center" wrapText="1"/>
    </x:xf>
    <x:xf numFmtId="0" fontId="1" fillId="0" borderId="27" xfId="0" applyNumberFormat="1" applyFont="1" applyFill="1" applyBorder="1" applyAlignment="1">
      <x:alignment wrapText="1"/>
    </x:xf>
    <x:xf numFmtId="0" fontId="5" fillId="6" borderId="0" xfId="0" applyNumberFormat="1" applyFont="1" applyFill="1" applyBorder="1" applyAlignment="1">
      <x:alignment horizontal="center"/>
    </x:xf>
    <x:xf numFmtId="0" fontId="5" fillId="6" borderId="1" xfId="0" applyNumberFormat="1" applyFont="1" applyFill="1" applyBorder="1" applyAlignment="1">
      <x:alignment horizontal="center"/>
    </x:xf>
    <x:xf numFmtId="0" fontId="1" fillId="0" borderId="0" xfId="0" applyNumberFormat="1" applyFont="1" applyFill="1" applyBorder="1" applyAlignment="1">
      <x:alignment wrapText="1"/>
    </x:xf>
    <x:xf numFmtId="0" fontId="1" fillId="0" borderId="1" xfId="0" applyNumberFormat="1" applyFont="1" applyFill="1" applyBorder="1" applyAlignment="1">
      <x:alignment wrapText="1"/>
    </x:xf>
    <x:xf numFmtId="0" fontId="1" fillId="0" borderId="0" xfId="0" applyNumberFormat="1" applyFont="1" applyFill="1" applyBorder="1" applyAlignment="1">
      <x:alignment vertical="center" wrapText="1"/>
    </x:xf>
    <x:xf numFmtId="0" fontId="1" fillId="0" borderId="1" xfId="0" applyNumberFormat="1" applyFont="1" applyFill="1" applyBorder="1" applyAlignment="1">
      <x:alignment vertical="center" wrapText="1"/>
    </x:xf>
    <x:xf numFmtId="0" fontId="5" fillId="6" borderId="26" xfId="0" applyNumberFormat="1" applyFont="1" applyFill="1" applyBorder="1" applyAlignment="1">
      <x:alignment horizontal="center"/>
    </x:xf>
    <x:xf numFmtId="0" fontId="1" fillId="0" borderId="26" xfId="0" applyNumberFormat="1" applyFont="1" applyFill="1" applyBorder="1" applyAlignment="1">
      <x:alignment vertical="center" wrapText="1"/>
    </x:xf>
    <x:xf numFmtId="0" fontId="5" fillId="6" borderId="27" xfId="0" applyNumberFormat="1" applyFont="1" applyFill="1" applyBorder="1" applyAlignment="1">
      <x:alignment horizontal="center"/>
    </x:xf>
    <x:xf numFmtId="0" fontId="1" fillId="0" borderId="27" xfId="0" applyNumberFormat="1" applyFont="1" applyFill="1" applyBorder="1" applyAlignment="1">
      <x:alignment vertical="center" wrapText="1"/>
    </x:xf>
    <x:xf numFmtId="0" fontId="7" fillId="2" borderId="0" xfId="0" applyNumberFormat="1" applyFont="1" applyFill="1" applyBorder="1"/>
    <x:xf numFmtId="0" fontId="7" fillId="2" borderId="1" xfId="0" applyNumberFormat="1" applyFont="1" applyFill="1" applyBorder="1"/>
    <x:xf numFmtId="0" fontId="7" fillId="2" borderId="0" xfId="0" applyNumberFormat="1" applyFont="1" applyFill="1" applyBorder="1" applyAlignment="1">
      <x:alignment vertical="center"/>
    </x:xf>
    <x:xf numFmtId="0" fontId="7" fillId="2" borderId="1" xfId="0" applyNumberFormat="1" applyFont="1" applyFill="1" applyBorder="1" applyAlignment="1">
      <x:alignment vertical="center"/>
    </x:xf>
    <x:xf numFmtId="202" fontId="1" fillId="0" borderId="0" xfId="0" applyNumberFormat="1" applyFont="1" applyFill="1" applyBorder="1"/>
    <x:xf numFmtId="202" fontId="1" fillId="0" borderId="1" xfId="0" applyNumberFormat="1" applyFont="1" applyFill="1" applyBorder="1"/>
    <x:xf numFmtId="0" fontId="2" fillId="7" borderId="0" xfId="0" applyNumberFormat="1" applyFont="1" applyFill="1" applyBorder="1"/>
    <x:xf numFmtId="0" fontId="2" fillId="7" borderId="1" xfId="0" applyNumberFormat="1" applyFont="1" applyFill="1" applyBorder="1"/>
    <x:xf numFmtId="0" fontId="5" fillId="5" borderId="0" xfId="0" applyNumberFormat="1" applyFont="1" applyFill="1" applyBorder="1"/>
    <x:xf numFmtId="0" fontId="5" fillId="5" borderId="1" xfId="0" applyNumberFormat="1" applyFont="1" applyFill="1" applyBorder="1"/>
    <x:xf numFmtId="0" fontId="2" fillId="7" borderId="26" xfId="0" applyNumberFormat="1" applyFont="1" applyFill="1" applyBorder="1"/>
    <x:xf numFmtId="0" fontId="5" fillId="5" borderId="26" xfId="0" applyNumberFormat="1" applyFont="1" applyFill="1" applyBorder="1"/>
    <x:xf numFmtId="202" fontId="1" fillId="0" borderId="26" xfId="0" applyNumberFormat="1" applyFont="1" applyFill="1" applyBorder="1"/>
    <x:xf numFmtId="0" fontId="2" fillId="7" borderId="27" xfId="0" applyNumberFormat="1" applyFont="1" applyFill="1" applyBorder="1"/>
    <x:xf numFmtId="0" fontId="5" fillId="5" borderId="27" xfId="0" applyNumberFormat="1" applyFont="1" applyFill="1" applyBorder="1"/>
    <x:xf numFmtId="202" fontId="1" fillId="0" borderId="27" xfId="0" applyNumberFormat="1" applyFont="1" applyFill="1" applyBorder="1"/>
    <x:xf numFmtId="0" fontId="2" fillId="7" borderId="0" xfId="0" applyNumberFormat="1" applyFont="1" applyFill="1" applyBorder="1" applyAlignment="1">
      <x:alignment horizontal="center"/>
    </x:xf>
    <x:xf numFmtId="0" fontId="2" fillId="7" borderId="1" xfId="0" applyNumberFormat="1" applyFont="1" applyFill="1" applyBorder="1" applyAlignment="1">
      <x:alignment horizontal="center"/>
    </x:xf>
    <x:xf numFmtId="0" fontId="2" fillId="7" borderId="26" xfId="0" applyNumberFormat="1" applyFont="1" applyFill="1" applyBorder="1" applyAlignment="1">
      <x:alignment horizontal="center"/>
    </x:xf>
  </x:cellXfs>
  <x:cellStyles count="1">
    <x:cellStyle name="Normal" xfId="0"/>
  </x:cellStyles>
  <x:dxfs count="17">
    <x:dxf>
      <x:fill>
        <x:patternFill>
          <x:bgColor rgb="FFFFF6D8"/>
        </x:patternFill>
      </x:fill>
    </x:dxf>
    <x:dxf>
      <x:fill>
        <x:patternFill>
          <x:bgColor rgb="FFFFF6D8"/>
        </x:patternFill>
      </x:fill>
    </x:dxf>
    <x:dxf>
      <x:fill>
        <x:patternFill>
          <x:bgColor rgb="FFFFF6D8"/>
        </x:patternFill>
      </x:fill>
    </x:dxf>
    <x:dxf>
      <x:fill>
        <x:patternFill>
          <x:bgColor rgb="FFFFF6D8"/>
        </x:patternFill>
      </x:fill>
    </x:dxf>
    <x:dxf>
      <x:fill>
        <x:patternFill>
          <x:bgColor rgb="FFFFF6D8"/>
        </x:patternFill>
      </x:fill>
    </x:dxf>
    <x:dxf>
      <x:font>
        <x:b/>
        <x:color rgb="FF216E39"/>
      </x:font>
      <x:fill>
        <x:patternFill>
          <x:bgColor rgb="FFD9EAD3"/>
        </x:patternFill>
      </x:fill>
    </x:dxf>
    <x:dxf>
      <x:font>
        <x:color rgb="FF1F4E78"/>
      </x:font>
      <x:fill>
        <x:patternFill>
          <x:bgColor rgb="FFDDEBF7"/>
        </x:patternFill>
      </x:fill>
    </x:dxf>
    <x:dxf>
      <x:font>
        <x:color rgb="FF7F6000"/>
      </x:font>
      <x:fill>
        <x:patternFill>
          <x:bgColor rgb="FFFFF2CC"/>
        </x:patternFill>
      </x:fill>
    </x:dxf>
    <x:dxf>
      <x:font>
        <x:color rgb="FF595959"/>
      </x:font>
      <x:fill>
        <x:patternFill>
          <x:bgColor rgb="FFE7E6E6"/>
        </x:patternFill>
      </x:fill>
    </x:dxf>
    <x:dxf>
      <x:font>
        <x:b/>
        <x:color rgb="FF216E39"/>
      </x:font>
      <x:fill>
        <x:patternFill>
          <x:bgColor rgb="FFE8F5E9"/>
        </x:patternFill>
      </x:fill>
    </x:dxf>
    <x:dxf>
      <x:font>
        <x:color rgb="FF595959"/>
      </x:font>
      <x:fill>
        <x:patternFill>
          <x:bgColor rgb="FFF4F6F7"/>
        </x:patternFill>
      </x:fill>
    </x:dxf>
    <x:dxf>
      <x:font>
        <x:b/>
        <x:color rgb="FF216E39"/>
      </x:font>
      <x:fill>
        <x:patternFill>
          <x:bgColor rgb="FFE8F5E9"/>
        </x:patternFill>
      </x:fill>
    </x:dxf>
    <x:dxf>
      <x:font>
        <x:b/>
        <x:color rgb="FF9C0006"/>
      </x:font>
      <x:fill>
        <x:patternFill>
          <x:bgColor rgb="FFFDECEC"/>
        </x:patternFill>
      </x:fill>
    </x:dxf>
    <x:dxf>
      <x:font>
        <x:b/>
        <x:color rgb="FF9C0006"/>
      </x:font>
      <x:fill>
        <x:patternFill>
          <x:bgColor rgb="FFFDECEC"/>
        </x:patternFill>
      </x:fill>
    </x:dxf>
    <x:dxf>
      <x:font>
        <x:b/>
        <x:color rgb="FF216E39"/>
      </x:font>
      <x:fill>
        <x:patternFill>
          <x:bgColor rgb="FFE8F5E9"/>
        </x:patternFill>
      </x:fill>
    </x:dxf>
    <x:dxf>
      <x:font>
        <x:b/>
        <x:color rgb="FF7F6000"/>
      </x:font>
      <x:fill>
        <x:patternFill>
          <x:bgColor rgb="FFFFF6D8"/>
        </x:patternFill>
      </x:fill>
    </x:dxf>
    <x:dxf>
      <x:font>
        <x:color rgb="FF595959"/>
      </x:font>
      <x:fill>
        <x:patternFill>
          <x:bgColor rgb="FFF4F6F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780e2338ed843f3" /><Relationship Type="http://schemas.openxmlformats.org/officeDocument/2006/relationships/theme" Target="/xl/theme/theme1.xml" Id="Rd7669c1be43440a0" /><Relationship Type="http://schemas.openxmlformats.org/officeDocument/2006/relationships/sharedStrings" Target="/xl/sharedStrings.xml" Id="R12c3725d97ab44fd" /><Relationship Type="http://schemas.openxmlformats.org/officeDocument/2006/relationships/worksheet" Target="/xl/worksheets/sheet1.xml" Id="Rf5d7c2121c7a42a6" /><Relationship Type="http://schemas.openxmlformats.org/officeDocument/2006/relationships/worksheet" Target="/xl/worksheets/sheet2.xml" Id="R4f04d68887bf4197" /><Relationship Type="http://schemas.openxmlformats.org/officeDocument/2006/relationships/worksheet" Target="/xl/worksheets/sheet3.xml" Id="Rf579645a98c34bb2" /><Relationship Type="http://schemas.microsoft.com/office/2017/10/relationships/person" Target="/xl/persons/person.xml" Id="R983a298ddb1748cc" /></Relationships>
</file>

<file path=xl/persons/person.xml><?xml version="1.0" encoding="utf-8"?>
<xltc:personList xmlns:xltc="http://schemas.microsoft.com/office/spreadsheetml/2018/threadedcomments">
  <xltc:person displayName="AI Investment Copilot" id="{9870647A-EB5C-4004-B90D-10DDADDB39F2}"/>
</xltc:personList>
</file>

<file path=xl/tables/table1.xml><?xml version="1.0" encoding="utf-8"?>
<x:table xmlns:x="http://schemas.openxmlformats.org/spreadsheetml/2006/main" id="1" name="V5AnnotationTable" displayName="V5AnnotationTable" ref="A1:R301" headerRowCount="1" totalsRowCount="0" totalsRowShown="0">
  <x:autoFilter ref="A1:R301"/>
  <x:tableColumns count="18">
    <x:tableColumn id="1" name="关系样本ID"/>
    <x:tableColumn id="2" name="事件样本ID"/>
    <x:tableColumn id="3" name="查询ID"/>
    <x:tableColumn id="4" name="公司"/>
    <x:tableColumn id="5" name="证券代码"/>
    <x:tableColumn id="6" name="检索截止时间"/>
    <x:tableColumn id="7" name="查询假设"/>
    <x:tableColumn id="8" name="候选文档ID"/>
    <x:tableColumn id="9" name="候选公告标题"/>
    <x:tableColumn id="10" name="候选发布日期"/>
    <x:tableColumn id="11" name="候选原文链接"/>
    <x:tableColumn id="12" name="关键证据定位"/>
    <x:tableColumn id="13" name="关键证据原文"/>
    <x:tableColumn id="14" name="相关性等级"/>
    <x:tableColumn id="15" name="关系路径可成立"/>
    <x:tableColumn id="16" name="标注理由"/>
    <x:tableColumn id="17" name="标注员"/>
    <x:tableColumn id="18" name="标注时间"/>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threadedcomments/threadedcomment.xml><?xml version="1.0" encoding="utf-8"?>
<xltc:ThreadedComments xmlns:xltc="http://schemas.microsoft.com/office/spreadsheetml/2018/threadedcomments">
  <xltc:threadedComment ref="N1" dT="2026-08-26T17:39:54.96" personId="{9870647A-EB5C-4004-B90D-10DDADDB39F2}" id="{7626C5C7-CBE3-E096-1AE2-1D344D99071B}">
    <xltc:text>必须从下拉列表选择：0-无关、1-弱相关、2-间接相关或3-直接相关。</xltc:text>
  </xltc:threadedComment>
  <xltc:threadedComment ref="P1" dT="2026-08-26T17:39:54.96" personId="{9870647A-EB5C-4004-B90D-10DDADDB39F2}" id="{4D02F1D4-CC10-075E-FECB-7EBAC8A356BD}">
    <xltc:text>请写出可复核的判断依据，说明候选原文如何影响查询假设，不能只写‘相关’或‘无关’。</xltc:text>
  </xltc:threadedComment>
  <xltc:threadedComment ref="R1" dT="2026-08-26T17:39:54.96" personId="{9870647A-EB5C-4004-B90D-10DDADDB39F2}" id="{B20B7AFC-BAF8-3878-CED8-11E924504F31}">
    <xltc:text>请按 ISO 8601 且带时区填写，例如 2026-08-28T10:30:00+08:00。</xltc:text>
  </xltc:threadedComment>
</xltc:ThreadedComments>
</file>

<file path=xl/worksheets/_rels/sheet1.xml.rels>&#65279;<?xml version="1.0" encoding="utf-8"?><Relationships xmlns="http://schemas.openxmlformats.org/package/2006/relationships"><Relationship Type="http://schemas.openxmlformats.org/officeDocument/2006/relationships/comments" Target="/xl/comments1.xml" Id="Rc2a85c9d70f24d63" /><Relationship Type="http://schemas.openxmlformats.org/officeDocument/2006/relationships/vmlDrawing" Target="/xl/drawings/vmldrawing.vml" Id="R72bc760c92114993" /><Relationship Type="http://schemas.microsoft.com/office/2017/10/relationships/threadedComment" Target="/xl/threadedcomments/threadedcomment.xml" Id="R0e3fe576126f4593" /><Relationship Type="http://schemas.openxmlformats.org/officeDocument/2006/relationships/table" Target="/xl/tables/table1.xml" Id="Rdeb3063aa7084c81" /></Relationships>
</file>

<file path=xl/worksheets/sheet1.xml><?xml version="1.0" encoding="utf-8"?>
<x:worksheet xmlns:x="http://schemas.openxmlformats.org/spreadsheetml/2006/main">
  <x:sheetViews>
    <x:sheetView showGridLines="0" workbookViewId="0"/>
  </x:sheetViews>
  <x:sheetFormatPr defaultRowHeight="15"/>
  <x:cols>
    <x:col min="1" max="1" width="23" hidden="0" customWidth="1"/>
    <x:col min="2" max="2" width="22" hidden="0" customWidth="1"/>
    <x:col min="3" max="3" width="12" hidden="0" customWidth="1"/>
    <x:col min="4" max="4" width="12" hidden="0" customWidth="1"/>
    <x:col min="5" max="5" width="11" hidden="0" customWidth="1"/>
    <x:col min="6" max="6" width="24" hidden="0" customWidth="1"/>
    <x:col min="7" max="7" width="42" hidden="0" customWidth="1"/>
    <x:col min="8" max="8" width="27" hidden="0" customWidth="1"/>
    <x:col min="9" max="9" width="44" hidden="0" customWidth="1"/>
    <x:col min="10" max="10" width="24" hidden="0" customWidth="1"/>
    <x:col min="11" max="11" width="45" hidden="0" customWidth="1"/>
    <x:col min="12" max="12" width="11" hidden="0" customWidth="1"/>
    <x:col min="13" max="13" width="70" hidden="0" customWidth="1"/>
    <x:col min="14" max="14" width="17" hidden="0" customWidth="1"/>
    <x:col min="15" max="15" width="17" hidden="0" customWidth="1"/>
    <x:col min="16" max="16" width="48" hidden="0" customWidth="1"/>
    <x:col min="17" max="17" width="18" hidden="0" customWidth="1"/>
    <x:col min="18" max="18" width="28" hidden="0" customWidth="1"/>
  </x:cols>
  <x:sheetData>
    <x:row r="1" ht="38" customHeight="1">
      <x:c r="A1" s="62" t="str">
        <x:v>关系样本ID</x:v>
      </x:c>
      <x:c r="B1" s="70" t="str">
        <x:v>事件样本ID</x:v>
      </x:c>
      <x:c r="C1" s="70" t="str">
        <x:v>查询ID</x:v>
      </x:c>
      <x:c r="D1" s="29" t="str">
        <x:v>公司</x:v>
      </x:c>
      <x:c r="E1" s="70" t="str">
        <x:v>证券代码</x:v>
      </x:c>
      <x:c r="F1" s="29" t="str">
        <x:v>检索截止时间</x:v>
      </x:c>
      <x:c r="G1" s="29" t="str">
        <x:v>查询假设</x:v>
      </x:c>
      <x:c r="H1" s="70" t="str">
        <x:v>候选文档ID</x:v>
      </x:c>
      <x:c r="I1" s="29" t="str">
        <x:v>候选公告标题</x:v>
      </x:c>
      <x:c r="J1" s="29" t="str">
        <x:v>候选发布日期</x:v>
      </x:c>
      <x:c r="K1" s="70" t="str">
        <x:v>候选原文链接</x:v>
      </x:c>
      <x:c r="L1" s="29" t="str">
        <x:v>关键证据定位</x:v>
      </x:c>
      <x:c r="M1" s="29" t="str">
        <x:v>关键证据原文</x:v>
      </x:c>
      <x:c r="N1" s="29" t="str">
        <x:v>相关性等级</x:v>
      </x:c>
      <x:c r="O1" s="29" t="str">
        <x:v>关系路径可成立</x:v>
      </x:c>
      <x:c r="P1" s="29" t="str">
        <x:v>标注理由</x:v>
      </x:c>
      <x:c r="Q1" s="29" t="str">
        <x:v>标注员</x:v>
      </x:c>
      <x:c r="R1" s="78" t="str">
        <x:v>标注时间</x:v>
      </x:c>
    </x:row>
    <x:row r="2" ht="72" customHeight="1">
      <x:c r="A2" s="63" t="str">
        <x:v>V5-R-Q001-C04</x:v>
      </x:c>
      <x:c r="B2" s="63" t="str">
        <x:v>V5-E-002594-C04</x:v>
      </x:c>
      <x:c r="C2" s="63" t="str">
        <x:v>V5-Q001</x:v>
      </x:c>
      <x:c r="D2" s="38" t="str">
        <x:v>比亚迪</x:v>
      </x:c>
      <x:c r="E2" s="63" t="str">
        <x:v>002594</x:v>
      </x:c>
      <x:c r="F2" s="86" t="n">
        <x:v>46260.75</x:v>
      </x:c>
      <x:c r="G2" s="50" t="str">
        <x:v>海外工厂本地化生产能否改善出口业务盈利能力</x:v>
      </x:c>
      <x:c r="H2" s="63" t="str">
        <x:v>DOC-EVT-002594-00385</x:v>
      </x:c>
      <x:c r="I2" s="50" t="str">
        <x:v>H股公告（截至二零二五年十二月三十一日止年度之末期股息（更新））</x:v>
      </x:c>
      <x:c r="J2" s="86" t="n">
        <x:v>46184</x:v>
      </x:c>
      <x:c r="K2" s="72" t="str">
        <x:v>http://static.cninfo.com.cn/finalpage/2026-06-11/1225362889.PDF</x:v>
      </x:c>
      <x:c r="L2" s="38" t="str">
        <x:v>第1页</x:v>
      </x:c>
      <x:c r="M2" s="50" t="str">
        <x:v>EF002 ∉  ૧≡℥ૼ ҂Ớၹ ≡಩b ۡ܄ ứྛದ଀Ẁٺܢְ սὂ  ὥṄ  3.# ଀Ẁְ Ṍⅳ༏ ರ௹ ୍ᄅರ ⊯Ⅲۡ܄ ৘Ⴎᆸℭཋ ༏ྐ༏ ༏ ྘ ଌ௹ ༏ྟ⊑༏ ṙᆟ୍ଌ ୍ᄅರ ௹ଌ ୍ᄅರ ༏3.# Ọ஻ሙರ௹ ୍ᄅರ ὸẕཌྷἬྐ༏ ඳ≁℟ஊứὥṄ%,)ܢ ὞ੱ 3.#),% ỡܢ3.# ၂⇊ॖ⇢≢ὥṄᆭ὞ੱ 3.#3.# ༏ྛ൐ὥṄ⇢≢⃴ ൞ ᆸℭཋ ୍ᄅರ  Ԣ㥫ರ ୍ᄅರ Ἶ㊒ ᆭቋᗥℭཋ୍ᄅರ  ὸ൭⇟ᆭರ௹ Ⴎ ୍ᄅರ ᇀ ୍ᄅರ ὸ仛ರ௹ ୍ᄅರ ༏ஊứರ ୍ᄅರ ᆶ ඳ ⚶ὂ䕭đ ‾đ ᇏྏđ</x:v>
      </x:c>
      <x:c r="N2" s="39" t="str">
        <x:v>0-无关</x:v>
      </x:c>
      <x:c r="O2" s="39" t="str">
        <x:v>否</x:v>
      </x:c>
      <x:c r="P2" s="56" t="str">
        <x:v>《H股公告（截至二零二五年十二月三十一日止年度之末期股息（更新））》主要涉及治理、股权、会议、分红或其他事项，未披露“海外基地本地化投产、出口收入与盈利改善”相关实质证据。</x:v>
      </x:c>
      <x:c r="Q2" s="39" t="str">
        <x:v>B-CODEX-FIN-01</x:v>
      </x:c>
      <x:c r="R2" s="79" t="inlineStr">
        <x:is>
          <x:t>2026-08-28T03:00:25+08:00</x:t>
        </x:is>
      </x:c>
    </x:row>
    <x:row r="3" ht="72" customHeight="1">
      <x:c r="A3" s="64" t="str">
        <x:v>V5-R-Q001-C06</x:v>
      </x:c>
      <x:c r="B3" s="64" t="str">
        <x:v>V5-E-002594-C06</x:v>
      </x:c>
      <x:c r="C3" s="64" t="str">
        <x:v>V5-Q001</x:v>
      </x:c>
      <x:c r="D3" s="40" t="str">
        <x:v>比亚迪</x:v>
      </x:c>
      <x:c r="E3" s="64" t="str">
        <x:v>002594</x:v>
      </x:c>
      <x:c r="F3" s="87" t="n">
        <x:v>46260.75</x:v>
      </x:c>
      <x:c r="G3" s="51" t="str">
        <x:v>海外工厂本地化生产能否改善出口业务盈利能力</x:v>
      </x:c>
      <x:c r="H3" s="64" t="str">
        <x:v>DOC-EVT-002594-00282</x:v>
      </x:c>
      <x:c r="I3" s="51" t="str">
        <x:v>关于高级管理人员、核心人员增持公司股份的公告</x:v>
      </x:c>
      <x:c r="J3" s="87" t="n">
        <x:v>45911</x:v>
      </x:c>
      <x:c r="K3" s="73" t="str">
        <x:v>http://static.cninfo.com.cn/finalpage/2025-09-11/1224650870.PDF</x:v>
      </x:c>
      <x:c r="L3" s="40" t="str">
        <x:v>第1页</x:v>
      </x:c>
      <x:c r="M3" s="51" t="str">
        <x:v>1 证券代码：002594 证券简称：比亚迪 公告编号：2025-055 比亚迪股份有限公司 关于高级管理人员、核心人员增持公司股份的公告 本次增持人员保证向本公司提供的信息内容真实、准确、完整，没有虚假记载、 误导性陈述或重大遗漏。 本公司及董事会全体成员保证公告内容与信息披露义务人提供的信息一致。 特别提示： 比亚迪股份有限公司（以下简称“公司”）高级副总裁罗红斌先生、高级副总 裁兼财务总监周亚琳女士、高级副总裁杨冬生先生、副总裁罗忠良先生、副总裁李 巍女士（以下简称“高级管理人员”）于2025年9月1日至2025年9月9日期间通过深 圳证券交易所交易系统以集中竞价交易方式增持公司A股股份共计221,800股，增持 金额共计23,624,192.00元；公司其他32名核心人员（与“高级管理人员”合称“增 持主体”）亦于近日通过深圳证券交易所交易系统以集中竞价交易方式增持公司A 股股份共计266,400股，增持金额共计28,703,624.00元（以上合称“本次增持”）。 增持主体本次增持公司A股股份合计488,200股，增持金额合计52,327,816.00元。 公司接到高级管理人员及核心人员以自有或自筹资金通过深圳证券交易所交易 系统以集中竞价方式增持公司A股股份的通知。现将相关情况公告如下： 一、本次增持主体的基本情况 1、增持主体：高级副总裁罗红斌先生、高级副总裁兼财务总监周亚琳女士、高 级副总裁杨冬生先生、副总裁罗忠良先生、副总裁李巍女士及其他32名核心人员。…</x:v>
      </x:c>
      <x:c r="N3" s="41" t="str">
        <x:v>0-无关</x:v>
      </x:c>
      <x:c r="O3" s="41" t="str">
        <x:v>否</x:v>
      </x:c>
      <x:c r="P3" s="57" t="str">
        <x:v>《关于高级管理人员、核心人员增持公司股份的公告》主要涉及治理、股权、会议、分红或其他事项，未披露“海外基地本地化投产、出口收入与盈利改善”相关实质证据。</x:v>
      </x:c>
      <x:c r="Q3" s="41" t="str">
        <x:v>B-CODEX-FIN-01</x:v>
      </x:c>
      <x:c r="R3" s="80" t="inlineStr">
        <x:is>
          <x:t>2026-08-28T03:00:25+08:00</x:t>
        </x:is>
      </x:c>
    </x:row>
    <x:row r="4" ht="72" customHeight="1">
      <x:c r="A4" s="64" t="str">
        <x:v>V5-R-Q001-C05</x:v>
      </x:c>
      <x:c r="B4" s="64" t="str">
        <x:v>V5-E-002594-C05</x:v>
      </x:c>
      <x:c r="C4" s="64" t="str">
        <x:v>V5-Q001</x:v>
      </x:c>
      <x:c r="D4" s="40" t="str">
        <x:v>比亚迪</x:v>
      </x:c>
      <x:c r="E4" s="64" t="str">
        <x:v>002594</x:v>
      </x:c>
      <x:c r="F4" s="87" t="n">
        <x:v>46260.75</x:v>
      </x:c>
      <x:c r="G4" s="51" t="str">
        <x:v>海外工厂本地化生产能否改善出口业务盈利能力</x:v>
      </x:c>
      <x:c r="H4" s="64" t="str">
        <x:v>DOC-EVT-002594-00363</x:v>
      </x:c>
      <x:c r="I4" s="51" t="str">
        <x:v>H股公告（二零二五年年度业绩公布）</x:v>
      </x:c>
      <x:c r="J4" s="87" t="n">
        <x:v>46112</x:v>
      </x:c>
      <x:c r="K4" s="73" t="str">
        <x:v>http://static.cninfo.com.cn/finalpage/2026-03-31/1225052525.PDF</x:v>
      </x:c>
      <x:c r="L4" s="40" t="str">
        <x:v>第11页</x:v>
      </x:c>
      <x:c r="M4" s="51" t="str">
        <x:v>10 BYD Company Limited ʮ̡ Chairman’s Statement ࣣ 中國汽車工業的電動化和智能化變革為中國品牌國 際化發展帶來機遇，也有利於促進世界汽車產業升 級和 「雙碳」 目標早日實現。二零二五年，比亞迪加 快出海，新能源汽車運營足跡已遍佈全球 119 個國 家和地區，出海覆蓋範圍位居中國車企前列，市場 呈現 「拉美領跑、歐洲突破、亞太多點開花」 的格 局：拉美市場核心國家銷量穩居前列，成為海外增 長支柱；歐洲市場多點突破，在英、西、意、德、 法等國實現倍數增長；東南亞及新興市場表現強 勁，成功躋身新加坡、泰國、印尼等國銷量前三； 中東市場精準對接高端出行需求，以特色打法收穫 優異口碑。同時，海外本地化建設也取得積極進 展，多個基地進入投產或擴產新階段。中國新能源 汽車無論是技術、產品，還是產業鏈，都保持全球 領先。這是中國品牌出海的黃金窗口期，我們要以 更驚艷的技術和產品，在開放合作、取長補短中， 滿足全球消費者對美好生活的嚮往。 從中國到全球，比亞迪的每一步成長，都離不開所 有股東的長期信任，離不開全球用戶和產業鏈夥伴 的鼎力支持，以及全體員工及其家屬的付出。比亞 迪將始終把股東和用戶的長遠利益置於公司戰略的 核心，以長期價值創造回應每一份託付與信任。二 零二五年三月，我們成功完成 56 億美元閃電配售， 全球頂級長線投資者、主權基金及中東戰略投資人 紛紛參與，這份認可，既是對比亞迪業務發展和全 球化佈局的信心，更是對中國新能源產業未來…</x:v>
      </x:c>
      <x:c r="N4" s="41" t="str">
        <x:v>3-直接相关</x:v>
      </x:c>
      <x:c r="O4" s="41" t="str">
        <x:v>是</x:v>
      </x:c>
      <x:c r="P4" s="57" t="str">
        <x:v>年度业绩披露业务覆盖119个国家和地区，且多个海外基地进入投产或扩产，直接覆盖“海外基地本地化投产、出口收入与盈利改善”的关键变量，关系路径成立。</x:v>
      </x:c>
      <x:c r="Q4" s="41" t="str">
        <x:v>B-CODEX-FIN-01</x:v>
      </x:c>
      <x:c r="R4" s="80" t="inlineStr">
        <x:is>
          <x:t>2026-08-28T03:00:25+08:00</x:t>
        </x:is>
      </x:c>
    </x:row>
    <x:row r="5" ht="72" customHeight="1">
      <x:c r="A5" s="64" t="str">
        <x:v>V5-R-Q001-C02</x:v>
      </x:c>
      <x:c r="B5" s="64" t="str">
        <x:v>V5-E-002594-C02</x:v>
      </x:c>
      <x:c r="C5" s="64" t="str">
        <x:v>V5-Q001</x:v>
      </x:c>
      <x:c r="D5" s="40" t="str">
        <x:v>比亚迪</x:v>
      </x:c>
      <x:c r="E5" s="64" t="str">
        <x:v>002594</x:v>
      </x:c>
      <x:c r="F5" s="87" t="n">
        <x:v>46260.75</x:v>
      </x:c>
      <x:c r="G5" s="51" t="str">
        <x:v>海外工厂本地化生产能否改善出口业务盈利能力</x:v>
      </x:c>
      <x:c r="H5" s="64" t="str">
        <x:v>DOC-EVT-002594-00092</x:v>
      </x:c>
      <x:c r="I5" s="51" t="str">
        <x:v>2024年一季度报告</x:v>
      </x:c>
      <x:c r="J5" s="87" t="n">
        <x:v>45412</x:v>
      </x:c>
      <x:c r="K5" s="73" t="str">
        <x:v>http://static.cninfo.com.cn/finalpage/2024-04-30/1219909910.PDF</x:v>
      </x:c>
      <x:c r="L5" s="40" t="str">
        <x:v>第2页</x:v>
      </x:c>
      <x:c r="M5" s="51" t="str">
        <x:v>比亚迪股份有限公司 2024 年第一季度报告 2 一、主要财务数据 （一） 主要会计数据和财务指标 公司是否需追溯调整或重述以前年度会计数据 □是 否 本报告期 上年同期 本报告期比上年同期 增减 营业收入（元） 124,944,397,000.00 120,173,608,000.00 3.97% 归属于上市公司股东的净利润（元） 4,568,793,000.00 4,130,063,000.00 10.62% 归属于上市公司股东的扣除非经常性损益 的净利润（元） 3,751,980,000.00 3,565,127,000.00 5.24% 经营活动产生的现金流量净额（元） 10,227,984,000.00 14,465,699,000.00 -29.29% 基本每股收益（元/股） 1.57 1.42 10.56% 稀释每股收益（元/股） 1.57 1.42 10.56% 加权平均净资产收益率 3.24% 3.65% -0.41% 本报告期末 上年度末 本报告期末比上年度 末增减 总资产（元） 677,783,621,000.00 679,547,670,000.00 -0.26% 归属于上市公司股东的所有者权益（元） 143,090,246,000.00 138,810,065,000.00 3.08% （二） 非经常性损益项目和金额 适用 □不适用 单位：元 项目 本报告期金额 说明 非流动性资产处置损益（包括已计提资产减值准备的冲销部分） -261,472,…</x:v>
      </x:c>
      <x:c r="N5" s="41" t="str">
        <x:v>1-弱相关</x:v>
      </x:c>
      <x:c r="O5" s="41" t="str">
        <x:v>否</x:v>
      </x:c>
      <x:c r="P5" s="57" t="str">
        <x:v>《2024年一季度报告》仅提供公司阶段性经营、财务或相邻业务背景，未同时覆盖“海外基地本地化投产、出口收入与盈利改善”的核心变量，相关性较弱。</x:v>
      </x:c>
      <x:c r="Q5" s="41" t="str">
        <x:v>B-CODEX-FIN-01</x:v>
      </x:c>
      <x:c r="R5" s="80" t="inlineStr">
        <x:is>
          <x:t>2026-08-28T03:00:25+08:00</x:t>
        </x:is>
      </x:c>
    </x:row>
    <x:row r="6" ht="72" customHeight="1">
      <x:c r="A6" s="64" t="str">
        <x:v>V5-R-Q001-C03</x:v>
      </x:c>
      <x:c r="B6" s="64" t="str">
        <x:v>V5-E-002594-C03</x:v>
      </x:c>
      <x:c r="C6" s="64" t="str">
        <x:v>V5-Q001</x:v>
      </x:c>
      <x:c r="D6" s="40" t="str">
        <x:v>比亚迪</x:v>
      </x:c>
      <x:c r="E6" s="64" t="str">
        <x:v>002594</x:v>
      </x:c>
      <x:c r="F6" s="87" t="n">
        <x:v>46260.75</x:v>
      </x:c>
      <x:c r="G6" s="51" t="str">
        <x:v>海外工厂本地化生产能否改善出口业务盈利能力</x:v>
      </x:c>
      <x:c r="H6" s="64" t="str">
        <x:v>DOC-EVT-002594-00342</x:v>
      </x:c>
      <x:c r="I6" s="51" t="str">
        <x:v>2025年年度报告</x:v>
      </x:c>
      <x:c r="J6" s="87" t="n">
        <x:v>46109</x:v>
      </x:c>
      <x:c r="K6" s="73" t="str">
        <x:v>http://static.cninfo.com.cn/finalpage/2026-03-28/1225045351.PDF</x:v>
      </x:c>
      <x:c r="L6" s="40" t="str">
        <x:v>第27页</x:v>
      </x:c>
      <x:c r="M6" s="51" t="str">
        <x:v>比亚迪股份有限公司 2025 年年度报告全文 27 的基础上，本集团亦积极拓展外部战略客户，为全球知名车企提供高性能电池支持，推动新能源汽车渗透率持续提升。 光伏领域方面，本集团紧扣「双碳」目标，以前沿研发为驱动，不断提升综合竞争力，业务足迹已遍布 100 多个国 家和地区。同时，本集团还通过在海外建设生产基地的方式，雇佣本地员工经营，实现了光伏组件的本地化生产，持续 推进光伏产业链的高质量发展。 对外合作方面，本集团持续深化全球布局，积极联动世界各领域专业伙伴，致力于共同推动绿色发展愿景落地，通 过跨界协作、资源共创与技术联动，为社会构建更高质量的未来出行与生活生态。 十月，本集团与荣耀正式签署战略合作协议，共建 AI 驱动的手机车机跨界互融生态体系。依托本集团 DiLink 全新 一代智慧生态与荣耀车联解决方案，双方致力于为用户打造全场景智慧体验无缝衔接的高端移动生活空间。 十一月，本集团与美的达成战略合作，双方以开放共赢为核心理念，整合智能汽车、智能家居及 AIoT 等领域的核心 优势，通过「全品牌、全品类、全领域」的全面互联，以 AI 重塑「人-车-家」新生态，为全球用户创造更简单、更美好 的智慧生活。 前沿科技领域，本集团凭借强大的研发体系，通过持续孵化新业态、探索新模式与培育新动能，系统性构建面向未 来的技术能力矩阵，进一步夯实在智能化与新能源融合领域的科技引领地位。 本集团积极拥抱 AI 发展机遇，一方面引入 AI 工具聚焦核心工作环节、激发研发灵感，推动经营…</x:v>
      </x:c>
      <x:c r="N6" s="41" t="str">
        <x:v>3-直接相关</x:v>
      </x:c>
      <x:c r="O6" s="41" t="str">
        <x:v>是</x:v>
      </x:c>
      <x:c r="P6" s="57" t="str">
        <x:v>年报披露海外生产基地、本地雇员及本地化生产，直接覆盖“海外基地本地化投产、出口收入与盈利改善”的关键变量，关系路径成立。</x:v>
      </x:c>
      <x:c r="Q6" s="41" t="str">
        <x:v>B-CODEX-FIN-01</x:v>
      </x:c>
      <x:c r="R6" s="80" t="inlineStr">
        <x:is>
          <x:t>2026-08-28T03:00:25+08:00</x:t>
        </x:is>
      </x:c>
    </x:row>
    <x:row r="7" ht="72" customHeight="1">
      <x:c r="A7" s="64" t="str">
        <x:v>V5-R-Q001-C10</x:v>
      </x:c>
      <x:c r="B7" s="64" t="str">
        <x:v>V5-E-002594-C10</x:v>
      </x:c>
      <x:c r="C7" s="64" t="str">
        <x:v>V5-Q001</x:v>
      </x:c>
      <x:c r="D7" s="40" t="str">
        <x:v>比亚迪</x:v>
      </x:c>
      <x:c r="E7" s="64" t="str">
        <x:v>002594</x:v>
      </x:c>
      <x:c r="F7" s="87" t="n">
        <x:v>46260.75</x:v>
      </x:c>
      <x:c r="G7" s="51" t="str">
        <x:v>海外工厂本地化生产能否改善出口业务盈利能力</x:v>
      </x:c>
      <x:c r="H7" s="64" t="str">
        <x:v>DOC-EVT-002594-00391</x:v>
      </x:c>
      <x:c r="I7" s="51" t="str">
        <x:v>H股公告（股份发行人及根据《上市规则》第十九B章上市的香港预托证券发行人的证券变动月报表）</x:v>
      </x:c>
      <x:c r="J7" s="87" t="n">
        <x:v>46238</x:v>
      </x:c>
      <x:c r="K7" s="73" t="str">
        <x:v>http://static.cninfo.com.cn/finalpage/2026-08-04/1225454787.PDF</x:v>
      </x:c>
      <x:c r="L7" s="40" t="str">
        <x:v>第9页</x:v>
      </x:c>
      <x:c r="M7" s="51" t="str">
        <x:v>FF301 ∉  7⃷⃾ ῌ ౦㣐༯ğ  č䩏Ď ಆ҆ॻ⇊Ġ  ၘಆ҆੫ྛĠ  čೂႵĎၘჍ੫ྛĠ  ૫नℾཌྷ๝č䩏ĎĠ  ၧၘಆ҆቎ྛĠ  ῂၘứෂ⇀ᆞ⊵Ḿứෂᆞᄝ⊵Ḿᇏ❣ᾞ὜ứෂĠ  ࠣ  Ďb ᆀğ ৙ప ⊊↼ğඳ૝ℼ ದ≇</x:v>
      </x:c>
      <x:c r="N7" s="41" t="str">
        <x:v>0-无关</x:v>
      </x:c>
      <x:c r="O7" s="41" t="str">
        <x:v>否</x:v>
      </x:c>
      <x:c r="P7" s="57" t="str">
        <x:v>《H股公告（股份发行人及根据《上市规则》第十九B章上市的香港预托证券发行人的证券变动月报表）》主要涉及治理、股权、会议、分红或其他事项，未披露“海外基地本地化投产、出口收入与盈利改善”相关实质证据。</x:v>
      </x:c>
      <x:c r="Q7" s="41" t="str">
        <x:v>B-CODEX-FIN-01</x:v>
      </x:c>
      <x:c r="R7" s="80" t="inlineStr">
        <x:is>
          <x:t>2026-08-28T03:00:25+08:00</x:t>
        </x:is>
      </x:c>
    </x:row>
    <x:row r="8" ht="72" customHeight="1">
      <x:c r="A8" s="64" t="str">
        <x:v>V5-R-Q001-C07</x:v>
      </x:c>
      <x:c r="B8" s="64" t="str">
        <x:v>V5-E-002594-C07</x:v>
      </x:c>
      <x:c r="C8" s="64" t="str">
        <x:v>V5-Q001</x:v>
      </x:c>
      <x:c r="D8" s="40" t="str">
        <x:v>比亚迪</x:v>
      </x:c>
      <x:c r="E8" s="64" t="str">
        <x:v>002594</x:v>
      </x:c>
      <x:c r="F8" s="87" t="n">
        <x:v>46260.75</x:v>
      </x:c>
      <x:c r="G8" s="51" t="str">
        <x:v>海外工厂本地化生产能否改善出口业务盈利能力</x:v>
      </x:c>
      <x:c r="H8" s="64" t="str">
        <x:v>DOC-EVT-002594-00278</x:v>
      </x:c>
      <x:c r="I8" s="51" t="str">
        <x:v>2025年半年度报告摘要</x:v>
      </x:c>
      <x:c r="J8" s="87" t="n">
        <x:v>45899</x:v>
      </x:c>
      <x:c r="K8" s="73" t="str">
        <x:v>http://static.cninfo.com.cn/finalpage/2025-08-30/1224626650.PDF</x:v>
      </x:c>
      <x:c r="L8" s="40" t="str">
        <x:v>第3页</x:v>
      </x:c>
      <x:c r="M8" s="51" t="str">
        <x:v>比亚迪股份有限公司 2025年半年度报告摘要 3 注 3：此数不包括夏佐全先生及其控股的海外公司SIGN INVESTMENTS LIMITED 分别持有的 195,000 股 H股和 305,000 股 H 股。 上述股东关联关系或一致行动的说明 1、吕向阳先生为王传福先生之表兄，吕向阳先生及其配偶张长虹女士分别持有融 捷投资控股集团有限公司 89.5%和 10.5%的股权； 2、HKSCC NOMINEES LIMITED 所持股份为其代理的在 HKSCC NOMINEES LIMITED 交 易平台上交易的本公司 H股股东账户的股份总和； 3、公司未知其他股东之间是否存在关联关系或属于《上市公司收购管理办法》规 定的一致行动人。 参与融资融券业务股东情况说明 截至报告期末，前 10 名无限售流通股股东和前 10 名股东中，HKSCC NOMINEES LIMITED 所持股份为其代理的在 HKSCC NOMINEES LIMITED 交易平台上交易的本公 司 H 股股东账户的股份总和，未知其参与融资融券情况；除 HKSCC NOMINEES LIMITED 外，其余前 10 名无限售流通股股东和前 10 名股东均不存在通过信用证券 账户持有公司股票的情形。 持股 5%以上股东、前 10 名股东及前10 名无限售流通股股东参与转融通业务出借股份情况 适用 不适用 前 10 名股东及前 10名无限售流通股股东因转融通出借/归还原因导致较上期发生变化 □适用 不适用…</x:v>
      </x:c>
      <x:c r="N8" s="41" t="str">
        <x:v>0-无关</x:v>
      </x:c>
      <x:c r="O8" s="41" t="str">
        <x:v>否</x:v>
      </x:c>
      <x:c r="P8" s="57" t="str">
        <x:v>《2025年半年度报告摘要》主要涉及治理、股权、会议、分红或其他事项，未披露“海外基地本地化投产、出口收入与盈利改善”相关实质证据。</x:v>
      </x:c>
      <x:c r="Q8" s="41" t="str">
        <x:v>B-CODEX-FIN-01</x:v>
      </x:c>
      <x:c r="R8" s="80" t="inlineStr">
        <x:is>
          <x:t>2026-08-28T03:00:25+08:00</x:t>
        </x:is>
      </x:c>
    </x:row>
    <x:row r="9" ht="72" customHeight="1">
      <x:c r="A9" s="64" t="str">
        <x:v>V5-R-Q001-C01</x:v>
      </x:c>
      <x:c r="B9" s="64" t="str">
        <x:v>V5-E-002594-C01</x:v>
      </x:c>
      <x:c r="C9" s="64" t="str">
        <x:v>V5-Q001</x:v>
      </x:c>
      <x:c r="D9" s="40" t="str">
        <x:v>比亚迪</x:v>
      </x:c>
      <x:c r="E9" s="64" t="str">
        <x:v>002594</x:v>
      </x:c>
      <x:c r="F9" s="87" t="n">
        <x:v>46260.75</x:v>
      </x:c>
      <x:c r="G9" s="51" t="str">
        <x:v>海外工厂本地化生产能否改善出口业务盈利能力</x:v>
      </x:c>
      <x:c r="H9" s="64" t="str">
        <x:v>DOC-EVT-002594-00371</x:v>
      </x:c>
      <x:c r="I9" s="51" t="str">
        <x:v>H股公告（截至二零二五年十二月三十一日止年度之末期股息(更新)）</x:v>
      </x:c>
      <x:c r="J9" s="87" t="n">
        <x:v>46135</x:v>
      </x:c>
      <x:c r="K9" s="73" t="str">
        <x:v>http://static.cninfo.com.cn/finalpage/2026-04-23/1225147071.PDF</x:v>
      </x:c>
      <x:c r="L9" s="40" t="str">
        <x:v>第1页</x:v>
      </x:c>
      <x:c r="M9" s="51" t="str">
        <x:v>EF002 ∉  ૧≡℥ૼ ҂Ớၹ ≡಩b ۡ܄ ứྛದ଀Ẁٺܢְ սὂ  ὥṄ  3.# ଀Ẁְ Ṍⅳ༏ ರ௹ ୍ᄅರ ⊯Ⅲۡ܄ ৘Ⴎ༏ஊứರ ༏ྐ༏ ༏ ྘ ଌ௹ ༏ྟ⊑༏ ṙᆟ୍ଌ ୍ᄅರ ௹ଌ ୍ᄅರ ༏3.# Ọ஻ሙರ௹ ୍ᄅರ ὸẕཌྷἬྐ༏ ඳ≁℟ஊứὥṄ⟦ ὞ੱ⟦ ỡܢ3.# ၂⇊ॖ⇢≢ὥṄᆭ὞ੱ 3.#3.# ༏ྛ൐ὥṄ⇢≢⃴ ൞ ᆸℭཋ⟦ Ԣ㥫ರ ୍ᄅರ Ἶ㊒ ᆭቋᗥℭཋ ୍ᄅರ  ὸ൭⇟ᆭರ௹ Ⴎ ୍ᄅರ ᇀ ୍ᄅರ ὸ仛ರ௹ ୍ᄅರ ༏ஊứರ ୍ᄅರ ᆶ ඳ ⚶ὂ䕭đ ‾đ ᇏྏđ</x:v>
      </x:c>
      <x:c r="N9" s="41" t="str">
        <x:v>0-无关</x:v>
      </x:c>
      <x:c r="O9" s="41" t="str">
        <x:v>否</x:v>
      </x:c>
      <x:c r="P9" s="57" t="str">
        <x:v>《H股公告（截至二零二五年十二月三十一日止年度之末期股息(更新)）》主要涉及治理、股权、会议、分红或其他事项，未披露“海外基地本地化投产、出口收入与盈利改善”相关实质证据。</x:v>
      </x:c>
      <x:c r="Q9" s="41" t="str">
        <x:v>B-CODEX-FIN-01</x:v>
      </x:c>
      <x:c r="R9" s="80" t="inlineStr">
        <x:is>
          <x:t>2026-08-28T03:00:25+08:00</x:t>
        </x:is>
      </x:c>
    </x:row>
    <x:row r="10" ht="72" customHeight="1">
      <x:c r="A10" s="64" t="str">
        <x:v>V5-R-Q001-C09</x:v>
      </x:c>
      <x:c r="B10" s="64" t="str">
        <x:v>V5-E-002594-C09</x:v>
      </x:c>
      <x:c r="C10" s="64" t="str">
        <x:v>V5-Q001</x:v>
      </x:c>
      <x:c r="D10" s="40" t="str">
        <x:v>比亚迪</x:v>
      </x:c>
      <x:c r="E10" s="64" t="str">
        <x:v>002594</x:v>
      </x:c>
      <x:c r="F10" s="87" t="n">
        <x:v>46260.75</x:v>
      </x:c>
      <x:c r="G10" s="51" t="str">
        <x:v>海外工厂本地化生产能否改善出口业务盈利能力</x:v>
      </x:c>
      <x:c r="H10" s="64" t="str">
        <x:v>DOC-EVT-002594-00192</x:v>
      </x:c>
      <x:c r="I10" s="51" t="str">
        <x:v>H股公告（于二零二五年四月十五日（星期二）临时股东会或其任何续会适用的H股持有人代表委任表格）</x:v>
      </x:c>
      <x:c r="J10" s="87" t="n">
        <x:v>45738</x:v>
      </x:c>
      <x:c r="K10" s="73" t="str">
        <x:v>http://static.cninfo.com.cn/finalpage/2025-03-22/1222868266.PDF</x:v>
      </x:c>
      <x:c r="L10" s="40" t="str">
        <x:v>第1页</x:v>
      </x:c>
      <x:c r="M10" s="51" t="str">
        <x:v>ʮ̡ BYD COMPANY LIMITED ʮ̡ ΅˾໮j01211 ಥ ࿆ ᓞ ̨ ʿ81211ɛ͏࿆ᓞ̨ ၣ१jhttp://www.bydglobal.com א ٙH  ൗ 1 މൗ 1 މʮ̡ ͉ʮ̡ ൗ 2HϞɛd ধ։΂ൗ 3אࢩ މ ։΂ މ ࢭ ༩ 3009༈ ৤ઋҳୃf ᗎϓൗ 4 ˀ࿁ൗ 4 ૝ᛆൗ 4 ˙όj 1.ʮ̡ 2025  ʿՉ f 2.ʮ̡ 2025 f 3.ʮ ̡2025ᗫԫධf ˚ಂj ൗ 5 ൗj 1. ሗฺ͍͜෬ɪΌΤʿήѧf 2. ׵ ͉ʮ̡ H׵ ტɨ Ϟ͉ʮ̡ HϾ։΂f 3. Ϟᛆ։΂ ΂О һ͍ᔊᖦ̙ͪf 4. ࡊ ʫ෬ɪ ✔ࡊ ˀ ʫ෬ɪ ✔ࡊ ʫ෬ɪ  ✔໮ d ɝϞᗫ ۆ މ ტɨҳୃf 5. ̀඲͟ ᐏ މ؇ٰ ɛɻፋഅᖦ໇f 6. Չ ˸ɨήѧ ఱ͉ʮ ̡Hf ήѧνɨj ಥ ᝄ˺ ؇183 ໮ Υձʕː 17M ᅽ 7. ΂Оһ͍d̀඲຾͟ᖦ໇ɛᔊᖦ̙ͪf</x:v>
      </x:c>
      <x:c r="N10" s="41" t="str">
        <x:v>0-无关</x:v>
      </x:c>
      <x:c r="O10" s="41" t="str">
        <x:v>否</x:v>
      </x:c>
      <x:c r="P10" s="57" t="str">
        <x:v>《H股公告（于二零二五年四月十五日（星期二）临时股东会或其任何续会适用的H股持有人代表委任表格）》主要涉及治理、股权、会议、分红或其他事项，未披露“海外基地本地化投产、出口收入与盈利改善”相关实质证据。</x:v>
      </x:c>
      <x:c r="Q10" s="41" t="str">
        <x:v>B-CODEX-FIN-01</x:v>
      </x:c>
      <x:c r="R10" s="80" t="inlineStr">
        <x:is>
          <x:t>2026-08-28T03:00:25+08:00</x:t>
        </x:is>
      </x:c>
    </x:row>
    <x:row r="11" ht="72" customHeight="1">
      <x:c r="A11" s="64" t="str">
        <x:v>V5-R-Q001-C08</x:v>
      </x:c>
      <x:c r="B11" s="64" t="str">
        <x:v>V5-E-002594-C08</x:v>
      </x:c>
      <x:c r="C11" s="64" t="str">
        <x:v>V5-Q001</x:v>
      </x:c>
      <x:c r="D11" s="40" t="str">
        <x:v>比亚迪</x:v>
      </x:c>
      <x:c r="E11" s="64" t="str">
        <x:v>002594</x:v>
      </x:c>
      <x:c r="F11" s="87" t="n">
        <x:v>46260.75</x:v>
      </x:c>
      <x:c r="G11" s="51" t="str">
        <x:v>海外工厂本地化生产能否改善出口业务盈利能力</x:v>
      </x:c>
      <x:c r="H11" s="64" t="str">
        <x:v>DOC-EVT-002594-00125</x:v>
      </x:c>
      <x:c r="I11" s="51" t="str">
        <x:v>H股公告（二零二四年中期业绩公告）</x:v>
      </x:c>
      <x:c r="J11" s="87" t="n">
        <x:v>45533</x:v>
      </x:c>
      <x:c r="K11" s="73" t="str">
        <x:v>http://static.cninfo.com.cn/finalpage/2024-08-29/1221030547.PDF</x:v>
      </x:c>
      <x:c r="L11" s="40" t="str">
        <x:v>第24页</x:v>
      </x:c>
      <x:c r="M11" s="51" t="str">
        <x:v>ss. The profit attributable to equity holders of the parent company increased by 24.44% as compared to the same period of previous year, mainly attributable to the growth of the new energy vehicle business. Segmental Information Comparisons of the Group’s revenue by product categories for the six months ended 30 June 2024 and 2023 are illustrated as follows: 2024H1 2024H1 24% Mobile handset components, assembly and other products 76% Automobiles and related products, and other products 二零二四年上半年 手機部件、組裝及 其他產品 汽車、汽車相關產品 及其他產品 2023H1 2023H1 20% Mobile handset components, assembly and other products 80% Automobiles and related products, and ot…</x:v>
      </x:c>
      <x:c r="N11" s="41" t="str">
        <x:v>1-弱相关</x:v>
      </x:c>
      <x:c r="O11" s="41" t="str">
        <x:v>否</x:v>
      </x:c>
      <x:c r="P11" s="57" t="str">
        <x:v>《H股公告（二零二四年中期业绩公告）》仅提供公司阶段性经营、财务或相邻业务背景，未同时覆盖“海外基地本地化投产、出口收入与盈利改善”的核心变量，相关性较弱。</x:v>
      </x:c>
      <x:c r="Q11" s="41" t="str">
        <x:v>B-CODEX-FIN-01</x:v>
      </x:c>
      <x:c r="R11" s="80" t="inlineStr">
        <x:is>
          <x:t>2026-08-28T03:00:25+08:00</x:t>
        </x:is>
      </x:c>
    </x:row>
    <x:row r="12" ht="72" customHeight="1">
      <x:c r="A12" s="64" t="str">
        <x:v>V5-R-Q002-C06</x:v>
      </x:c>
      <x:c r="B12" s="64" t="str">
        <x:v>V5-E-002594-C06</x:v>
      </x:c>
      <x:c r="C12" s="64" t="str">
        <x:v>V5-Q002</x:v>
      </x:c>
      <x:c r="D12" s="40" t="str">
        <x:v>比亚迪</x:v>
      </x:c>
      <x:c r="E12" s="64" t="str">
        <x:v>002594</x:v>
      </x:c>
      <x:c r="F12" s="87" t="n">
        <x:v>46260.75</x:v>
      </x:c>
      <x:c r="G12" s="51" t="str">
        <x:v>智能驾驶功能投入能否形成车型溢价与软件收入</x:v>
      </x:c>
      <x:c r="H12" s="64" t="str">
        <x:v>DOC-EVT-002594-00282</x:v>
      </x:c>
      <x:c r="I12" s="51" t="str">
        <x:v>关于高级管理人员、核心人员增持公司股份的公告</x:v>
      </x:c>
      <x:c r="J12" s="87" t="n">
        <x:v>45911</x:v>
      </x:c>
      <x:c r="K12" s="73" t="str">
        <x:v>http://static.cninfo.com.cn/finalpage/2025-09-11/1224650870.PDF</x:v>
      </x:c>
      <x:c r="L12" s="40" t="str">
        <x:v>第1页</x:v>
      </x:c>
      <x:c r="M12" s="51" t="str">
        <x:v>1 证券代码：002594 证券简称：比亚迪 公告编号：2025-055 比亚迪股份有限公司 关于高级管理人员、核心人员增持公司股份的公告 本次增持人员保证向本公司提供的信息内容真实、准确、完整，没有虚假记载、 误导性陈述或重大遗漏。 本公司及董事会全体成员保证公告内容与信息披露义务人提供的信息一致。 特别提示： 比亚迪股份有限公司（以下简称“公司”）高级副总裁罗红斌先生、高级副总 裁兼财务总监周亚琳女士、高级副总裁杨冬生先生、副总裁罗忠良先生、副总裁李 巍女士（以下简称“高级管理人员”）于2025年9月1日至2025年9月9日期间通过深 圳证券交易所交易系统以集中竞价交易方式增持公司A股股份共计221,800股，增持 金额共计23,624,192.00元；公司其他32名核心人员（与“高级管理人员”合称“增 持主体”）亦于近日通过深圳证券交易所交易系统以集中竞价交易方式增持公司A 股股份共计266,400股，增持金额共计28,703,624.00元（以上合称“本次增持”）。 增持主体本次增持公司A股股份合计488,200股，增持金额合计52,327,816.00元。 公司接到高级管理人员及核心人员以自有或自筹资金通过深圳证券交易所交易 系统以集中竞价方式增持公司A股股份的通知。现将相关情况公告如下： 一、本次增持主体的基本情况 1、增持主体：高级副总裁罗红斌先生、高级副总裁兼财务总监周亚琳女士、高 级副总裁杨冬生先生、副总裁罗忠良先生、副总裁李巍女士及其他32名核心人员。…</x:v>
      </x:c>
      <x:c r="N12" s="41" t="str">
        <x:v>0-无关</x:v>
      </x:c>
      <x:c r="O12" s="41" t="str">
        <x:v>否</x:v>
      </x:c>
      <x:c r="P12" s="57" t="str">
        <x:v>《关于高级管理人员、核心人员增持公司股份的公告》主要涉及治理、股权、会议、分红或其他事项，未披露“智能驾驶投入、车型溢价及软件收入变现”相关实质证据。</x:v>
      </x:c>
      <x:c r="Q12" s="41" t="str">
        <x:v>B-CODEX-FIN-01</x:v>
      </x:c>
      <x:c r="R12" s="80" t="inlineStr">
        <x:is>
          <x:t>2026-08-28T03:00:25+08:00</x:t>
        </x:is>
      </x:c>
    </x:row>
    <x:row r="13" ht="72" customHeight="1">
      <x:c r="A13" s="64" t="str">
        <x:v>V5-R-Q002-C10</x:v>
      </x:c>
      <x:c r="B13" s="64" t="str">
        <x:v>V5-E-002594-C10</x:v>
      </x:c>
      <x:c r="C13" s="64" t="str">
        <x:v>V5-Q002</x:v>
      </x:c>
      <x:c r="D13" s="40" t="str">
        <x:v>比亚迪</x:v>
      </x:c>
      <x:c r="E13" s="64" t="str">
        <x:v>002594</x:v>
      </x:c>
      <x:c r="F13" s="87" t="n">
        <x:v>46260.75</x:v>
      </x:c>
      <x:c r="G13" s="51" t="str">
        <x:v>智能驾驶功能投入能否形成车型溢价与软件收入</x:v>
      </x:c>
      <x:c r="H13" s="64" t="str">
        <x:v>DOC-EVT-002594-00391</x:v>
      </x:c>
      <x:c r="I13" s="51" t="str">
        <x:v>H股公告（股份发行人及根据《上市规则》第十九B章上市的香港预托证券发行人的证券变动月报表）</x:v>
      </x:c>
      <x:c r="J13" s="87" t="n">
        <x:v>46238</x:v>
      </x:c>
      <x:c r="K13" s="73" t="str">
        <x:v>http://static.cninfo.com.cn/finalpage/2026-08-04/1225454787.PDF</x:v>
      </x:c>
      <x:c r="L13" s="40" t="str">
        <x:v>第9页</x:v>
      </x:c>
      <x:c r="M13" s="51" t="str">
        <x:v>FF301 ∉  7⃷⃾ ῌ ౦㣐༯ğ  č䩏Ď ಆ҆ॻ⇊Ġ  ၘಆ҆੫ྛĠ  čೂႵĎၘჍ੫ྛĠ  ૫नℾཌྷ๝č䩏ĎĠ  ၧၘಆ҆቎ྛĠ  ῂၘứෂ⇀ᆞ⊵Ḿứෂᆞᄝ⊵Ḿᇏ❣ᾞ὜ứෂĠ  ࠣ  Ďb ᆀğ ৙ప ⊊↼ğඳ૝ℼ ದ≇</x:v>
      </x:c>
      <x:c r="N13" s="41" t="str">
        <x:v>0-无关</x:v>
      </x:c>
      <x:c r="O13" s="41" t="str">
        <x:v>否</x:v>
      </x:c>
      <x:c r="P13" s="57" t="str">
        <x:v>《H股公告（股份发行人及根据《上市规则》第十九B章上市的香港预托证券发行人的证券变动月报表）》主要涉及治理、股权、会议、分红或其他事项，未披露“智能驾驶投入、车型溢价及软件收入变现”相关实质证据。</x:v>
      </x:c>
      <x:c r="Q13" s="41" t="str">
        <x:v>B-CODEX-FIN-01</x:v>
      </x:c>
      <x:c r="R13" s="80" t="inlineStr">
        <x:is>
          <x:t>2026-08-28T03:00:25+08:00</x:t>
        </x:is>
      </x:c>
    </x:row>
    <x:row r="14" ht="72" customHeight="1">
      <x:c r="A14" s="64" t="str">
        <x:v>V5-R-Q002-C04</x:v>
      </x:c>
      <x:c r="B14" s="64" t="str">
        <x:v>V5-E-002594-C04</x:v>
      </x:c>
      <x:c r="C14" s="64" t="str">
        <x:v>V5-Q002</x:v>
      </x:c>
      <x:c r="D14" s="40" t="str">
        <x:v>比亚迪</x:v>
      </x:c>
      <x:c r="E14" s="64" t="str">
        <x:v>002594</x:v>
      </x:c>
      <x:c r="F14" s="87" t="n">
        <x:v>46260.75</x:v>
      </x:c>
      <x:c r="G14" s="51" t="str">
        <x:v>智能驾驶功能投入能否形成车型溢价与软件收入</x:v>
      </x:c>
      <x:c r="H14" s="64" t="str">
        <x:v>DOC-EVT-002594-00385</x:v>
      </x:c>
      <x:c r="I14" s="51" t="str">
        <x:v>H股公告（截至二零二五年十二月三十一日止年度之末期股息（更新））</x:v>
      </x:c>
      <x:c r="J14" s="87" t="n">
        <x:v>46184</x:v>
      </x:c>
      <x:c r="K14" s="73" t="str">
        <x:v>http://static.cninfo.com.cn/finalpage/2026-06-11/1225362889.PDF</x:v>
      </x:c>
      <x:c r="L14" s="40" t="str">
        <x:v>第1页</x:v>
      </x:c>
      <x:c r="M14" s="51" t="str">
        <x:v>EF002 ∉  ૧≡℥ૼ ҂Ớၹ ≡಩b ۡ܄ ứྛದ଀Ẁٺܢְ սὂ  ὥṄ  3.# ଀Ẁְ Ṍⅳ༏ ರ௹ ୍ᄅರ ⊯Ⅲۡ܄ ৘Ⴎᆸℭཋ ༏ྐ༏ ༏ ྘ ଌ௹ ༏ྟ⊑༏ ṙᆟ୍ଌ ୍ᄅರ ௹ଌ ୍ᄅರ ༏3.# Ọ஻ሙರ௹ ୍ᄅರ ὸẕཌྷἬྐ༏ ඳ≁℟ஊứὥṄ%,)ܢ ὞ੱ 3.#),% ỡܢ3.# ၂⇊ॖ⇢≢ὥṄᆭ὞ੱ 3.#3.# ༏ྛ൐ὥṄ⇢≢⃴ ൞ ᆸℭཋ ୍ᄅರ  Ԣ㥫ರ ୍ᄅರ Ἶ㊒ ᆭቋᗥℭཋ୍ᄅರ  ὸ൭⇟ᆭರ௹ Ⴎ ୍ᄅರ ᇀ ୍ᄅರ ὸ仛ರ௹ ୍ᄅರ ༏ஊứರ ୍ᄅರ ᆶ ඳ ⚶ὂ䕭đ ‾đ ᇏྏđ</x:v>
      </x:c>
      <x:c r="N14" s="41" t="str">
        <x:v>0-无关</x:v>
      </x:c>
      <x:c r="O14" s="41" t="str">
        <x:v>否</x:v>
      </x:c>
      <x:c r="P14" s="57" t="str">
        <x:v>《H股公告（截至二零二五年十二月三十一日止年度之末期股息（更新））》主要涉及治理、股权、会议、分红或其他事项，未披露“智能驾驶投入、车型溢价及软件收入变现”相关实质证据。</x:v>
      </x:c>
      <x:c r="Q14" s="41" t="str">
        <x:v>B-CODEX-FIN-01</x:v>
      </x:c>
      <x:c r="R14" s="80" t="inlineStr">
        <x:is>
          <x:t>2026-08-28T03:00:25+08:00</x:t>
        </x:is>
      </x:c>
    </x:row>
    <x:row r="15" ht="72" customHeight="1">
      <x:c r="A15" s="64" t="str">
        <x:v>V5-R-Q002-C05</x:v>
      </x:c>
      <x:c r="B15" s="64" t="str">
        <x:v>V5-E-002594-C05</x:v>
      </x:c>
      <x:c r="C15" s="64" t="str">
        <x:v>V5-Q002</x:v>
      </x:c>
      <x:c r="D15" s="40" t="str">
        <x:v>比亚迪</x:v>
      </x:c>
      <x:c r="E15" s="64" t="str">
        <x:v>002594</x:v>
      </x:c>
      <x:c r="F15" s="87" t="n">
        <x:v>46260.75</x:v>
      </x:c>
      <x:c r="G15" s="51" t="str">
        <x:v>智能驾驶功能投入能否形成车型溢价与软件收入</x:v>
      </x:c>
      <x:c r="H15" s="64" t="str">
        <x:v>DOC-EVT-002594-00363</x:v>
      </x:c>
      <x:c r="I15" s="51" t="str">
        <x:v>H股公告（二零二五年年度业绩公布）</x:v>
      </x:c>
      <x:c r="J15" s="87" t="n">
        <x:v>46112</x:v>
      </x:c>
      <x:c r="K15" s="73" t="str">
        <x:v>http://static.cninfo.com.cn/finalpage/2026-03-31/1225052525.PDF</x:v>
      </x:c>
      <x:c r="L15" s="40" t="str">
        <x:v>第30页</x:v>
      </x:c>
      <x:c r="M15" s="51" t="str">
        <x:v>tion, the “BYD ” brand has continuously strengthened its competitiveness by championing inclusiveness in core technologies, consolidating its leadership in the domestic mass market and delivering outstanding overseas performance. Meanwhile, “FANGCHENGBAO ”, “Denza” and “Yangwang ” have leveraged their synergy to build brand depth with technological advantages and actively enter overseas markets. Consequently, the total sales volume more than doubled year-on-year and our premiumization strategy has yielded significant results. 智能化領域，年內，本集團發佈 「全民智駕」 戰略，以 「天神之眼」 技術矩陣滿足消費者差 異化需求，踐行 「好技術，就應該人人可享」 的理念。截至二零二五年年底，本集團輔助 駕駛車型保有量超 256 萬輛，每天生成輔助 駕駛數據超…</x:v>
      </x:c>
      <x:c r="N15" s="41" t="str">
        <x:v>2-间接相关</x:v>
      </x:c>
      <x:c r="O15" s="41" t="str">
        <x:v>是</x:v>
      </x:c>
      <x:c r="P15" s="57" t="str">
        <x:v>年度业绩披露智能驾驶技术矩阵、规模化搭载和品牌技术协同，能够支持“智能驾驶投入、车型溢价及软件收入变现”的中间环节，但未完整量化最终影响。</x:v>
      </x:c>
      <x:c r="Q15" s="41" t="str">
        <x:v>B-CODEX-FIN-01</x:v>
      </x:c>
      <x:c r="R15" s="80" t="inlineStr">
        <x:is>
          <x:t>2026-08-28T03:00:25+08:00</x:t>
        </x:is>
      </x:c>
    </x:row>
    <x:row r="16" ht="72" customHeight="1">
      <x:c r="A16" s="64" t="str">
        <x:v>V5-R-Q002-C08</x:v>
      </x:c>
      <x:c r="B16" s="64" t="str">
        <x:v>V5-E-002594-C08</x:v>
      </x:c>
      <x:c r="C16" s="64" t="str">
        <x:v>V5-Q002</x:v>
      </x:c>
      <x:c r="D16" s="40" t="str">
        <x:v>比亚迪</x:v>
      </x:c>
      <x:c r="E16" s="64" t="str">
        <x:v>002594</x:v>
      </x:c>
      <x:c r="F16" s="87" t="n">
        <x:v>46260.75</x:v>
      </x:c>
      <x:c r="G16" s="51" t="str">
        <x:v>智能驾驶功能投入能否形成车型溢价与软件收入</x:v>
      </x:c>
      <x:c r="H16" s="64" t="str">
        <x:v>DOC-EVT-002594-00125</x:v>
      </x:c>
      <x:c r="I16" s="51" t="str">
        <x:v>H股公告（二零二四年中期业绩公告）</x:v>
      </x:c>
      <x:c r="J16" s="87" t="n">
        <x:v>45533</x:v>
      </x:c>
      <x:c r="K16" s="73" t="str">
        <x:v>http://static.cninfo.com.cn/finalpage/2024-08-29/1221030547.PDF</x:v>
      </x:c>
      <x:c r="L16" s="40" t="str">
        <x:v>第24页</x:v>
      </x:c>
      <x:c r="M16" s="51" t="str">
        <x:v>ss. The profit attributable to equity holders of the parent company increased by 24.44% as compared to the same period of previous year, mainly attributable to the growth of the new energy vehicle business. Segmental Information Comparisons of the Group’s revenue by product categories for the six months ended 30 June 2024 and 2023 are illustrated as follows: 2024H1 2024H1 24% Mobile handset components, assembly and other products 76% Automobiles and related products, and other products 二零二四年上半年 手機部件、組裝及 其他產品 汽車、汽車相關產品 及其他產品 2023H1 2023H1 20% Mobile handset components, assembly and other products 80% Automobiles and related products, and ot…</x:v>
      </x:c>
      <x:c r="N16" s="41" t="str">
        <x:v>1-弱相关</x:v>
      </x:c>
      <x:c r="O16" s="41" t="str">
        <x:v>否</x:v>
      </x:c>
      <x:c r="P16" s="57" t="str">
        <x:v>《H股公告（二零二四年中期业绩公告）》仅提供公司阶段性经营、财务或相邻业务背景，未同时覆盖“智能驾驶投入、车型溢价及软件收入变现”的核心变量，相关性较弱。</x:v>
      </x:c>
      <x:c r="Q16" s="41" t="str">
        <x:v>B-CODEX-FIN-01</x:v>
      </x:c>
      <x:c r="R16" s="80" t="inlineStr">
        <x:is>
          <x:t>2026-08-28T03:00:25+08:00</x:t>
        </x:is>
      </x:c>
    </x:row>
    <x:row r="17" ht="72" customHeight="1">
      <x:c r="A17" s="64" t="str">
        <x:v>V5-R-Q002-C09</x:v>
      </x:c>
      <x:c r="B17" s="64" t="str">
        <x:v>V5-E-002594-C09</x:v>
      </x:c>
      <x:c r="C17" s="64" t="str">
        <x:v>V5-Q002</x:v>
      </x:c>
      <x:c r="D17" s="40" t="str">
        <x:v>比亚迪</x:v>
      </x:c>
      <x:c r="E17" s="64" t="str">
        <x:v>002594</x:v>
      </x:c>
      <x:c r="F17" s="87" t="n">
        <x:v>46260.75</x:v>
      </x:c>
      <x:c r="G17" s="51" t="str">
        <x:v>智能驾驶功能投入能否形成车型溢价与软件收入</x:v>
      </x:c>
      <x:c r="H17" s="64" t="str">
        <x:v>DOC-EVT-002594-00192</x:v>
      </x:c>
      <x:c r="I17" s="51" t="str">
        <x:v>H股公告（于二零二五年四月十五日（星期二）临时股东会或其任何续会适用的H股持有人代表委任表格）</x:v>
      </x:c>
      <x:c r="J17" s="87" t="n">
        <x:v>45738</x:v>
      </x:c>
      <x:c r="K17" s="73" t="str">
        <x:v>http://static.cninfo.com.cn/finalpage/2025-03-22/1222868266.PDF</x:v>
      </x:c>
      <x:c r="L17" s="40" t="str">
        <x:v>第1页</x:v>
      </x:c>
      <x:c r="M17" s="51" t="str">
        <x:v>ʮ̡ BYD COMPANY LIMITED ʮ̡ ΅˾໮j01211 ಥ ࿆ ᓞ ̨ ʿ81211ɛ͏࿆ᓞ̨ ၣ१jhttp://www.bydglobal.com א ٙH  ൗ 1 މൗ 1 މʮ̡ ͉ʮ̡ ൗ 2HϞɛd ধ։΂ൗ 3אࢩ މ ։΂ މ ࢭ ༩ 3009༈ ৤ઋҳୃf ᗎϓൗ 4 ˀ࿁ൗ 4 ૝ᛆൗ 4 ˙όj 1.ʮ̡ 2025  ʿՉ f 2.ʮ̡ 2025 f 3.ʮ ̡2025ᗫԫධf ˚ಂj ൗ 5 ൗj 1. ሗฺ͍͜෬ɪΌΤʿήѧf 2. ׵ ͉ʮ̡ H׵ ტɨ Ϟ͉ʮ̡ HϾ։΂f 3. Ϟᛆ։΂ ΂О һ͍ᔊᖦ̙ͪf 4. ࡊ ʫ෬ɪ ✔ࡊ ˀ ʫ෬ɪ ✔ࡊ ʫ෬ɪ  ✔໮ d ɝϞᗫ ۆ މ ტɨҳୃf 5. ̀඲͟ ᐏ މ؇ٰ ɛɻፋഅᖦ໇f 6. Չ ˸ɨήѧ ఱ͉ʮ ̡Hf ήѧνɨj ಥ ᝄ˺ ؇183 ໮ Υձʕː 17M ᅽ 7. ΂Оһ͍d̀඲຾͟ᖦ໇ɛᔊᖦ̙ͪf</x:v>
      </x:c>
      <x:c r="N17" s="41" t="str">
        <x:v>0-无关</x:v>
      </x:c>
      <x:c r="O17" s="41" t="str">
        <x:v>否</x:v>
      </x:c>
      <x:c r="P17" s="57" t="str">
        <x:v>《H股公告（于二零二五年四月十五日（星期二）临时股东会或其任何续会适用的H股持有人代表委任表格）》主要涉及治理、股权、会议、分红或其他事项，未披露“智能驾驶投入、车型溢价及软件收入变现”相关实质证据。</x:v>
      </x:c>
      <x:c r="Q17" s="41" t="str">
        <x:v>B-CODEX-FIN-01</x:v>
      </x:c>
      <x:c r="R17" s="80" t="inlineStr">
        <x:is>
          <x:t>2026-08-28T03:00:25+08:00</x:t>
        </x:is>
      </x:c>
    </x:row>
    <x:row r="18" ht="72" customHeight="1">
      <x:c r="A18" s="64" t="str">
        <x:v>V5-R-Q002-C01</x:v>
      </x:c>
      <x:c r="B18" s="64" t="str">
        <x:v>V5-E-002594-C01</x:v>
      </x:c>
      <x:c r="C18" s="64" t="str">
        <x:v>V5-Q002</x:v>
      </x:c>
      <x:c r="D18" s="40" t="str">
        <x:v>比亚迪</x:v>
      </x:c>
      <x:c r="E18" s="64" t="str">
        <x:v>002594</x:v>
      </x:c>
      <x:c r="F18" s="87" t="n">
        <x:v>46260.75</x:v>
      </x:c>
      <x:c r="G18" s="51" t="str">
        <x:v>智能驾驶功能投入能否形成车型溢价与软件收入</x:v>
      </x:c>
      <x:c r="H18" s="64" t="str">
        <x:v>DOC-EVT-002594-00371</x:v>
      </x:c>
      <x:c r="I18" s="51" t="str">
        <x:v>H股公告（截至二零二五年十二月三十一日止年度之末期股息(更新)）</x:v>
      </x:c>
      <x:c r="J18" s="87" t="n">
        <x:v>46135</x:v>
      </x:c>
      <x:c r="K18" s="73" t="str">
        <x:v>http://static.cninfo.com.cn/finalpage/2026-04-23/1225147071.PDF</x:v>
      </x:c>
      <x:c r="L18" s="40" t="str">
        <x:v>第1页</x:v>
      </x:c>
      <x:c r="M18" s="51" t="str">
        <x:v>EF002 ∉  ૧≡℥ૼ ҂Ớၹ ≡಩b ۡ܄ ứྛದ଀Ẁٺܢְ սὂ  ὥṄ  3.# ଀Ẁְ Ṍⅳ༏ ರ௹ ୍ᄅರ ⊯Ⅲۡ܄ ৘Ⴎ༏ஊứರ ༏ྐ༏ ༏ ྘ ଌ௹ ༏ྟ⊑༏ ṙᆟ୍ଌ ୍ᄅರ ௹ଌ ୍ᄅರ ༏3.# Ọ஻ሙರ௹ ୍ᄅರ ὸẕཌྷἬྐ༏ ඳ≁℟ஊứὥṄ⟦ ὞ੱ⟦ ỡܢ3.# ၂⇊ॖ⇢≢ὥṄᆭ὞ੱ 3.#3.# ༏ྛ൐ὥṄ⇢≢⃴ ൞ ᆸℭཋ⟦ Ԣ㥫ರ ୍ᄅರ Ἶ㊒ ᆭቋᗥℭཋ ୍ᄅರ  ὸ൭⇟ᆭರ௹ Ⴎ ୍ᄅರ ᇀ ୍ᄅರ ὸ仛ರ௹ ୍ᄅರ ༏ஊứರ ୍ᄅರ ᆶ ඳ ⚶ὂ䕭đ ‾đ ᇏྏđ</x:v>
      </x:c>
      <x:c r="N18" s="41" t="str">
        <x:v>0-无关</x:v>
      </x:c>
      <x:c r="O18" s="41" t="str">
        <x:v>否</x:v>
      </x:c>
      <x:c r="P18" s="57" t="str">
        <x:v>《H股公告（截至二零二五年十二月三十一日止年度之末期股息(更新)）》主要涉及治理、股权、会议、分红或其他事项，未披露“智能驾驶投入、车型溢价及软件收入变现”相关实质证据。</x:v>
      </x:c>
      <x:c r="Q18" s="41" t="str">
        <x:v>B-CODEX-FIN-01</x:v>
      </x:c>
      <x:c r="R18" s="80" t="inlineStr">
        <x:is>
          <x:t>2026-08-28T03:00:25+08:00</x:t>
        </x:is>
      </x:c>
    </x:row>
    <x:row r="19" ht="72" customHeight="1">
      <x:c r="A19" s="64" t="str">
        <x:v>V5-R-Q002-C07</x:v>
      </x:c>
      <x:c r="B19" s="64" t="str">
        <x:v>V5-E-002594-C07</x:v>
      </x:c>
      <x:c r="C19" s="64" t="str">
        <x:v>V5-Q002</x:v>
      </x:c>
      <x:c r="D19" s="40" t="str">
        <x:v>比亚迪</x:v>
      </x:c>
      <x:c r="E19" s="64" t="str">
        <x:v>002594</x:v>
      </x:c>
      <x:c r="F19" s="87" t="n">
        <x:v>46260.75</x:v>
      </x:c>
      <x:c r="G19" s="51" t="str">
        <x:v>智能驾驶功能投入能否形成车型溢价与软件收入</x:v>
      </x:c>
      <x:c r="H19" s="64" t="str">
        <x:v>DOC-EVT-002594-00278</x:v>
      </x:c>
      <x:c r="I19" s="51" t="str">
        <x:v>2025年半年度报告摘要</x:v>
      </x:c>
      <x:c r="J19" s="87" t="n">
        <x:v>45899</x:v>
      </x:c>
      <x:c r="K19" s="73" t="str">
        <x:v>http://static.cninfo.com.cn/finalpage/2025-08-30/1224626650.PDF</x:v>
      </x:c>
      <x:c r="L19" s="40" t="str">
        <x:v>第1页</x:v>
      </x:c>
      <x:c r="M19" s="51" t="str">
        <x:v>比亚迪股份有限公司 2025年半年度报告摘要 1 证券代码：002594 证券简称：比亚迪 公告编号：2025-053 比亚迪股份有限公司 2025 年半年度报告摘要 一、重要提示 本半年度报告摘要来自半年度报告全文，为全面了解本公司的经营成果、财务状况及未来发展规划，投资者应当到证监 会指定媒体仔细阅读半年度报告全文。 所有董事均已出席了审议本报告的董事会会议。 非标准审计意见提示 □适用 不适用 董事会审议的报告期利润分配预案或公积金转增股本预案 □适用 不适用 公司计划不派发现金红利，不送红股，不以公积金转增股本。 董事会决议通过的本报告期优先股利润分配预案 □适用 不适用 二、公司基本情况 1、公司简介 股票简称 比亚迪（A股）、比亚迪股份（H股） 股票代码 002594、01211、81211 股票上市交易所 深圳证券交易所、香港联合交易所有限公司 联系人和联系方式 董事会秘书 证券事务代表 姓名 李黔 程燕/吴越 办公地址 深圳市坪山区比亚迪路 3009 号 深圳市坪山区比亚迪路 3009号 电话 （+86）755-8988 8888-62126 （+86）755-8988 8888-62126 电子信箱 db@byd.com db@byd.com 2、主要会计数据和财务指标 公司是否需追溯调整或重述以前年度会计数据 □是 否 本报告期 上年同期 本报告期比上年同期 增减 营业收入（元） 371,280,948,000.00 301,126,713,00…</x:v>
      </x:c>
      <x:c r="N19" s="41" t="str">
        <x:v>1-弱相关</x:v>
      </x:c>
      <x:c r="O19" s="41" t="str">
        <x:v>否</x:v>
      </x:c>
      <x:c r="P19" s="57" t="str">
        <x:v>《2025年半年度报告摘要》仅提供公司阶段性经营、财务或相邻业务背景，未同时覆盖“智能驾驶投入、车型溢价及软件收入变现”的核心变量，相关性较弱。</x:v>
      </x:c>
      <x:c r="Q19" s="41" t="str">
        <x:v>B-CODEX-FIN-01</x:v>
      </x:c>
      <x:c r="R19" s="80" t="inlineStr">
        <x:is>
          <x:t>2026-08-28T03:00:25+08:00</x:t>
        </x:is>
      </x:c>
    </x:row>
    <x:row r="20" ht="72" customHeight="1">
      <x:c r="A20" s="64" t="str">
        <x:v>V5-R-Q002-C02</x:v>
      </x:c>
      <x:c r="B20" s="64" t="str">
        <x:v>V5-E-002594-C02</x:v>
      </x:c>
      <x:c r="C20" s="64" t="str">
        <x:v>V5-Q002</x:v>
      </x:c>
      <x:c r="D20" s="40" t="str">
        <x:v>比亚迪</x:v>
      </x:c>
      <x:c r="E20" s="64" t="str">
        <x:v>002594</x:v>
      </x:c>
      <x:c r="F20" s="87" t="n">
        <x:v>46260.75</x:v>
      </x:c>
      <x:c r="G20" s="51" t="str">
        <x:v>智能驾驶功能投入能否形成车型溢价与软件收入</x:v>
      </x:c>
      <x:c r="H20" s="64" t="str">
        <x:v>DOC-EVT-002594-00092</x:v>
      </x:c>
      <x:c r="I20" s="51" t="str">
        <x:v>2024年一季度报告</x:v>
      </x:c>
      <x:c r="J20" s="87" t="n">
        <x:v>45412</x:v>
      </x:c>
      <x:c r="K20" s="73" t="str">
        <x:v>http://static.cninfo.com.cn/finalpage/2024-04-30/1219909910.PDF</x:v>
      </x:c>
      <x:c r="L20" s="40" t="str">
        <x:v>第2页</x:v>
      </x:c>
      <x:c r="M20" s="51" t="str">
        <x:v>比亚迪股份有限公司 2024 年第一季度报告 2 一、主要财务数据 （一） 主要会计数据和财务指标 公司是否需追溯调整或重述以前年度会计数据 □是 否 本报告期 上年同期 本报告期比上年同期 增减 营业收入（元） 124,944,397,000.00 120,173,608,000.00 3.97% 归属于上市公司股东的净利润（元） 4,568,793,000.00 4,130,063,000.00 10.62% 归属于上市公司股东的扣除非经常性损益 的净利润（元） 3,751,980,000.00 3,565,127,000.00 5.24% 经营活动产生的现金流量净额（元） 10,227,984,000.00 14,465,699,000.00 -29.29% 基本每股收益（元/股） 1.57 1.42 10.56% 稀释每股收益（元/股） 1.57 1.42 10.56% 加权平均净资产收益率 3.24% 3.65% -0.41% 本报告期末 上年度末 本报告期末比上年度 末增减 总资产（元） 677,783,621,000.00 679,547,670,000.00 -0.26% 归属于上市公司股东的所有者权益（元） 143,090,246,000.00 138,810,065,000.00 3.08% （二） 非经常性损益项目和金额 适用 □不适用 单位：元 项目 本报告期金额 说明 非流动性资产处置损益（包括已计提资产减值准备的冲销部分） -261,472,…</x:v>
      </x:c>
      <x:c r="N20" s="41" t="str">
        <x:v>1-弱相关</x:v>
      </x:c>
      <x:c r="O20" s="41" t="str">
        <x:v>否</x:v>
      </x:c>
      <x:c r="P20" s="57" t="str">
        <x:v>《2024年一季度报告》仅提供公司阶段性经营、财务或相邻业务背景，未同时覆盖“智能驾驶投入、车型溢价及软件收入变现”的核心变量，相关性较弱。</x:v>
      </x:c>
      <x:c r="Q20" s="41" t="str">
        <x:v>B-CODEX-FIN-01</x:v>
      </x:c>
      <x:c r="R20" s="80" t="inlineStr">
        <x:is>
          <x:t>2026-08-28T03:00:25+08:00</x:t>
        </x:is>
      </x:c>
    </x:row>
    <x:row r="21" ht="72" customHeight="1">
      <x:c r="A21" s="64" t="str">
        <x:v>V5-R-Q002-C03</x:v>
      </x:c>
      <x:c r="B21" s="64" t="str">
        <x:v>V5-E-002594-C03</x:v>
      </x:c>
      <x:c r="C21" s="64" t="str">
        <x:v>V5-Q002</x:v>
      </x:c>
      <x:c r="D21" s="40" t="str">
        <x:v>比亚迪</x:v>
      </x:c>
      <x:c r="E21" s="64" t="str">
        <x:v>002594</x:v>
      </x:c>
      <x:c r="F21" s="87" t="n">
        <x:v>46260.75</x:v>
      </x:c>
      <x:c r="G21" s="51" t="str">
        <x:v>智能驾驶功能投入能否形成车型溢价与软件收入</x:v>
      </x:c>
      <x:c r="H21" s="64" t="str">
        <x:v>DOC-EVT-002594-00342</x:v>
      </x:c>
      <x:c r="I21" s="51" t="str">
        <x:v>2025年年度报告</x:v>
      </x:c>
      <x:c r="J21" s="87" t="n">
        <x:v>46109</x:v>
      </x:c>
      <x:c r="K21" s="73" t="str">
        <x:v>http://static.cninfo.com.cn/finalpage/2026-03-28/1225045351.PDF</x:v>
      </x:c>
      <x:c r="L21" s="40" t="str">
        <x:v>第37页</x:v>
      </x:c>
      <x:c r="M21" s="51" t="str">
        <x:v>比亚迪股份有限公司 2025 年年度报告全文 37 覆的理念、颠覆的架 构、颠覆的功能，开启 智能化行业格局的重塑 之旅。而”璇玑架构 “则是比亚迪在二十多 年的造车生涯中，探索 技术边界，智电融合的 最好例证，也是承载集 团“整车智能”的战略 的载体，将深度赋能比 亚迪智能化。 想日活动正式发布， 也代表着比亚迪智能 化从战略到架构再次 引领行业，目前已经 有仰望 U8、腾势 N7 等车型采用，未来将 持续赋能比亚迪集团 全系品牌。 载集团“整车智能”战略，基于璇 玑架构在现有的易四方、云辇、DMO 等平台基础上。未来将不断孵化更 多智电融合的技术平台，打造更具 创新性的整车智能化功能，持续引 领行业智能化。 首个“整车智能”的智能 化架构，不再局限于单独 的智能座舱或智能驾驶， 而是将智能化提升到整车 维度，开创行业新格局， 打破市场原有认知，实现 更高维度的智能化产品落 地，未来将持续赋能比亚 迪全系品牌，将各品牌车 型智能化提升到更高维 度，给用户带来更安全、 舒适的用车体验，深度赋 能销售，助力销量节节攀 升。 天神之眼 以“安全”为核心，缓 解驾驶疲劳，减少意外 事故，打造比亚迪“天 神之眼”辅助驾驶系 统，为用户带来安全、 舒适的驾乘体验。 2025 年发布了全民 标配“天神之眼辅助 驾驶战略，以整车智 能的璇玑架构为底 座，多传感器融合感 知，结合行业领先的 一段式端到端算法， 依托中国最大车云数 据库，实现领航辅 助、泊车辅助、主动 安全等多项功能，为 用…</x:v>
      </x:c>
      <x:c r="N21" s="41" t="str">
        <x:v>2-间接相关</x:v>
      </x:c>
      <x:c r="O21" s="41" t="str">
        <x:v>是</x:v>
      </x:c>
      <x:c r="P21" s="57" t="str">
        <x:v>年报披露整车智能架构、车型搭载及持续技术孵化，能够支持“智能驾驶投入、车型溢价及软件收入变现”的中间环节，但未完整量化最终影响。</x:v>
      </x:c>
      <x:c r="Q21" s="41" t="str">
        <x:v>B-CODEX-FIN-01</x:v>
      </x:c>
      <x:c r="R21" s="80" t="inlineStr">
        <x:is>
          <x:t>2026-08-28T03:00:25+08:00</x:t>
        </x:is>
      </x:c>
    </x:row>
    <x:row r="22" ht="72" customHeight="1">
      <x:c r="A22" s="64" t="str">
        <x:v>V5-R-Q003-C09</x:v>
      </x:c>
      <x:c r="B22" s="64" t="str">
        <x:v>V5-E-002594-C09</x:v>
      </x:c>
      <x:c r="C22" s="64" t="str">
        <x:v>V5-Q003</x:v>
      </x:c>
      <x:c r="D22" s="40" t="str">
        <x:v>比亚迪</x:v>
      </x:c>
      <x:c r="E22" s="64" t="str">
        <x:v>002594</x:v>
      </x:c>
      <x:c r="F22" s="87" t="n">
        <x:v>46260.75</x:v>
      </x:c>
      <x:c r="G22" s="51" t="str">
        <x:v>核心零部件垂直整合能否缓冲原材料价格波动</x:v>
      </x:c>
      <x:c r="H22" s="64" t="str">
        <x:v>DOC-EVT-002594-00192</x:v>
      </x:c>
      <x:c r="I22" s="51" t="str">
        <x:v>H股公告（于二零二五年四月十五日（星期二）临时股东会或其任何续会适用的H股持有人代表委任表格）</x:v>
      </x:c>
      <x:c r="J22" s="87" t="n">
        <x:v>45738</x:v>
      </x:c>
      <x:c r="K22" s="73" t="str">
        <x:v>http://static.cninfo.com.cn/finalpage/2025-03-22/1222868266.PDF</x:v>
      </x:c>
      <x:c r="L22" s="40" t="str">
        <x:v>第1页</x:v>
      </x:c>
      <x:c r="M22" s="51" t="str">
        <x:v>ʮ̡ BYD COMPANY LIMITED ʮ̡ ΅˾໮j01211 ಥ ࿆ ᓞ ̨ ʿ81211ɛ͏࿆ᓞ̨ ၣ१jhttp://www.bydglobal.com א ٙH  ൗ 1 މൗ 1 މʮ̡ ͉ʮ̡ ൗ 2HϞɛd ধ։΂ൗ 3אࢩ މ ։΂ މ ࢭ ༩ 3009༈ ৤ઋҳୃf ᗎϓൗ 4 ˀ࿁ൗ 4 ૝ᛆൗ 4 ˙όj 1.ʮ̡ 2025  ʿՉ f 2.ʮ̡ 2025 f 3.ʮ ̡2025ᗫԫධf ˚ಂj ൗ 5 ൗj 1. ሗฺ͍͜෬ɪΌΤʿήѧf 2. ׵ ͉ʮ̡ H׵ ტɨ Ϟ͉ʮ̡ HϾ։΂f 3. Ϟᛆ։΂ ΂О һ͍ᔊᖦ̙ͪf 4. ࡊ ʫ෬ɪ ✔ࡊ ˀ ʫ෬ɪ ✔ࡊ ʫ෬ɪ  ✔໮ d ɝϞᗫ ۆ މ ტɨҳୃf 5. ̀඲͟ ᐏ މ؇ٰ ɛɻፋഅᖦ໇f 6. Չ ˸ɨήѧ ఱ͉ʮ ̡Hf ήѧνɨj ಥ ᝄ˺ ؇183 ໮ Υձʕː 17M ᅽ 7. ΂Оһ͍d̀඲຾͟ᖦ໇ɛᔊᖦ̙ͪf</x:v>
      </x:c>
      <x:c r="N22" s="41" t="str">
        <x:v>0-无关</x:v>
      </x:c>
      <x:c r="O22" s="41" t="str">
        <x:v>否</x:v>
      </x:c>
      <x:c r="P22" s="57" t="str">
        <x:v>《H股公告（于二零二五年四月十五日（星期二）临时股东会或其任何续会适用的H股持有人代表委任表格）》主要涉及治理、股权、会议、分红或其他事项，未披露“零部件垂直整合、材料成本传导与毛利缓冲”相关实质证据。</x:v>
      </x:c>
      <x:c r="Q22" s="41" t="str">
        <x:v>B-CODEX-FIN-01</x:v>
      </x:c>
      <x:c r="R22" s="80" t="inlineStr">
        <x:is>
          <x:t>2026-08-28T03:00:25+08:00</x:t>
        </x:is>
      </x:c>
    </x:row>
    <x:row r="23" ht="72" customHeight="1">
      <x:c r="A23" s="64" t="str">
        <x:v>V5-R-Q003-C07</x:v>
      </x:c>
      <x:c r="B23" s="64" t="str">
        <x:v>V5-E-002594-C07</x:v>
      </x:c>
      <x:c r="C23" s="64" t="str">
        <x:v>V5-Q003</x:v>
      </x:c>
      <x:c r="D23" s="40" t="str">
        <x:v>比亚迪</x:v>
      </x:c>
      <x:c r="E23" s="64" t="str">
        <x:v>002594</x:v>
      </x:c>
      <x:c r="F23" s="87" t="n">
        <x:v>46260.75</x:v>
      </x:c>
      <x:c r="G23" s="51" t="str">
        <x:v>核心零部件垂直整合能否缓冲原材料价格波动</x:v>
      </x:c>
      <x:c r="H23" s="64" t="str">
        <x:v>DOC-EVT-002594-00278</x:v>
      </x:c>
      <x:c r="I23" s="51" t="str">
        <x:v>2025年半年度报告摘要</x:v>
      </x:c>
      <x:c r="J23" s="87" t="n">
        <x:v>45899</x:v>
      </x:c>
      <x:c r="K23" s="73" t="str">
        <x:v>http://static.cninfo.com.cn/finalpage/2025-08-30/1224626650.PDF</x:v>
      </x:c>
      <x:c r="L23" s="40" t="str">
        <x:v>第1页</x:v>
      </x:c>
      <x:c r="M23" s="51" t="str">
        <x:v>比亚迪股份有限公司 2025年半年度报告摘要 1 证券代码：002594 证券简称：比亚迪 公告编号：2025-053 比亚迪股份有限公司 2025 年半年度报告摘要 一、重要提示 本半年度报告摘要来自半年度报告全文，为全面了解本公司的经营成果、财务状况及未来发展规划，投资者应当到证监 会指定媒体仔细阅读半年度报告全文。 所有董事均已出席了审议本报告的董事会会议。 非标准审计意见提示 □适用 不适用 董事会审议的报告期利润分配预案或公积金转增股本预案 □适用 不适用 公司计划不派发现金红利，不送红股，不以公积金转增股本。 董事会决议通过的本报告期优先股利润分配预案 □适用 不适用 二、公司基本情况 1、公司简介 股票简称 比亚迪（A股）、比亚迪股份（H股） 股票代码 002594、01211、81211 股票上市交易所 深圳证券交易所、香港联合交易所有限公司 联系人和联系方式 董事会秘书 证券事务代表 姓名 李黔 程燕/吴越 办公地址 深圳市坪山区比亚迪路 3009 号 深圳市坪山区比亚迪路 3009号 电话 （+86）755-8988 8888-62126 （+86）755-8988 8888-62126 电子信箱 db@byd.com db@byd.com 2、主要会计数据和财务指标 公司是否需追溯调整或重述以前年度会计数据 □是 否 本报告期 上年同期 本报告期比上年同期 增减 营业收入（元） 371,280,948,000.00 301,126,713,00…</x:v>
      </x:c>
      <x:c r="N23" s="41" t="str">
        <x:v>0-无关</x:v>
      </x:c>
      <x:c r="O23" s="41" t="str">
        <x:v>否</x:v>
      </x:c>
      <x:c r="P23" s="57" t="str">
        <x:v>《2025年半年度报告摘要》主要涉及治理、股权、会议、分红或其他事项，未披露“零部件垂直整合、材料成本传导与毛利缓冲”相关实质证据。</x:v>
      </x:c>
      <x:c r="Q23" s="41" t="str">
        <x:v>B-CODEX-FIN-01</x:v>
      </x:c>
      <x:c r="R23" s="80" t="inlineStr">
        <x:is>
          <x:t>2026-08-28T03:00:25+08:00</x:t>
        </x:is>
      </x:c>
    </x:row>
    <x:row r="24" ht="72" customHeight="1">
      <x:c r="A24" s="64" t="str">
        <x:v>V5-R-Q003-C08</x:v>
      </x:c>
      <x:c r="B24" s="64" t="str">
        <x:v>V5-E-002594-C08</x:v>
      </x:c>
      <x:c r="C24" s="64" t="str">
        <x:v>V5-Q003</x:v>
      </x:c>
      <x:c r="D24" s="40" t="str">
        <x:v>比亚迪</x:v>
      </x:c>
      <x:c r="E24" s="64" t="str">
        <x:v>002594</x:v>
      </x:c>
      <x:c r="F24" s="87" t="n">
        <x:v>46260.75</x:v>
      </x:c>
      <x:c r="G24" s="51" t="str">
        <x:v>核心零部件垂直整合能否缓冲原材料价格波动</x:v>
      </x:c>
      <x:c r="H24" s="64" t="str">
        <x:v>DOC-EVT-002594-00125</x:v>
      </x:c>
      <x:c r="I24" s="51" t="str">
        <x:v>H股公告（二零二四年中期业绩公告）</x:v>
      </x:c>
      <x:c r="J24" s="87" t="n">
        <x:v>45533</x:v>
      </x:c>
      <x:c r="K24" s="73" t="str">
        <x:v>http://static.cninfo.com.cn/finalpage/2024-08-29/1221030547.PDF</x:v>
      </x:c>
      <x:c r="L24" s="40" t="str">
        <x:v>第24页</x:v>
      </x:c>
      <x:c r="M24" s="51" t="str">
        <x:v>ss. The profit attributable to equity holders of the parent company increased by 24.44% as compared to the same period of previous year, mainly attributable to the growth of the new energy vehicle business. Segmental Information Comparisons of the Group’s revenue by product categories for the six months ended 30 June 2024 and 2023 are illustrated as follows: 2024H1 2024H1 24% Mobile handset components, assembly and other products 76% Automobiles and related products, and other products 二零二四年上半年 手機部件、組裝及 其他產品 汽車、汽車相關產品 及其他產品 2023H1 2023H1 20% Mobile handset components, assembly and other products 80% Automobiles and related products, and ot…</x:v>
      </x:c>
      <x:c r="N24" s="41" t="str">
        <x:v>1-弱相关</x:v>
      </x:c>
      <x:c r="O24" s="41" t="str">
        <x:v>否</x:v>
      </x:c>
      <x:c r="P24" s="57" t="str">
        <x:v>《H股公告（二零二四年中期业绩公告）》仅提供公司阶段性经营、财务或相邻业务背景，未同时覆盖“零部件垂直整合、材料成本传导与毛利缓冲”的核心变量，相关性较弱。</x:v>
      </x:c>
      <x:c r="Q24" s="41" t="str">
        <x:v>B-CODEX-FIN-01</x:v>
      </x:c>
      <x:c r="R24" s="80" t="inlineStr">
        <x:is>
          <x:t>2026-08-28T03:00:25+08:00</x:t>
        </x:is>
      </x:c>
    </x:row>
    <x:row r="25" ht="72" customHeight="1">
      <x:c r="A25" s="64" t="str">
        <x:v>V5-R-Q003-C10</x:v>
      </x:c>
      <x:c r="B25" s="64" t="str">
        <x:v>V5-E-002594-C10</x:v>
      </x:c>
      <x:c r="C25" s="64" t="str">
        <x:v>V5-Q003</x:v>
      </x:c>
      <x:c r="D25" s="40" t="str">
        <x:v>比亚迪</x:v>
      </x:c>
      <x:c r="E25" s="64" t="str">
        <x:v>002594</x:v>
      </x:c>
      <x:c r="F25" s="87" t="n">
        <x:v>46260.75</x:v>
      </x:c>
      <x:c r="G25" s="51" t="str">
        <x:v>核心零部件垂直整合能否缓冲原材料价格波动</x:v>
      </x:c>
      <x:c r="H25" s="64" t="str">
        <x:v>DOC-EVT-002594-00391</x:v>
      </x:c>
      <x:c r="I25" s="51" t="str">
        <x:v>H股公告（股份发行人及根据《上市规则》第十九B章上市的香港预托证券发行人的证券变动月报表）</x:v>
      </x:c>
      <x:c r="J25" s="87" t="n">
        <x:v>46238</x:v>
      </x:c>
      <x:c r="K25" s="73" t="str">
        <x:v>http://static.cninfo.com.cn/finalpage/2026-08-04/1225454787.PDF</x:v>
      </x:c>
      <x:c r="L25" s="40" t="str">
        <x:v>第9页</x:v>
      </x:c>
      <x:c r="M25" s="51" t="str">
        <x:v>FF301 ∉  7⃷⃾ ῌ ౦㣐༯ğ  č䩏Ď ಆ҆ॻ⇊Ġ  ၘಆ҆੫ྛĠ  čೂႵĎၘჍ੫ྛĠ  ૫नℾཌྷ๝č䩏ĎĠ  ၧၘಆ҆቎ྛĠ  ῂၘứෂ⇀ᆞ⊵Ḿứෂᆞᄝ⊵Ḿᇏ❣ᾞ὜ứෂĠ  ࠣ  Ďb ᆀğ ৙ప ⊊↼ğඳ૝ℼ ದ≇</x:v>
      </x:c>
      <x:c r="N25" s="41" t="str">
        <x:v>0-无关</x:v>
      </x:c>
      <x:c r="O25" s="41" t="str">
        <x:v>否</x:v>
      </x:c>
      <x:c r="P25" s="57" t="str">
        <x:v>《H股公告（股份发行人及根据《上市规则》第十九B章上市的香港预托证券发行人的证券变动月报表）》主要涉及治理、股权、会议、分红或其他事项，未披露“零部件垂直整合、材料成本传导与毛利缓冲”相关实质证据。</x:v>
      </x:c>
      <x:c r="Q25" s="41" t="str">
        <x:v>B-CODEX-FIN-01</x:v>
      </x:c>
      <x:c r="R25" s="80" t="inlineStr">
        <x:is>
          <x:t>2026-08-28T03:00:25+08:00</x:t>
        </x:is>
      </x:c>
    </x:row>
    <x:row r="26" ht="72" customHeight="1">
      <x:c r="A26" s="64" t="str">
        <x:v>V5-R-Q003-C06</x:v>
      </x:c>
      <x:c r="B26" s="64" t="str">
        <x:v>V5-E-002594-C06</x:v>
      </x:c>
      <x:c r="C26" s="64" t="str">
        <x:v>V5-Q003</x:v>
      </x:c>
      <x:c r="D26" s="40" t="str">
        <x:v>比亚迪</x:v>
      </x:c>
      <x:c r="E26" s="64" t="str">
        <x:v>002594</x:v>
      </x:c>
      <x:c r="F26" s="87" t="n">
        <x:v>46260.75</x:v>
      </x:c>
      <x:c r="G26" s="51" t="str">
        <x:v>核心零部件垂直整合能否缓冲原材料价格波动</x:v>
      </x:c>
      <x:c r="H26" s="64" t="str">
        <x:v>DOC-EVT-002594-00282</x:v>
      </x:c>
      <x:c r="I26" s="51" t="str">
        <x:v>关于高级管理人员、核心人员增持公司股份的公告</x:v>
      </x:c>
      <x:c r="J26" s="87" t="n">
        <x:v>45911</x:v>
      </x:c>
      <x:c r="K26" s="73" t="str">
        <x:v>http://static.cninfo.com.cn/finalpage/2025-09-11/1224650870.PDF</x:v>
      </x:c>
      <x:c r="L26" s="40" t="str">
        <x:v>第1页</x:v>
      </x:c>
      <x:c r="M26" s="51" t="str">
        <x:v>1 证券代码：002594 证券简称：比亚迪 公告编号：2025-055 比亚迪股份有限公司 关于高级管理人员、核心人员增持公司股份的公告 本次增持人员保证向本公司提供的信息内容真实、准确、完整，没有虚假记载、 误导性陈述或重大遗漏。 本公司及董事会全体成员保证公告内容与信息披露义务人提供的信息一致。 特别提示： 比亚迪股份有限公司（以下简称“公司”）高级副总裁罗红斌先生、高级副总 裁兼财务总监周亚琳女士、高级副总裁杨冬生先生、副总裁罗忠良先生、副总裁李 巍女士（以下简称“高级管理人员”）于2025年9月1日至2025年9月9日期间通过深 圳证券交易所交易系统以集中竞价交易方式增持公司A股股份共计221,800股，增持 金额共计23,624,192.00元；公司其他32名核心人员（与“高级管理人员”合称“增 持主体”）亦于近日通过深圳证券交易所交易系统以集中竞价交易方式增持公司A 股股份共计266,400股，增持金额共计28,703,624.00元（以上合称“本次增持”）。 增持主体本次增持公司A股股份合计488,200股，增持金额合计52,327,816.00元。 公司接到高级管理人员及核心人员以自有或自筹资金通过深圳证券交易所交易 系统以集中竞价方式增持公司A股股份的通知。现将相关情况公告如下： 一、本次增持主体的基本情况 1、增持主体：高级副总裁罗红斌先生、高级副总裁兼财务总监周亚琳女士、高 级副总裁杨冬生先生、副总裁罗忠良先生、副总裁李巍女士及其他32名核心人员。…</x:v>
      </x:c>
      <x:c r="N26" s="41" t="str">
        <x:v>0-无关</x:v>
      </x:c>
      <x:c r="O26" s="41" t="str">
        <x:v>否</x:v>
      </x:c>
      <x:c r="P26" s="57" t="str">
        <x:v>《关于高级管理人员、核心人员增持公司股份的公告》主要涉及治理、股权、会议、分红或其他事项，未披露“零部件垂直整合、材料成本传导与毛利缓冲”相关实质证据。</x:v>
      </x:c>
      <x:c r="Q26" s="41" t="str">
        <x:v>B-CODEX-FIN-01</x:v>
      </x:c>
      <x:c r="R26" s="80" t="inlineStr">
        <x:is>
          <x:t>2026-08-28T03:00:25+08:00</x:t>
        </x:is>
      </x:c>
    </x:row>
    <x:row r="27" ht="72" customHeight="1">
      <x:c r="A27" s="64" t="str">
        <x:v>V5-R-Q003-C04</x:v>
      </x:c>
      <x:c r="B27" s="64" t="str">
        <x:v>V5-E-002594-C04</x:v>
      </x:c>
      <x:c r="C27" s="64" t="str">
        <x:v>V5-Q003</x:v>
      </x:c>
      <x:c r="D27" s="40" t="str">
        <x:v>比亚迪</x:v>
      </x:c>
      <x:c r="E27" s="64" t="str">
        <x:v>002594</x:v>
      </x:c>
      <x:c r="F27" s="87" t="n">
        <x:v>46260.75</x:v>
      </x:c>
      <x:c r="G27" s="51" t="str">
        <x:v>核心零部件垂直整合能否缓冲原材料价格波动</x:v>
      </x:c>
      <x:c r="H27" s="64" t="str">
        <x:v>DOC-EVT-002594-00385</x:v>
      </x:c>
      <x:c r="I27" s="51" t="str">
        <x:v>H股公告（截至二零二五年十二月三十一日止年度之末期股息（更新））</x:v>
      </x:c>
      <x:c r="J27" s="87" t="n">
        <x:v>46184</x:v>
      </x:c>
      <x:c r="K27" s="73" t="str">
        <x:v>http://static.cninfo.com.cn/finalpage/2026-06-11/1225362889.PDF</x:v>
      </x:c>
      <x:c r="L27" s="40" t="str">
        <x:v>第1页</x:v>
      </x:c>
      <x:c r="M27" s="51" t="str">
        <x:v>EF002 ∉  ૧≡℥ૼ ҂Ớၹ ≡಩b ۡ܄ ứྛದ଀Ẁٺܢְ սὂ  ὥṄ  3.# ଀Ẁְ Ṍⅳ༏ ರ௹ ୍ᄅರ ⊯Ⅲۡ܄ ৘Ⴎᆸℭཋ ༏ྐ༏ ༏ ྘ ଌ௹ ༏ྟ⊑༏ ṙᆟ୍ଌ ୍ᄅರ ௹ଌ ୍ᄅರ ༏3.# Ọ஻ሙರ௹ ୍ᄅರ ὸẕཌྷἬྐ༏ ඳ≁℟ஊứὥṄ%,)ܢ ὞ੱ 3.#),% ỡܢ3.# ၂⇊ॖ⇢≢ὥṄᆭ὞ੱ 3.#3.# ༏ྛ൐ὥṄ⇢≢⃴ ൞ ᆸℭཋ ୍ᄅರ  Ԣ㥫ರ ୍ᄅರ Ἶ㊒ ᆭቋᗥℭཋ୍ᄅರ  ὸ൭⇟ᆭರ௹ Ⴎ ୍ᄅರ ᇀ ୍ᄅರ ὸ仛ರ௹ ୍ᄅರ ༏ஊứರ ୍ᄅರ ᆶ ඳ ⚶ὂ䕭đ ‾đ ᇏྏđ</x:v>
      </x:c>
      <x:c r="N27" s="41" t="str">
        <x:v>0-无关</x:v>
      </x:c>
      <x:c r="O27" s="41" t="str">
        <x:v>否</x:v>
      </x:c>
      <x:c r="P27" s="57" t="str">
        <x:v>《H股公告（截至二零二五年十二月三十一日止年度之末期股息（更新））》主要涉及治理、股权、会议、分红或其他事项，未披露“零部件垂直整合、材料成本传导与毛利缓冲”相关实质证据。</x:v>
      </x:c>
      <x:c r="Q27" s="41" t="str">
        <x:v>B-CODEX-FIN-01</x:v>
      </x:c>
      <x:c r="R27" s="80" t="inlineStr">
        <x:is>
          <x:t>2026-08-28T03:00:25+08:00</x:t>
        </x:is>
      </x:c>
    </x:row>
    <x:row r="28" ht="72" customHeight="1">
      <x:c r="A28" s="64" t="str">
        <x:v>V5-R-Q003-C05</x:v>
      </x:c>
      <x:c r="B28" s="64" t="str">
        <x:v>V5-E-002594-C05</x:v>
      </x:c>
      <x:c r="C28" s="64" t="str">
        <x:v>V5-Q003</x:v>
      </x:c>
      <x:c r="D28" s="40" t="str">
        <x:v>比亚迪</x:v>
      </x:c>
      <x:c r="E28" s="64" t="str">
        <x:v>002594</x:v>
      </x:c>
      <x:c r="F28" s="87" t="n">
        <x:v>46260.75</x:v>
      </x:c>
      <x:c r="G28" s="51" t="str">
        <x:v>核心零部件垂直整合能否缓冲原材料价格波动</x:v>
      </x:c>
      <x:c r="H28" s="64" t="str">
        <x:v>DOC-EVT-002594-00363</x:v>
      </x:c>
      <x:c r="I28" s="51" t="str">
        <x:v>H股公告（二零二五年年度业绩公布）</x:v>
      </x:c>
      <x:c r="J28" s="87" t="n">
        <x:v>46112</x:v>
      </x:c>
      <x:c r="K28" s="73" t="str">
        <x:v>http://static.cninfo.com.cn/finalpage/2026-03-31/1225052525.PDF</x:v>
      </x:c>
      <x:c r="L28" s="40" t="str">
        <x:v>第44页</x:v>
      </x:c>
      <x:c r="M28" s="51" t="str">
        <x:v>44 BYD Company Limited ʮ̡ Management Discussion and Analysis ؓ 以關鍵零部件為技術底座，持續發力新能 源全域佈局 新能源商用車領域，本集團採取靈活務實的 戰略部署，持續深化市場佈局，依託領先技 術不斷推出適配多元場景需求的優質產品， 穩步提升整體運營效能。根據中國客車統計 信息網數據，二零二五年，本集團新能源客 車出口蟬聯年度冠軍，連續三年穩居該排行 榜首位，市場份額達 24% ，充分彰顯了本集 團在全球綠色交通領域的領導地位和強勁增 長動能。期內，作為業內唯一掌握 「三電一 芯」 新能源核心技術、並長期專注於新能源 商用車研發與應用的企業，本集團再次突破 既有技術平台邊界，成功發佈 「e-Bus 平台 3.0」 ，推動電動客車邁向 「電比油強」 的新階 段，進一步樹立新能源客車技術新標桿，為 全球客車電動化發展注入強勁動能。 二次充電電池領域，本集團持續深化業務 佈局，以領先的技術實力及規模化優勢穩 居國內前列，業務保持穩健增長。儲能業 務方面，本集團二零二五年全球系統出貨 量超60GWh，位列全球儲能系統出貨廠家 第一。依託全球領先的電池研發製造技術和 強大的創新能力，本集團以垂直整合構築核 心優勢，已構建覆蓋 「BESS-PCS-EMS 」的 儲能 「從芯到網」 全產業鏈生態，產品涵蓋 電源側、電網側、工商業、閃充及家庭儲 能等應用領域，已為國內外超 650 個大型儲 能項目提供安全可靠的儲能系統解決方案，…</x:v>
      </x:c>
      <x:c r="N28" s="41" t="str">
        <x:v>2-间接相关</x:v>
      </x:c>
      <x:c r="O28" s="41" t="str">
        <x:v>是</x:v>
      </x:c>
      <x:c r="P28" s="57" t="str">
        <x:v>年度业绩披露以关键零部件为技术底座并推进新能源全域布局，能够支持“零部件垂直整合、材料成本传导与毛利缓冲”的中间环节，但未完整量化最终影响。</x:v>
      </x:c>
      <x:c r="Q28" s="41" t="str">
        <x:v>B-CODEX-FIN-01</x:v>
      </x:c>
      <x:c r="R28" s="80" t="inlineStr">
        <x:is>
          <x:t>2026-08-28T03:00:25+08:00</x:t>
        </x:is>
      </x:c>
    </x:row>
    <x:row r="29" ht="72" customHeight="1">
      <x:c r="A29" s="64" t="str">
        <x:v>V5-R-Q003-C01</x:v>
      </x:c>
      <x:c r="B29" s="64" t="str">
        <x:v>V5-E-002594-C01</x:v>
      </x:c>
      <x:c r="C29" s="64" t="str">
        <x:v>V5-Q003</x:v>
      </x:c>
      <x:c r="D29" s="40" t="str">
        <x:v>比亚迪</x:v>
      </x:c>
      <x:c r="E29" s="64" t="str">
        <x:v>002594</x:v>
      </x:c>
      <x:c r="F29" s="87" t="n">
        <x:v>46260.75</x:v>
      </x:c>
      <x:c r="G29" s="51" t="str">
        <x:v>核心零部件垂直整合能否缓冲原材料价格波动</x:v>
      </x:c>
      <x:c r="H29" s="64" t="str">
        <x:v>DOC-EVT-002594-00371</x:v>
      </x:c>
      <x:c r="I29" s="51" t="str">
        <x:v>H股公告（截至二零二五年十二月三十一日止年度之末期股息(更新)）</x:v>
      </x:c>
      <x:c r="J29" s="87" t="n">
        <x:v>46135</x:v>
      </x:c>
      <x:c r="K29" s="73" t="str">
        <x:v>http://static.cninfo.com.cn/finalpage/2026-04-23/1225147071.PDF</x:v>
      </x:c>
      <x:c r="L29" s="40" t="str">
        <x:v>第1页</x:v>
      </x:c>
      <x:c r="M29" s="51" t="str">
        <x:v>EF002 ∉  ૧≡℥ૼ ҂Ớၹ ≡಩b ۡ܄ ứྛದ଀Ẁٺܢְ սὂ  ὥṄ  3.# ଀Ẁְ Ṍⅳ༏ ರ௹ ୍ᄅರ ⊯Ⅲۡ܄ ৘Ⴎ༏ஊứರ ༏ྐ༏ ༏ ྘ ଌ௹ ༏ྟ⊑༏ ṙᆟ୍ଌ ୍ᄅರ ௹ଌ ୍ᄅರ ༏3.# Ọ஻ሙರ௹ ୍ᄅರ ὸẕཌྷἬྐ༏ ඳ≁℟ஊứὥṄ⟦ ὞ੱ⟦ ỡܢ3.# ၂⇊ॖ⇢≢ὥṄᆭ὞ੱ 3.#3.# ༏ྛ൐ὥṄ⇢≢⃴ ൞ ᆸℭཋ⟦ Ԣ㥫ರ ୍ᄅರ Ἶ㊒ ᆭቋᗥℭཋ ୍ᄅರ  ὸ൭⇟ᆭರ௹ Ⴎ ୍ᄅರ ᇀ ୍ᄅರ ὸ仛ರ௹ ୍ᄅರ ༏ஊứರ ୍ᄅರ ᆶ ඳ ⚶ὂ䕭đ ‾đ ᇏྏđ</x:v>
      </x:c>
      <x:c r="N29" s="41" t="str">
        <x:v>0-无关</x:v>
      </x:c>
      <x:c r="O29" s="41" t="str">
        <x:v>否</x:v>
      </x:c>
      <x:c r="P29" s="57" t="str">
        <x:v>《H股公告（截至二零二五年十二月三十一日止年度之末期股息(更新)）》主要涉及治理、股权、会议、分红或其他事项，未披露“零部件垂直整合、材料成本传导与毛利缓冲”相关实质证据。</x:v>
      </x:c>
      <x:c r="Q29" s="41" t="str">
        <x:v>B-CODEX-FIN-01</x:v>
      </x:c>
      <x:c r="R29" s="80" t="inlineStr">
        <x:is>
          <x:t>2026-08-28T03:00:25+08:00</x:t>
        </x:is>
      </x:c>
    </x:row>
    <x:row r="30" ht="72" customHeight="1">
      <x:c r="A30" s="64" t="str">
        <x:v>V5-R-Q003-C03</x:v>
      </x:c>
      <x:c r="B30" s="64" t="str">
        <x:v>V5-E-002594-C03</x:v>
      </x:c>
      <x:c r="C30" s="64" t="str">
        <x:v>V5-Q003</x:v>
      </x:c>
      <x:c r="D30" s="40" t="str">
        <x:v>比亚迪</x:v>
      </x:c>
      <x:c r="E30" s="64" t="str">
        <x:v>002594</x:v>
      </x:c>
      <x:c r="F30" s="87" t="n">
        <x:v>46260.75</x:v>
      </x:c>
      <x:c r="G30" s="51" t="str">
        <x:v>核心零部件垂直整合能否缓冲原材料价格波动</x:v>
      </x:c>
      <x:c r="H30" s="64" t="str">
        <x:v>DOC-EVT-002594-00342</x:v>
      </x:c>
      <x:c r="I30" s="51" t="str">
        <x:v>2025年年度报告</x:v>
      </x:c>
      <x:c r="J30" s="87" t="n">
        <x:v>46109</x:v>
      </x:c>
      <x:c r="K30" s="73" t="str">
        <x:v>http://static.cninfo.com.cn/finalpage/2026-03-28/1225045351.PDF</x:v>
      </x:c>
      <x:c r="L30" s="40" t="str">
        <x:v>第48页</x:v>
      </x:c>
      <x:c r="M30" s="51" t="str">
        <x:v>，商务部等九部门联合印发《关于实施绿色消费推进行动的通知》，顺应「十五五」规划， 加快消费模式绿色转型。在智能化方面，国家支持政策亦将持续聚焦智能化升级、「AI+制造」全链条融合，重点支持新 能源汽车、AI 与高端芯片等电子智能制造领域。一月，工信部等八部门联合印发的《人工智能 +制造专项行动实施意见》 明确提出要强化智能芯片、智算设施等核心环节，助力制造业产业升级 。在人工智能浪潮中，自动驾驶不仅是技术革新， 更是汽车产业从「交通工具」迈向「智能消费品」的关键。随着首批 L3 级自动驾驶车型于二零二五年十二月获准上路试 点，二零二六年产业将迈入有序商业化阶段，加速新能源汽车产品的升级迭代，带领行业产品力整体提升。 中国新能源汽车产业已确立全球领先地位，但二零二六年 仍面临多重挑战。市场层面，持续的价格战与高度竞争环 境正压缩车企盈利空间；政策方面，以旧换新政策与地方性激励的动态优化，可能短期影响消费节奏；产业链方面，关 键原材料价格波动、核心零部件的稳定供应形成新的挑战，且地缘政治紧张局势可能加剧海外贸易壁垒，阻碍出口扩张。 面对诸多挑战，本集团作为领军者，将以迎难而上的姿态，坚定不移地强化核心技术自主创新，提升上游资源供应保障 韧性，持续优化产品品牌矩阵，并加速海外本地化进程，以有效抵御外部冲击，确保在复杂多变的市场环境下实现稳健 增长，持续引领行业发展。 1．汽车及电池业务 进入「十五五」发展周期，中国新能源汽车产业将迎来技术深度迭代、智能电动全面融合与全球化纵深拓展…</x:v>
      </x:c>
      <x:c r="N30" s="41" t="str">
        <x:v>1-弱相关</x:v>
      </x:c>
      <x:c r="O30" s="41" t="str">
        <x:v>否</x:v>
      </x:c>
      <x:c r="P30" s="57" t="str">
        <x:v>《2025年年度报告》仅提供公司阶段性经营、财务或相邻业务背景，未同时覆盖“零部件垂直整合、材料成本传导与毛利缓冲”的核心变量，相关性较弱。</x:v>
      </x:c>
      <x:c r="Q30" s="41" t="str">
        <x:v>B-CODEX-FIN-01</x:v>
      </x:c>
      <x:c r="R30" s="80" t="inlineStr">
        <x:is>
          <x:t>2026-08-28T03:00:25+08:00</x:t>
        </x:is>
      </x:c>
    </x:row>
    <x:row r="31" ht="72" customHeight="1">
      <x:c r="A31" s="64" t="str">
        <x:v>V5-R-Q003-C02</x:v>
      </x:c>
      <x:c r="B31" s="64" t="str">
        <x:v>V5-E-002594-C02</x:v>
      </x:c>
      <x:c r="C31" s="64" t="str">
        <x:v>V5-Q003</x:v>
      </x:c>
      <x:c r="D31" s="40" t="str">
        <x:v>比亚迪</x:v>
      </x:c>
      <x:c r="E31" s="64" t="str">
        <x:v>002594</x:v>
      </x:c>
      <x:c r="F31" s="87" t="n">
        <x:v>46260.75</x:v>
      </x:c>
      <x:c r="G31" s="51" t="str">
        <x:v>核心零部件垂直整合能否缓冲原材料价格波动</x:v>
      </x:c>
      <x:c r="H31" s="64" t="str">
        <x:v>DOC-EVT-002594-00092</x:v>
      </x:c>
      <x:c r="I31" s="51" t="str">
        <x:v>2024年一季度报告</x:v>
      </x:c>
      <x:c r="J31" s="87" t="n">
        <x:v>45412</x:v>
      </x:c>
      <x:c r="K31" s="73" t="str">
        <x:v>http://static.cninfo.com.cn/finalpage/2024-04-30/1219909910.PDF</x:v>
      </x:c>
      <x:c r="L31" s="40" t="str">
        <x:v>第3页</x:v>
      </x:c>
      <x:c r="M31" s="51" t="str">
        <x:v>比亚迪股份有限公司 2024 年第一季度报告 3 （三） 主要会计数据和财务指标发生变动的情况及原因 适用 □不适用 资产负债表 单位：元 科目名称 2024/3/31 2023/12/31 变动率 变动原因 预付款项 3,010,857,000.00 2,215,413,000.00 35.90% 主要是材料采购的预付款增加所致 长期待摊费用 5,376,231,000.00 4,062,529,000.00 32.34% 主要是使用权资产的改良支出增加所致 交易性金融负债 98,177,000.00 7,713,000.00 1172.88% 主要是远期购结汇业务变动所致 其他流动负债 2,582,963,000.00 1,829,276,000.00 41.20% 主要是待转销项税增加所致 损益表 单位：元 科目名称 2024 年 1-3 月 2023 年 1-3 月 变动率 变动原因 销售费用 6,803,589,000.00 4,648,263,000.00 46.37% 主要是广告展览费和折旧及摊销增加所致 研究及开发费用 10,610,654,000.00 6,237,909,000.00 70.10% 主要是职工薪酬及物料消耗增加所致 财务费用 -193,961,000.00 5,910,000.00 -3381.91% 主要是汇率波动导致汇兑损益变动所致 其他收益 1,796,253,000.00 687,719,000.00 161.19% 主要是与日…</x:v>
      </x:c>
      <x:c r="N31" s="41" t="str">
        <x:v>1-弱相关</x:v>
      </x:c>
      <x:c r="O31" s="41" t="str">
        <x:v>否</x:v>
      </x:c>
      <x:c r="P31" s="57" t="str">
        <x:v>《2024年一季度报告》仅提供公司阶段性经营、财务或相邻业务背景，未同时覆盖“零部件垂直整合、材料成本传导与毛利缓冲”的核心变量，相关性较弱。</x:v>
      </x:c>
      <x:c r="Q31" s="41" t="str">
        <x:v>B-CODEX-FIN-01</x:v>
      </x:c>
      <x:c r="R31" s="80" t="inlineStr">
        <x:is>
          <x:t>2026-08-28T03:00:25+08:00</x:t>
        </x:is>
      </x:c>
    </x:row>
    <x:row r="32" ht="72" customHeight="1">
      <x:c r="A32" s="64" t="str">
        <x:v>V5-R-Q004-C06</x:v>
      </x:c>
      <x:c r="B32" s="64" t="str">
        <x:v>V5-E-002594-C06</x:v>
      </x:c>
      <x:c r="C32" s="64" t="str">
        <x:v>V5-Q004</x:v>
      </x:c>
      <x:c r="D32" s="40" t="str">
        <x:v>比亚迪</x:v>
      </x:c>
      <x:c r="E32" s="64" t="str">
        <x:v>002594</x:v>
      </x:c>
      <x:c r="F32" s="87" t="n">
        <x:v>46260.75</x:v>
      </x:c>
      <x:c r="G32" s="51" t="str">
        <x:v>区域市场多元化能否降低单一海外市场政策风险</x:v>
      </x:c>
      <x:c r="H32" s="64" t="str">
        <x:v>DOC-EVT-002594-00282</x:v>
      </x:c>
      <x:c r="I32" s="51" t="str">
        <x:v>关于高级管理人员、核心人员增持公司股份的公告</x:v>
      </x:c>
      <x:c r="J32" s="87" t="n">
        <x:v>45911</x:v>
      </x:c>
      <x:c r="K32" s="73" t="str">
        <x:v>http://static.cninfo.com.cn/finalpage/2025-09-11/1224650870.PDF</x:v>
      </x:c>
      <x:c r="L32" s="40" t="str">
        <x:v>第1页</x:v>
      </x:c>
      <x:c r="M32" s="51" t="str">
        <x:v>1 证券代码：002594 证券简称：比亚迪 公告编号：2025-055 比亚迪股份有限公司 关于高级管理人员、核心人员增持公司股份的公告 本次增持人员保证向本公司提供的信息内容真实、准确、完整，没有虚假记载、 误导性陈述或重大遗漏。 本公司及董事会全体成员保证公告内容与信息披露义务人提供的信息一致。 特别提示： 比亚迪股份有限公司（以下简称“公司”）高级副总裁罗红斌先生、高级副总 裁兼财务总监周亚琳女士、高级副总裁杨冬生先生、副总裁罗忠良先生、副总裁李 巍女士（以下简称“高级管理人员”）于2025年9月1日至2025年9月9日期间通过深 圳证券交易所交易系统以集中竞价交易方式增持公司A股股份共计221,800股，增持 金额共计23,624,192.00元；公司其他32名核心人员（与“高级管理人员”合称“增 持主体”）亦于近日通过深圳证券交易所交易系统以集中竞价交易方式增持公司A 股股份共计266,400股，增持金额共计28,703,624.00元（以上合称“本次增持”）。 增持主体本次增持公司A股股份合计488,200股，增持金额合计52,327,816.00元。 公司接到高级管理人员及核心人员以自有或自筹资金通过深圳证券交易所交易 系统以集中竞价方式增持公司A股股份的通知。现将相关情况公告如下： 一、本次增持主体的基本情况 1、增持主体：高级副总裁罗红斌先生、高级副总裁兼财务总监周亚琳女士、高 级副总裁杨冬生先生、副总裁罗忠良先生、副总裁李巍女士及其他32名核心人员。…</x:v>
      </x:c>
      <x:c r="N32" s="41" t="str">
        <x:v>0-无关</x:v>
      </x:c>
      <x:c r="O32" s="41" t="str">
        <x:v>否</x:v>
      </x:c>
      <x:c r="P32" s="57" t="str">
        <x:v>《关于高级管理人员、核心人员增持公司股份的公告》主要涉及治理、股权、会议、分红或其他事项，未披露“海外区域分散度与单一市场政策风险”相关实质证据。</x:v>
      </x:c>
      <x:c r="Q32" s="41" t="str">
        <x:v>B-CODEX-FIN-01</x:v>
      </x:c>
      <x:c r="R32" s="80" t="inlineStr">
        <x:is>
          <x:t>2026-08-28T03:00:25+08:00</x:t>
        </x:is>
      </x:c>
    </x:row>
    <x:row r="33" ht="72" customHeight="1">
      <x:c r="A33" s="64" t="str">
        <x:v>V5-R-Q004-C04</x:v>
      </x:c>
      <x:c r="B33" s="64" t="str">
        <x:v>V5-E-002594-C04</x:v>
      </x:c>
      <x:c r="C33" s="64" t="str">
        <x:v>V5-Q004</x:v>
      </x:c>
      <x:c r="D33" s="40" t="str">
        <x:v>比亚迪</x:v>
      </x:c>
      <x:c r="E33" s="64" t="str">
        <x:v>002594</x:v>
      </x:c>
      <x:c r="F33" s="87" t="n">
        <x:v>46260.75</x:v>
      </x:c>
      <x:c r="G33" s="51" t="str">
        <x:v>区域市场多元化能否降低单一海外市场政策风险</x:v>
      </x:c>
      <x:c r="H33" s="64" t="str">
        <x:v>DOC-EVT-002594-00385</x:v>
      </x:c>
      <x:c r="I33" s="51" t="str">
        <x:v>H股公告（截至二零二五年十二月三十一日止年度之末期股息（更新））</x:v>
      </x:c>
      <x:c r="J33" s="87" t="n">
        <x:v>46184</x:v>
      </x:c>
      <x:c r="K33" s="73" t="str">
        <x:v>http://static.cninfo.com.cn/finalpage/2026-06-11/1225362889.PDF</x:v>
      </x:c>
      <x:c r="L33" s="40" t="str">
        <x:v>第1页</x:v>
      </x:c>
      <x:c r="M33" s="51" t="str">
        <x:v>EF002 ∉  ૧≡℥ૼ ҂Ớၹ ≡಩b ۡ܄ ứྛದ଀Ẁٺܢְ սὂ  ὥṄ  3.# ଀Ẁְ Ṍⅳ༏ ರ௹ ୍ᄅರ ⊯Ⅲۡ܄ ৘Ⴎᆸℭཋ ༏ྐ༏ ༏ ྘ ଌ௹ ༏ྟ⊑༏ ṙᆟ୍ଌ ୍ᄅರ ௹ଌ ୍ᄅರ ༏3.# Ọ஻ሙರ௹ ୍ᄅರ ὸẕཌྷἬྐ༏ ඳ≁℟ஊứὥṄ%,)ܢ ὞ੱ 3.#),% ỡܢ3.# ၂⇊ॖ⇢≢ὥṄᆭ὞ੱ 3.#3.# ༏ྛ൐ὥṄ⇢≢⃴ ൞ ᆸℭཋ ୍ᄅರ  Ԣ㥫ರ ୍ᄅರ Ἶ㊒ ᆭቋᗥℭཋ୍ᄅರ  ὸ൭⇟ᆭರ௹ Ⴎ ୍ᄅರ ᇀ ୍ᄅರ ὸ仛ರ௹ ୍ᄅರ ༏ஊứರ ୍ᄅರ ᆶ ඳ ⚶ὂ䕭đ ‾đ ᇏྏđ</x:v>
      </x:c>
      <x:c r="N33" s="41" t="str">
        <x:v>0-无关</x:v>
      </x:c>
      <x:c r="O33" s="41" t="str">
        <x:v>否</x:v>
      </x:c>
      <x:c r="P33" s="57" t="str">
        <x:v>《H股公告（截至二零二五年十二月三十一日止年度之末期股息（更新））》主要涉及治理、股权、会议、分红或其他事项，未披露“海外区域分散度与单一市场政策风险”相关实质证据。</x:v>
      </x:c>
      <x:c r="Q33" s="41" t="str">
        <x:v>B-CODEX-FIN-01</x:v>
      </x:c>
      <x:c r="R33" s="80" t="inlineStr">
        <x:is>
          <x:t>2026-08-28T03:00:25+08:00</x:t>
        </x:is>
      </x:c>
    </x:row>
    <x:row r="34" ht="72" customHeight="1">
      <x:c r="A34" s="64" t="str">
        <x:v>V5-R-Q004-C03</x:v>
      </x:c>
      <x:c r="B34" s="64" t="str">
        <x:v>V5-E-002594-C03</x:v>
      </x:c>
      <x:c r="C34" s="64" t="str">
        <x:v>V5-Q004</x:v>
      </x:c>
      <x:c r="D34" s="40" t="str">
        <x:v>比亚迪</x:v>
      </x:c>
      <x:c r="E34" s="64" t="str">
        <x:v>002594</x:v>
      </x:c>
      <x:c r="F34" s="87" t="n">
        <x:v>46260.75</x:v>
      </x:c>
      <x:c r="G34" s="51" t="str">
        <x:v>区域市场多元化能否降低单一海外市场政策风险</x:v>
      </x:c>
      <x:c r="H34" s="64" t="str">
        <x:v>DOC-EVT-002594-00342</x:v>
      </x:c>
      <x:c r="I34" s="51" t="str">
        <x:v>2025年年度报告</x:v>
      </x:c>
      <x:c r="J34" s="87" t="n">
        <x:v>46109</x:v>
      </x:c>
      <x:c r="K34" s="73" t="str">
        <x:v>http://static.cninfo.com.cn/finalpage/2026-03-28/1225045351.PDF</x:v>
      </x:c>
      <x:c r="L34" s="40" t="str">
        <x:v>第50页</x:v>
      </x:c>
      <x:c r="M34" s="51" t="str">
        <x:v>比亚迪股份有限公司 2025 年年度报告全文 50 本集团矢志不渝，以颠覆性技术为矛、高质量产品为盾，铸就品牌核心基因。面向未来，本集团将持续攻坚核心技 术，丰盈产品矩阵，精进销售渠道，革新营销模式，精准回应消费者对安全、智能、便利、环保及极致体验的多元个性 化诉求，进一步夯实大众化市场主流领导地位，并擎领高端品牌迈入新一轮增长周期。 另一方面，本集团积极推动品牌突破，二月份，本集团宣布全新子品牌「领汇」，定位为「超价值出行践行者」， 专注美好出行，拥有独立的渠道体系，致力以高技术、普惠化的产品方案，满足多元市场需求。 强势出海，高端领航，铸就世界新标杆 本集团汽车业务出海步伐全面提速，海外业务已跃升为全新核心增长极，更成为中国新能源汽车走向世界的一张璀 璨名片。本集团将依托新能源技术与产品实力的全球领先优势，积极延展产品线、完善海外产能与销售网络、构建全球 化供应链体系、搭建自有运力体系；尤为关键的是，高端品牌出海 是本集团出海战略的关键落子，多个车型已陆续亮相 海外市场，并将渐次面向全球发布上市，持续纵深全球化战略布局。 深耕新能源相关领域，打造全球绿色新未來 本集团将持续为全球各国家和地区提供可持续、零排放、智能化的公共交通解决方案，依托行业领先的创新技术， 推出市场高度认可的绿色环保高品质公共交通产品与服务，积极推动低碳社会的快速普及与健康发展。 二次充电电池领域，全球储能系统集成市场正经历深度重构，行业竞争已由规模与价格竞争，升级为技术、品牌及 生态的综合价值竞争…</x:v>
      </x:c>
      <x:c r="N34" s="41" t="str">
        <x:v>2-间接相关</x:v>
      </x:c>
      <x:c r="O34" s="41" t="str">
        <x:v>是</x:v>
      </x:c>
      <x:c r="P34" s="57" t="str">
        <x:v>年报披露全球业务布局及多元市场拓展，能够支持“海外区域分散度与单一市场政策风险”的中间环节，但未完整量化最终影响。</x:v>
      </x:c>
      <x:c r="Q34" s="41" t="str">
        <x:v>B-CODEX-FIN-01</x:v>
      </x:c>
      <x:c r="R34" s="80" t="inlineStr">
        <x:is>
          <x:t>2026-08-28T03:00:25+08:00</x:t>
        </x:is>
      </x:c>
    </x:row>
    <x:row r="35" ht="72" customHeight="1">
      <x:c r="A35" s="64" t="str">
        <x:v>V5-R-Q004-C09</x:v>
      </x:c>
      <x:c r="B35" s="64" t="str">
        <x:v>V5-E-002594-C09</x:v>
      </x:c>
      <x:c r="C35" s="64" t="str">
        <x:v>V5-Q004</x:v>
      </x:c>
      <x:c r="D35" s="40" t="str">
        <x:v>比亚迪</x:v>
      </x:c>
      <x:c r="E35" s="64" t="str">
        <x:v>002594</x:v>
      </x:c>
      <x:c r="F35" s="87" t="n">
        <x:v>46260.75</x:v>
      </x:c>
      <x:c r="G35" s="51" t="str">
        <x:v>区域市场多元化能否降低单一海外市场政策风险</x:v>
      </x:c>
      <x:c r="H35" s="64" t="str">
        <x:v>DOC-EVT-002594-00192</x:v>
      </x:c>
      <x:c r="I35" s="51" t="str">
        <x:v>H股公告（于二零二五年四月十五日（星期二）临时股东会或其任何续会适用的H股持有人代表委任表格）</x:v>
      </x:c>
      <x:c r="J35" s="87" t="n">
        <x:v>45738</x:v>
      </x:c>
      <x:c r="K35" s="73" t="str">
        <x:v>http://static.cninfo.com.cn/finalpage/2025-03-22/1222868266.PDF</x:v>
      </x:c>
      <x:c r="L35" s="40" t="str">
        <x:v>第1页</x:v>
      </x:c>
      <x:c r="M35" s="51" t="str">
        <x:v>ʮ̡ BYD COMPANY LIMITED ʮ̡ ΅˾໮j01211 ಥ ࿆ ᓞ ̨ ʿ81211ɛ͏࿆ᓞ̨ ၣ१jhttp://www.bydglobal.com א ٙH  ൗ 1 މൗ 1 މʮ̡ ͉ʮ̡ ൗ 2HϞɛd ধ։΂ൗ 3אࢩ މ ։΂ މ ࢭ ༩ 3009༈ ৤ઋҳୃf ᗎϓൗ 4 ˀ࿁ൗ 4 ૝ᛆൗ 4 ˙όj 1.ʮ̡ 2025  ʿՉ f 2.ʮ̡ 2025 f 3.ʮ ̡2025ᗫԫධf ˚ಂj ൗ 5 ൗj 1. ሗฺ͍͜෬ɪΌΤʿήѧf 2. ׵ ͉ʮ̡ H׵ ტɨ Ϟ͉ʮ̡ HϾ։΂f 3. Ϟᛆ։΂ ΂О һ͍ᔊᖦ̙ͪf 4. ࡊ ʫ෬ɪ ✔ࡊ ˀ ʫ෬ɪ ✔ࡊ ʫ෬ɪ  ✔໮ d ɝϞᗫ ۆ މ ტɨҳୃf 5. ̀඲͟ ᐏ މ؇ٰ ɛɻፋഅᖦ໇f 6. Չ ˸ɨήѧ ఱ͉ʮ ̡Hf ήѧνɨj ಥ ᝄ˺ ؇183 ໮ Υձʕː 17M ᅽ 7. ΂Оһ͍d̀඲຾͟ᖦ໇ɛᔊᖦ̙ͪf</x:v>
      </x:c>
      <x:c r="N35" s="41" t="str">
        <x:v>0-无关</x:v>
      </x:c>
      <x:c r="O35" s="41" t="str">
        <x:v>否</x:v>
      </x:c>
      <x:c r="P35" s="57" t="str">
        <x:v>《H股公告（于二零二五年四月十五日（星期二）临时股东会或其任何续会适用的H股持有人代表委任表格）》主要涉及治理、股权、会议、分红或其他事项，未披露“海外区域分散度与单一市场政策风险”相关实质证据。</x:v>
      </x:c>
      <x:c r="Q35" s="41" t="str">
        <x:v>B-CODEX-FIN-01</x:v>
      </x:c>
      <x:c r="R35" s="80" t="inlineStr">
        <x:is>
          <x:t>2026-08-28T03:00:25+08:00</x:t>
        </x:is>
      </x:c>
    </x:row>
    <x:row r="36" ht="72" customHeight="1">
      <x:c r="A36" s="64" t="str">
        <x:v>V5-R-Q004-C01</x:v>
      </x:c>
      <x:c r="B36" s="64" t="str">
        <x:v>V5-E-002594-C01</x:v>
      </x:c>
      <x:c r="C36" s="64" t="str">
        <x:v>V5-Q004</x:v>
      </x:c>
      <x:c r="D36" s="40" t="str">
        <x:v>比亚迪</x:v>
      </x:c>
      <x:c r="E36" s="64" t="str">
        <x:v>002594</x:v>
      </x:c>
      <x:c r="F36" s="87" t="n">
        <x:v>46260.75</x:v>
      </x:c>
      <x:c r="G36" s="51" t="str">
        <x:v>区域市场多元化能否降低单一海外市场政策风险</x:v>
      </x:c>
      <x:c r="H36" s="64" t="str">
        <x:v>DOC-EVT-002594-00371</x:v>
      </x:c>
      <x:c r="I36" s="51" t="str">
        <x:v>H股公告（截至二零二五年十二月三十一日止年度之末期股息(更新)）</x:v>
      </x:c>
      <x:c r="J36" s="87" t="n">
        <x:v>46135</x:v>
      </x:c>
      <x:c r="K36" s="73" t="str">
        <x:v>http://static.cninfo.com.cn/finalpage/2026-04-23/1225147071.PDF</x:v>
      </x:c>
      <x:c r="L36" s="40" t="str">
        <x:v>第1页</x:v>
      </x:c>
      <x:c r="M36" s="51" t="str">
        <x:v>EF002 ∉  ૧≡℥ૼ ҂Ớၹ ≡಩b ۡ܄ ứྛದ଀Ẁٺܢְ սὂ  ὥṄ  3.# ଀Ẁְ Ṍⅳ༏ ರ௹ ୍ᄅರ ⊯Ⅲۡ܄ ৘Ⴎ༏ஊứರ ༏ྐ༏ ༏ ྘ ଌ௹ ༏ྟ⊑༏ ṙᆟ୍ଌ ୍ᄅರ ௹ଌ ୍ᄅರ ༏3.# Ọ஻ሙರ௹ ୍ᄅರ ὸẕཌྷἬྐ༏ ඳ≁℟ஊứὥṄ⟦ ὞ੱ⟦ ỡܢ3.# ၂⇊ॖ⇢≢ὥṄᆭ὞ੱ 3.#3.# ༏ྛ൐ὥṄ⇢≢⃴ ൞ ᆸℭཋ⟦ Ԣ㥫ರ ୍ᄅರ Ἶ㊒ ᆭቋᗥℭཋ ୍ᄅರ  ὸ൭⇟ᆭರ௹ Ⴎ ୍ᄅರ ᇀ ୍ᄅರ ὸ仛ರ௹ ୍ᄅರ ༏ஊứರ ୍ᄅರ ᆶ ඳ ⚶ὂ䕭đ ‾đ ᇏྏđ</x:v>
      </x:c>
      <x:c r="N36" s="41" t="str">
        <x:v>0-无关</x:v>
      </x:c>
      <x:c r="O36" s="41" t="str">
        <x:v>否</x:v>
      </x:c>
      <x:c r="P36" s="57" t="str">
        <x:v>《H股公告（截至二零二五年十二月三十一日止年度之末期股息(更新)）》主要涉及治理、股权、会议、分红或其他事项，未披露“海外区域分散度与单一市场政策风险”相关实质证据。</x:v>
      </x:c>
      <x:c r="Q36" s="41" t="str">
        <x:v>B-CODEX-FIN-01</x:v>
      </x:c>
      <x:c r="R36" s="80" t="inlineStr">
        <x:is>
          <x:t>2026-08-28T03:00:25+08:00</x:t>
        </x:is>
      </x:c>
    </x:row>
    <x:row r="37" ht="72" customHeight="1">
      <x:c r="A37" s="64" t="str">
        <x:v>V5-R-Q004-C10</x:v>
      </x:c>
      <x:c r="B37" s="64" t="str">
        <x:v>V5-E-002594-C10</x:v>
      </x:c>
      <x:c r="C37" s="64" t="str">
        <x:v>V5-Q004</x:v>
      </x:c>
      <x:c r="D37" s="40" t="str">
        <x:v>比亚迪</x:v>
      </x:c>
      <x:c r="E37" s="64" t="str">
        <x:v>002594</x:v>
      </x:c>
      <x:c r="F37" s="87" t="n">
        <x:v>46260.75</x:v>
      </x:c>
      <x:c r="G37" s="51" t="str">
        <x:v>区域市场多元化能否降低单一海外市场政策风险</x:v>
      </x:c>
      <x:c r="H37" s="64" t="str">
        <x:v>DOC-EVT-002594-00391</x:v>
      </x:c>
      <x:c r="I37" s="51" t="str">
        <x:v>H股公告（股份发行人及根据《上市规则》第十九B章上市的香港预托证券发行人的证券变动月报表）</x:v>
      </x:c>
      <x:c r="J37" s="87" t="n">
        <x:v>46238</x:v>
      </x:c>
      <x:c r="K37" s="73" t="str">
        <x:v>http://static.cninfo.com.cn/finalpage/2026-08-04/1225454787.PDF</x:v>
      </x:c>
      <x:c r="L37" s="40" t="str">
        <x:v>第9页</x:v>
      </x:c>
      <x:c r="M37" s="51" t="str">
        <x:v>FF301 ∉  7⃷⃾ ῌ ౦㣐༯ğ  č䩏Ď ಆ҆ॻ⇊Ġ  ၘಆ҆੫ྛĠ  čೂႵĎၘჍ੫ྛĠ  ૫नℾཌྷ๝č䩏ĎĠ  ၧၘಆ҆቎ྛĠ  ῂၘứෂ⇀ᆞ⊵Ḿứෂᆞᄝ⊵Ḿᇏ❣ᾞ὜ứෂĠ  ࠣ  Ďb ᆀğ ৙ప ⊊↼ğඳ૝ℼ ದ≇</x:v>
      </x:c>
      <x:c r="N37" s="41" t="str">
        <x:v>0-无关</x:v>
      </x:c>
      <x:c r="O37" s="41" t="str">
        <x:v>否</x:v>
      </x:c>
      <x:c r="P37" s="57" t="str">
        <x:v>《H股公告（股份发行人及根据《上市规则》第十九B章上市的香港预托证券发行人的证券变动月报表）》主要涉及治理、股权、会议、分红或其他事项，未披露“海外区域分散度与单一市场政策风险”相关实质证据。</x:v>
      </x:c>
      <x:c r="Q37" s="41" t="str">
        <x:v>B-CODEX-FIN-01</x:v>
      </x:c>
      <x:c r="R37" s="80" t="inlineStr">
        <x:is>
          <x:t>2026-08-28T03:00:25+08:00</x:t>
        </x:is>
      </x:c>
    </x:row>
    <x:row r="38" ht="72" customHeight="1">
      <x:c r="A38" s="64" t="str">
        <x:v>V5-R-Q004-C07</x:v>
      </x:c>
      <x:c r="B38" s="64" t="str">
        <x:v>V5-E-002594-C07</x:v>
      </x:c>
      <x:c r="C38" s="64" t="str">
        <x:v>V5-Q004</x:v>
      </x:c>
      <x:c r="D38" s="40" t="str">
        <x:v>比亚迪</x:v>
      </x:c>
      <x:c r="E38" s="64" t="str">
        <x:v>002594</x:v>
      </x:c>
      <x:c r="F38" s="87" t="n">
        <x:v>46260.75</x:v>
      </x:c>
      <x:c r="G38" s="51" t="str">
        <x:v>区域市场多元化能否降低单一海外市场政策风险</x:v>
      </x:c>
      <x:c r="H38" s="64" t="str">
        <x:v>DOC-EVT-002594-00278</x:v>
      </x:c>
      <x:c r="I38" s="51" t="str">
        <x:v>2025年半年度报告摘要</x:v>
      </x:c>
      <x:c r="J38" s="87" t="n">
        <x:v>45899</x:v>
      </x:c>
      <x:c r="K38" s="73" t="str">
        <x:v>http://static.cninfo.com.cn/finalpage/2025-08-30/1224626650.PDF</x:v>
      </x:c>
      <x:c r="L38" s="40" t="str">
        <x:v>第3页</x:v>
      </x:c>
      <x:c r="M38" s="51" t="str">
        <x:v>比亚迪股份有限公司 2025年半年度报告摘要 3 注 3：此数不包括夏佐全先生及其控股的海外公司SIGN INVESTMENTS LIMITED 分别持有的 195,000 股 H股和 305,000 股 H 股。 上述股东关联关系或一致行动的说明 1、吕向阳先生为王传福先生之表兄，吕向阳先生及其配偶张长虹女士分别持有融 捷投资控股集团有限公司 89.5%和 10.5%的股权； 2、HKSCC NOMINEES LIMITED 所持股份为其代理的在 HKSCC NOMINEES LIMITED 交 易平台上交易的本公司 H股股东账户的股份总和； 3、公司未知其他股东之间是否存在关联关系或属于《上市公司收购管理办法》规 定的一致行动人。 参与融资融券业务股东情况说明 截至报告期末，前 10 名无限售流通股股东和前 10 名股东中，HKSCC NOMINEES LIMITED 所持股份为其代理的在 HKSCC NOMINEES LIMITED 交易平台上交易的本公 司 H 股股东账户的股份总和，未知其参与融资融券情况；除 HKSCC NOMINEES LIMITED 外，其余前 10 名无限售流通股股东和前 10 名股东均不存在通过信用证券 账户持有公司股票的情形。 持股 5%以上股东、前 10 名股东及前10 名无限售流通股股东参与转融通业务出借股份情况 适用 不适用 前 10 名股东及前 10名无限售流通股股东因转融通出借/归还原因导致较上期发生变化 □适用 不适用…</x:v>
      </x:c>
      <x:c r="N38" s="41" t="str">
        <x:v>0-无关</x:v>
      </x:c>
      <x:c r="O38" s="41" t="str">
        <x:v>否</x:v>
      </x:c>
      <x:c r="P38" s="57" t="str">
        <x:v>《2025年半年度报告摘要》主要涉及治理、股权、会议、分红或其他事项，未披露“海外区域分散度与单一市场政策风险”相关实质证据。</x:v>
      </x:c>
      <x:c r="Q38" s="41" t="str">
        <x:v>B-CODEX-FIN-01</x:v>
      </x:c>
      <x:c r="R38" s="80" t="inlineStr">
        <x:is>
          <x:t>2026-08-28T03:00:25+08:00</x:t>
        </x:is>
      </x:c>
    </x:row>
    <x:row r="39" ht="72" customHeight="1">
      <x:c r="A39" s="64" t="str">
        <x:v>V5-R-Q004-C05</x:v>
      </x:c>
      <x:c r="B39" s="64" t="str">
        <x:v>V5-E-002594-C05</x:v>
      </x:c>
      <x:c r="C39" s="64" t="str">
        <x:v>V5-Q004</x:v>
      </x:c>
      <x:c r="D39" s="40" t="str">
        <x:v>比亚迪</x:v>
      </x:c>
      <x:c r="E39" s="64" t="str">
        <x:v>002594</x:v>
      </x:c>
      <x:c r="F39" s="87" t="n">
        <x:v>46260.75</x:v>
      </x:c>
      <x:c r="G39" s="51" t="str">
        <x:v>区域市场多元化能否降低单一海外市场政策风险</x:v>
      </x:c>
      <x:c r="H39" s="64" t="str">
        <x:v>DOC-EVT-002594-00363</x:v>
      </x:c>
      <x:c r="I39" s="51" t="str">
        <x:v>H股公告（二零二五年年度业绩公布）</x:v>
      </x:c>
      <x:c r="J39" s="87" t="n">
        <x:v>46112</x:v>
      </x:c>
      <x:c r="K39" s="73" t="str">
        <x:v>http://static.cninfo.com.cn/finalpage/2026-03-31/1225052525.PDF</x:v>
      </x:c>
      <x:c r="L39" s="40" t="str">
        <x:v>第30页</x:v>
      </x:c>
      <x:c r="M39" s="51" t="str">
        <x:v>nt results. 智能化領域，年內，本集團發佈 「全民智駕」 戰略，以 「天神之眼」 技術矩陣滿足消費者差 異化需求，踐行 「好技術，就應該人人可享」 的理念。截至二零二五年年底，本集團輔助 駕駛車型保有量超 256 萬輛，每天生成輔助 駕駛數據超 1.6 億公里，帶動行業新能源汽 車輔助駕駛搭載率較年初提升三倍。本集團 通過規模優勢驅動數據快速積累，使 「天神 之眼」 算法持續加速迭代，實現車輛 「越開越 聰明，越用越安全」 。安全是科技的底線， 本集團是首個提出 「智能泊車兜底承諾」 的車 企，在中國市場為所有搭載 「天神之眼」 的車 輛提供智能泊車場景下的安全及損失全面兜 底，引領智慧生活新標桿。 以深厚技術築牢品牌根基，以持續創新驅 動價值提升，以全球視野邁向高端發展 新能源乘用車領域，本集團依託核心技術的 持續創新與對消費需求的精準洞察，深化 由 「比亞迪」 、 「方程豹」 、 「騰勢」 及 「仰望」 構築的多品牌矩陣佈局，全面覆蓋從家用到 豪華、從大眾到個性化的全場景市場，持續 煥新產品矩陣，精準滿足多元用戶需求。二 零二五年，面對宏觀經濟壓力與日趨激烈的 市場競爭， 「比亞迪」 品牌憑藉核心技術普 惠持續強化競爭力，穩居國內大眾化市場領 導地位，更在海外持續獲得亮眼表現； 「方 程豹」 、 「騰勢」 和 「仰望」 等品牌協同發力， 以技術優勢構築品牌深度並積極進軍海外市 場，合計銷量實現同比翻倍增長，品牌高端 化戰略成效顯著。</x:v>
      </x:c>
      <x:c r="N39" s="41" t="str">
        <x:v>3-直接相关</x:v>
      </x:c>
      <x:c r="O39" s="41" t="str">
        <x:v>是</x:v>
      </x:c>
      <x:c r="P39" s="57" t="str">
        <x:v>年度业绩披露拉美、欧洲、亚太和中东等多区域经营格局，直接覆盖“海外区域分散度与单一市场政策风险”的关键变量，关系路径成立。</x:v>
      </x:c>
      <x:c r="Q39" s="41" t="str">
        <x:v>B-CODEX-FIN-01</x:v>
      </x:c>
      <x:c r="R39" s="80" t="inlineStr">
        <x:is>
          <x:t>2026-08-28T03:00:25+08:00</x:t>
        </x:is>
      </x:c>
    </x:row>
    <x:row r="40" ht="72" customHeight="1">
      <x:c r="A40" s="64" t="str">
        <x:v>V5-R-Q004-C02</x:v>
      </x:c>
      <x:c r="B40" s="64" t="str">
        <x:v>V5-E-002594-C02</x:v>
      </x:c>
      <x:c r="C40" s="64" t="str">
        <x:v>V5-Q004</x:v>
      </x:c>
      <x:c r="D40" s="40" t="str">
        <x:v>比亚迪</x:v>
      </x:c>
      <x:c r="E40" s="64" t="str">
        <x:v>002594</x:v>
      </x:c>
      <x:c r="F40" s="87" t="n">
        <x:v>46260.75</x:v>
      </x:c>
      <x:c r="G40" s="51" t="str">
        <x:v>区域市场多元化能否降低单一海外市场政策风险</x:v>
      </x:c>
      <x:c r="H40" s="64" t="str">
        <x:v>DOC-EVT-002594-00092</x:v>
      </x:c>
      <x:c r="I40" s="51" t="str">
        <x:v>2024年一季度报告</x:v>
      </x:c>
      <x:c r="J40" s="87" t="n">
        <x:v>45412</x:v>
      </x:c>
      <x:c r="K40" s="73" t="str">
        <x:v>http://static.cninfo.com.cn/finalpage/2024-04-30/1219909910.PDF</x:v>
      </x:c>
      <x:c r="L40" s="40" t="str">
        <x:v>第2页</x:v>
      </x:c>
      <x:c r="M40" s="51" t="str">
        <x:v>比亚迪股份有限公司 2024 年第一季度报告 2 一、主要财务数据 （一） 主要会计数据和财务指标 公司是否需追溯调整或重述以前年度会计数据 □是 否 本报告期 上年同期 本报告期比上年同期 增减 营业收入（元） 124,944,397,000.00 120,173,608,000.00 3.97% 归属于上市公司股东的净利润（元） 4,568,793,000.00 4,130,063,000.00 10.62% 归属于上市公司股东的扣除非经常性损益 的净利润（元） 3,751,980,000.00 3,565,127,000.00 5.24% 经营活动产生的现金流量净额（元） 10,227,984,000.00 14,465,699,000.00 -29.29% 基本每股收益（元/股） 1.57 1.42 10.56% 稀释每股收益（元/股） 1.57 1.42 10.56% 加权平均净资产收益率 3.24% 3.65% -0.41% 本报告期末 上年度末 本报告期末比上年度 末增减 总资产（元） 677,783,621,000.00 679,547,670,000.00 -0.26% 归属于上市公司股东的所有者权益（元） 143,090,246,000.00 138,810,065,000.00 3.08% （二） 非经常性损益项目和金额 适用 □不适用 单位：元 项目 本报告期金额 说明 非流动性资产处置损益（包括已计提资产减值准备的冲销部分） -261,472,…</x:v>
      </x:c>
      <x:c r="N40" s="41" t="str">
        <x:v>1-弱相关</x:v>
      </x:c>
      <x:c r="O40" s="41" t="str">
        <x:v>否</x:v>
      </x:c>
      <x:c r="P40" s="57" t="str">
        <x:v>《2024年一季度报告》仅提供公司阶段性经营、财务或相邻业务背景，未同时覆盖“海外区域分散度与单一市场政策风险”的核心变量，相关性较弱。</x:v>
      </x:c>
      <x:c r="Q40" s="41" t="str">
        <x:v>B-CODEX-FIN-01</x:v>
      </x:c>
      <x:c r="R40" s="80" t="inlineStr">
        <x:is>
          <x:t>2026-08-28T03:00:25+08:00</x:t>
        </x:is>
      </x:c>
    </x:row>
    <x:row r="41" ht="72" customHeight="1">
      <x:c r="A41" s="64" t="str">
        <x:v>V5-R-Q004-C08</x:v>
      </x:c>
      <x:c r="B41" s="64" t="str">
        <x:v>V5-E-002594-C08</x:v>
      </x:c>
      <x:c r="C41" s="64" t="str">
        <x:v>V5-Q004</x:v>
      </x:c>
      <x:c r="D41" s="40" t="str">
        <x:v>比亚迪</x:v>
      </x:c>
      <x:c r="E41" s="64" t="str">
        <x:v>002594</x:v>
      </x:c>
      <x:c r="F41" s="87" t="n">
        <x:v>46260.75</x:v>
      </x:c>
      <x:c r="G41" s="51" t="str">
        <x:v>区域市场多元化能否降低单一海外市场政策风险</x:v>
      </x:c>
      <x:c r="H41" s="64" t="str">
        <x:v>DOC-EVT-002594-00125</x:v>
      </x:c>
      <x:c r="I41" s="51" t="str">
        <x:v>H股公告（二零二四年中期业绩公告）</x:v>
      </x:c>
      <x:c r="J41" s="87" t="n">
        <x:v>45533</x:v>
      </x:c>
      <x:c r="K41" s="73" t="str">
        <x:v>http://static.cninfo.com.cn/finalpage/2024-08-29/1221030547.PDF</x:v>
      </x:c>
      <x:c r="L41" s="40" t="str">
        <x:v>第24页</x:v>
      </x:c>
      <x:c r="M41" s="51" t="str">
        <x:v>ss. The profit attributable to equity holders of the parent company increased by 24.44% as compared to the same period of previous year, mainly attributable to the growth of the new energy vehicle business. Segmental Information Comparisons of the Group’s revenue by product categories for the six months ended 30 June 2024 and 2023 are illustrated as follows: 2024H1 2024H1 24% Mobile handset components, assembly and other products 76% Automobiles and related products, and other products 二零二四年上半年 手機部件、組裝及 其他產品 汽車、汽車相關產品 及其他產品 2023H1 2023H1 20% Mobile handset components, assembly and other products 80% Automobiles and related products, and ot…</x:v>
      </x:c>
      <x:c r="N41" s="41" t="str">
        <x:v>1-弱相关</x:v>
      </x:c>
      <x:c r="O41" s="41" t="str">
        <x:v>否</x:v>
      </x:c>
      <x:c r="P41" s="57" t="str">
        <x:v>《H股公告（二零二四年中期业绩公告）》仅提供公司阶段性经营、财务或相邻业务背景，未同时覆盖“海外区域分散度与单一市场政策风险”的核心变量，相关性较弱。</x:v>
      </x:c>
      <x:c r="Q41" s="41" t="str">
        <x:v>B-CODEX-FIN-01</x:v>
      </x:c>
      <x:c r="R41" s="80" t="inlineStr">
        <x:is>
          <x:t>2026-08-28T03:00:25+08:00</x:t>
        </x:is>
      </x:c>
    </x:row>
    <x:row r="42" ht="72" customHeight="1">
      <x:c r="A42" s="64" t="str">
        <x:v>V5-R-Q005-C07</x:v>
      </x:c>
      <x:c r="B42" s="64" t="str">
        <x:v>V5-E-00175-C07</x:v>
      </x:c>
      <x:c r="C42" s="64" t="str">
        <x:v>V5-Q005</x:v>
      </x:c>
      <x:c r="D42" s="40" t="str">
        <x:v>吉利汽车</x:v>
      </x:c>
      <x:c r="E42" s="64" t="str">
        <x:v>00175</x:v>
      </x:c>
      <x:c r="F42" s="87" t="n">
        <x:v>46260.75</x:v>
      </x:c>
      <x:c r="G42" s="51" t="str">
        <x:v>促销与价格折让是否会削弱新能源销量增长的利润贡献</x:v>
      </x:c>
      <x:c r="H42" s="64" t="str">
        <x:v>DOC-EVT-00175-00066</x:v>
      </x:c>
      <x:c r="I42" s="51" t="str">
        <x:v>截至二零二四年六月三十日止六个月的中期业绩公布</x:v>
      </x:c>
      <x:c r="J42" s="87" t="n">
        <x:v>45525.50430555556</x:v>
      </x:c>
      <x:c r="K42" s="73" t="str">
        <x:v>http://static.cninfo.com.cn/finalpage/2024-08-21/1220933537.PDF</x:v>
      </x:c>
      <x:c r="L42" s="40" t="str">
        <x:v>第2页</x:v>
      </x:c>
      <x:c r="M42" s="51" t="str">
        <x:v>- 2 - ʕಂุᐶ ʮ̡  ͉ʮ̡໨ ԫ ึ໨ԫึ᙮ʮ̡  ͉ ණྠʕಂุᐶf༈ഃʕಂุᐶʊ͉͟ ࢪ ʮ̡ᄲቡf ڌ ˜ ˜ ɚཧɚ̬ϋ ɚཧɚɧϋ ൗ ɛ͏࿆ɷʩ ɛ͏࿆ɷʩ  ϗू 3 107,305,450 73,181,745 ቖਯϓ͉ (91,084,564) (62,641,253) ˣл 16,220,886 10,540,492 Չ˼ϗूŊ ᑦฦ ଋᕘ 4 876,726 640,229 ʱቖʿቖਯ൬͜ (6,327,005) (4,767,790) ൬͜ (6,916,431) (4,867,108) ᑦฦ ᅡΫ 5(c) (38,053) 59,265 ᑦฦ 5(c) (239,708) – ˹ಛ (1,279,265) (436,429) ৌਕϗɝଋᕘ 5(a) 424,374 160,749 ᏐЦᑌᐄʮุ̡ᐶ 331,801 132,676 ᏐЦΥᐄʮุ̡ᐶ 416,929 12,016 ٙ ᑦฦ 21 7,469,663 – ๐л 5 10,939,917 1,474,100 ೼ධ 6 (556,307) (200,592) ͉ಂග๐л 10,383,610 1,273,508 ᓥ᙮j Ϟɛ 10,597,868 1,570,728 ᛆू (214,258) (297,220) ͉ಂග๐л 10,383,610 1,273,508 л ਿ͉ 8 ɛ͏࿆104.59ʱ ɛ͏࿆14.91ʱ ᛅᑛ 8 ɛ͏࿆103.88ʱ ɛ͏…</x:v>
      </x:c>
      <x:c r="N42" s="41" t="str">
        <x:v>2-间接相关</x:v>
      </x:c>
      <x:c r="O42" s="41" t="str">
        <x:v>是</x:v>
      </x:c>
      <x:c r="P42" s="57" t="str">
        <x:v>中期业绩同时披露收入、销售成本、毛利及销售费用，能够支持“新能源销量、促销折让与利润贡献”的中间环节，但未完整量化最终影响。</x:v>
      </x:c>
      <x:c r="Q42" s="41" t="str">
        <x:v>B-CODEX-FIN-01</x:v>
      </x:c>
      <x:c r="R42" s="80" t="inlineStr">
        <x:is>
          <x:t>2026-08-28T03:00:25+08:00</x:t>
        </x:is>
      </x:c>
    </x:row>
    <x:row r="43" ht="72" customHeight="1">
      <x:c r="A43" s="64" t="str">
        <x:v>V5-R-Q005-C04</x:v>
      </x:c>
      <x:c r="B43" s="64" t="str">
        <x:v>V5-E-00175-C04</x:v>
      </x:c>
      <x:c r="C43" s="64" t="str">
        <x:v>V5-Q005</x:v>
      </x:c>
      <x:c r="D43" s="40" t="str">
        <x:v>吉利汽车</x:v>
      </x:c>
      <x:c r="E43" s="64" t="str">
        <x:v>00175</x:v>
      </x:c>
      <x:c r="F43" s="87" t="n">
        <x:v>46260.75</x:v>
      </x:c>
      <x:c r="G43" s="51" t="str">
        <x:v>促销与价格折让是否会削弱新能源销量增长的利润贡献</x:v>
      </x:c>
      <x:c r="H43" s="64" t="str">
        <x:v>DOC-EVT-00175-00400</x:v>
      </x:c>
      <x:c r="I43" s="51" t="str">
        <x:v>未经审核之二零二六年四月销量</x:v>
      </x:c>
      <x:c r="J43" s="87" t="n">
        <x:v>46145.99998842592</x:v>
      </x:c>
      <x:c r="K43" s="73" t="str">
        <x:v>http://static.cninfo.com.cn/finalpage/2026-05-03/1225275804.PDF</x:v>
      </x:c>
      <x:c r="L43" s="40" t="str">
        <x:v>第1页</x:v>
      </x:c>
      <x:c r="M43" s="51" t="str">
        <x:v>- 1 - 香港交易及結算所有限公司及香港聯合交易所有限公司對本公佈之內容概不負責，對其 準確性或完整性亦不發表任何聲明，並表明不會就因本公佈全部或任何部份內容而產生 或因倚賴該等內容而引致之任何損失承擔任何責任。 GEELY AUTOMOBILE HOLDINGS LIMITED 未經審核之 二零二 六 年 四 月 銷量 吉利汽車控股有限公司( 「 本公司 」， 連同其附屬公司統稱為 「 本集團 」 ） 董事會欣然宣佈， 本集團於二零二 六 年 四 月 的 汽車 總銷量為235,164 部，與 去年同期 持平 。 詳細如下： 品牌 本月 （部） 去年同期 （部） 同比變動 (%) 今年累計 （部） 去年同期累計 （部） 同比變動 (%) 吉利 180,622 192,796 -6 731,281 782,609 -7 其中: 銀河 91,001 96,632 -6 329,860 356,341 -7 領克 22,755 27,589 -18 104,417 100,197 4 極氪 31,787 13,727 132 108,824 55,130 97 合計 235,164 234,112 0 944,522 937,936 1 其中： 純電動汽車(BEVs) 74,860 92,360 -19 281,261 330,884 -15 插電式混動汽車 (PHEVs) 60,731 33,203 83 223,389 133,879 67 其中： 出口 注1 83,186…</x:v>
      </x:c>
      <x:c r="N43" s="41" t="str">
        <x:v>1-弱相关</x:v>
      </x:c>
      <x:c r="O43" s="41" t="str">
        <x:v>否</x:v>
      </x:c>
      <x:c r="P43" s="57" t="str">
        <x:v>《未经审核之二零二六年四月销量》仅提供公司阶段性经营、财务或相邻业务背景，未同时覆盖“新能源销量、促销折让与利润贡献”的核心变量，相关性较弱。</x:v>
      </x:c>
      <x:c r="Q43" s="41" t="str">
        <x:v>B-CODEX-FIN-01</x:v>
      </x:c>
      <x:c r="R43" s="80" t="inlineStr">
        <x:is>
          <x:t>2026-08-28T03:00:25+08:00</x:t>
        </x:is>
      </x:c>
    </x:row>
    <x:row r="44" ht="72" customHeight="1">
      <x:c r="A44" s="64" t="str">
        <x:v>V5-R-Q005-C06</x:v>
      </x:c>
      <x:c r="B44" s="64" t="str">
        <x:v>V5-E-00175-C06</x:v>
      </x:c>
      <x:c r="C44" s="64" t="str">
        <x:v>V5-Q005</x:v>
      </x:c>
      <x:c r="D44" s="40" t="str">
        <x:v>吉利汽车</x:v>
      </x:c>
      <x:c r="E44" s="64" t="str">
        <x:v>00175</x:v>
      </x:c>
      <x:c r="F44" s="87" t="n">
        <x:v>46260.75</x:v>
      </x:c>
      <x:c r="G44" s="51" t="str">
        <x:v>促销与价格折让是否会削弱新能源销量增长的利润贡献</x:v>
      </x:c>
      <x:c r="H44" s="64" t="str">
        <x:v>DOC-EVT-00175-00449</x:v>
      </x:c>
      <x:c r="I44" s="51" t="str">
        <x:v>自愿公布收购西班牙一间目标公司34%的股权及成立一间合营公司从事乘用车合约生产</x:v>
      </x:c>
      <x:c r="J44" s="87" t="n">
        <x:v>46226.741793981484</x:v>
      </x:c>
      <x:c r="K44" s="73" t="str">
        <x:v>http://static.cninfo.com.cn/finalpage/2026-07-23/1225439110.PDF</x:v>
      </x:c>
      <x:c r="L44" s="40" t="str">
        <x:v>第1页</x:v>
      </x:c>
      <x:c r="M44" s="51" t="str">
        <x:v>香港交易及結算所有限公司及香港聯合交易所有限公司對本公佈之內容概不負責，對其 準確性或完整性亦不發表任何聲明，並表明不會就因本公佈全部或任何部份內容而產生 或因倚賴該等內容而引致之任何損失承擔任何責任。 GEELY AUTO MOBILE HOL DINGS LIMI TED 175 80175 自願公佈 收購西班牙一間目標公司34%的股權 及 成立一間合營公司從事乘用車合約生產 本公司之財務顧問 收購事項 於二零二六年七月二十三日，Geely SPV （本公司之全資附屬公司） 、Ford NL、目標公 司、福特母公司及本公司訂立股份購買協議，據此，Geely SPV有條件同意收購及Ford NL有條件同意出售目標公司之34%股權，代價為221百萬歐元，但於完成時需根據目 標公司之淨債務、營運資金狀況及資產範圍，按慣例進行交割賬目調整。根據股份購 買協議，本公司同意就Geely SPV履行其義務提供擔保，福特母公司同意就Ford NL及 目標公司履行其各自義務提供擔保。於完成後，目標公司將由Ford NL及Geely SPV分 別擁有66%及34%權益。於完成後，目標公司將不會成為本公司的附屬公司，其財務 業績亦不會併入本集團的綜合財務報表。本公司於目標公司的投資預期將作為聯營公 司投資並採用權益法入賬。 - 1 -</x:v>
      </x:c>
      <x:c r="N44" s="41" t="str">
        <x:v>0-无关</x:v>
      </x:c>
      <x:c r="O44" s="41" t="str">
        <x:v>否</x:v>
      </x:c>
      <x:c r="P44" s="57" t="str">
        <x:v>《自愿公布收购西班牙一间目标公司34%的股权及成立一间合营公司从事乘用车合约生产》主要涉及治理、股权、会议、分红或其他事项，未披露“新能源销量、促销折让与利润贡献”相关实质证据。</x:v>
      </x:c>
      <x:c r="Q44" s="41" t="str">
        <x:v>B-CODEX-FIN-01</x:v>
      </x:c>
      <x:c r="R44" s="80" t="inlineStr">
        <x:is>
          <x:t>2026-08-28T03:00:25+08:00</x:t>
        </x:is>
      </x:c>
    </x:row>
    <x:row r="45" ht="72" customHeight="1">
      <x:c r="A45" s="64" t="str">
        <x:v>V5-R-Q005-C03</x:v>
      </x:c>
      <x:c r="B45" s="64" t="str">
        <x:v>V5-E-00175-C03</x:v>
      </x:c>
      <x:c r="C45" s="64" t="str">
        <x:v>V5-Q005</x:v>
      </x:c>
      <x:c r="D45" s="40" t="str">
        <x:v>吉利汽车</x:v>
      </x:c>
      <x:c r="E45" s="64" t="str">
        <x:v>00175</x:v>
      </x:c>
      <x:c r="F45" s="87" t="n">
        <x:v>46260.75</x:v>
      </x:c>
      <x:c r="G45" s="51" t="str">
        <x:v>促销与价格折让是否会削弱新能源销量增长的利润贡献</x:v>
      </x:c>
      <x:c r="H45" s="64" t="str">
        <x:v>DOC-EVT-00175-00450</x:v>
      </x:c>
      <x:c r="I45" s="51" t="str">
        <x:v>未经审核之二零二六年七月销量</x:v>
      </x:c>
      <x:c r="J45" s="87" t="n">
        <x:v>46236.75983796296</x:v>
      </x:c>
      <x:c r="K45" s="73" t="str">
        <x:v>http://static.cninfo.com.cn/finalpage/2026-08-02/1225452825.PDF</x:v>
      </x:c>
      <x:c r="L45" s="40" t="str">
        <x:v>第1页</x:v>
      </x:c>
      <x:c r="M45" s="51" t="str">
        <x:v>- 1 - 香港交易及結算所有限公司及香港聯合交易所有限公司對本公佈之內容概不負責，對其 準確性或完整性亦不發表任何聲明，並表明不會就因本公佈全部或任何部份內容而產生 或因倚賴該等內容而引致之任何損失承擔任何責任。 GEELY AUTOMOBILE HOLDINGS LIMITED 未經審核之 二零二 六 年 七 月 銷量 吉利汽車控股有限公司( 「 本公司 」， 連同其附屬公司統稱為 「 本集團 」 ） 董事會欣然宣佈， 本集團於二零二 六 年 七 月 的 汽車 總銷量為250,161 部， 較去年同期增長約5% 。 詳細如下： 品牌 本月 （部） 去年同期 （部） 同比變動 (%) 今年累計 （部） 去年同期累計 （部） 同比變動 (%) 吉利 197,942 193,524 2 1,298,315 1,357,827 -4 其中: 銀河 107,797 95,043 13 627,590 643,451 -2 領克 16,382 27,216 -40 160,597 181,353 -11 極氪 35,837 16,977 111 214,207 107,717 99 合計 250,161 237,717 5 1,673,119 1,646,897 2 其中： 純電動汽車(BEVs) 105,365 90,043 17 566,781 600,846 -6 插電式混動汽車 (PHEVs) 54,800 40,081 37 392,838 254,429 54 其中：…</x:v>
      </x:c>
      <x:c r="N45" s="41" t="str">
        <x:v>1-弱相关</x:v>
      </x:c>
      <x:c r="O45" s="41" t="str">
        <x:v>否</x:v>
      </x:c>
      <x:c r="P45" s="57" t="str">
        <x:v>《未经审核之二零二六年七月销量》仅提供公司阶段性经营、财务或相邻业务背景，未同时覆盖“新能源销量、促销折让与利润贡献”的核心变量，相关性较弱。</x:v>
      </x:c>
      <x:c r="Q45" s="41" t="str">
        <x:v>B-CODEX-FIN-01</x:v>
      </x:c>
      <x:c r="R45" s="80" t="inlineStr">
        <x:is>
          <x:t>2026-08-28T03:00:25+08:00</x:t>
        </x:is>
      </x:c>
    </x:row>
    <x:row r="46" ht="72" customHeight="1">
      <x:c r="A46" s="64" t="str">
        <x:v>V5-R-Q005-C10</x:v>
      </x:c>
      <x:c r="B46" s="64" t="str">
        <x:v>V5-E-00175-C10</x:v>
      </x:c>
      <x:c r="C46" s="64" t="str">
        <x:v>V5-Q005</x:v>
      </x:c>
      <x:c r="D46" s="40" t="str">
        <x:v>吉利汽车</x:v>
      </x:c>
      <x:c r="E46" s="64" t="str">
        <x:v>00175</x:v>
      </x:c>
      <x:c r="F46" s="87" t="n">
        <x:v>46260.75</x:v>
      </x:c>
      <x:c r="G46" s="51" t="str">
        <x:v>促销与价格折让是否会削弱新能源销量增长的利润贡献</x:v>
      </x:c>
      <x:c r="H46" s="64" t="str">
        <x:v>DOC-EVT-00175-00451</x:v>
      </x:c>
      <x:c r="I46" s="51" t="str">
        <x:v>月报表截至31/7/2026</x:v>
      </x:c>
      <x:c r="J46" s="87" t="n">
        <x:v>46236.76002314815</x:v>
      </x:c>
      <x:c r="K46" s="73" t="str">
        <x:v>http://static.cninfo.com.cn/finalpage/2026-08-02/1225452827.PDF</x:v>
      </x:c>
      <x:c r="L46" s="40" t="str">
        <x:v>第9页</x:v>
      </x:c>
      <x:c r="M46" s="51" t="str">
        <x:v>FF301 ∉  7⃷⃾ ῌ ౦㣐༯ğ  č䩏Ď ಆ҆ॻ⇊Ġ  ၘಆ҆੫ྛĠ  čೂႵĎၘჍ੫ྛĠ  ૫नℾཌྷ๝č䩏ĎĠ  ၧၘಆ҆቎ྛĠ  ῂၘứෂ⇀ᆞ⊵Ḿứෂᆞᄝ⊵Ḿᇏ❣ᾞ὜ứෂĠ  ࠣ  Ďb ᆀğ ≵⅏ಥ ⊊↼ğඳ૝ℼ ದ≇</x:v>
      </x:c>
      <x:c r="N46" s="41" t="str">
        <x:v>0-无关</x:v>
      </x:c>
      <x:c r="O46" s="41" t="str">
        <x:v>否</x:v>
      </x:c>
      <x:c r="P46" s="57" t="str">
        <x:v>《月报表截至31/7/2026》主要涉及治理、股权、会议、分红或其他事项，未披露“新能源销量、促销折让与利润贡献”相关实质证据。</x:v>
      </x:c>
      <x:c r="Q46" s="41" t="str">
        <x:v>B-CODEX-FIN-01</x:v>
      </x:c>
      <x:c r="R46" s="80" t="inlineStr">
        <x:is>
          <x:t>2026-08-28T03:00:25+08:00</x:t>
        </x:is>
      </x:c>
    </x:row>
    <x:row r="47" ht="72" customHeight="1">
      <x:c r="A47" s="64" t="str">
        <x:v>V5-R-Q005-C08</x:v>
      </x:c>
      <x:c r="B47" s="64" t="str">
        <x:v>V5-E-00175-C08</x:v>
      </x:c>
      <x:c r="C47" s="64" t="str">
        <x:v>V5-Q005</x:v>
      </x:c>
      <x:c r="D47" s="40" t="str">
        <x:v>吉利汽车</x:v>
      </x:c>
      <x:c r="E47" s="64" t="str">
        <x:v>00175</x:v>
      </x:c>
      <x:c r="F47" s="87" t="n">
        <x:v>46260.75</x:v>
      </x:c>
      <x:c r="G47" s="51" t="str">
        <x:v>促销与价格折让是否会削弱新能源销量增长的利润贡献</x:v>
      </x:c>
      <x:c r="H47" s="64" t="str">
        <x:v>DOC-EVT-00175-00148</x:v>
      </x:c>
      <x:c r="I47" s="51" t="str">
        <x:v>截至二零二四年十二月三十一日止年度之全年业绩公布</x:v>
      </x:c>
      <x:c r="J47" s="87" t="n">
        <x:v>45736.51399305555</x:v>
      </x:c>
      <x:c r="K47" s="73" t="str">
        <x:v>http://static.cninfo.com.cn/finalpage/2025-03-20/1222853710.PDF</x:v>
      </x:c>
      <x:c r="L47" s="40" t="str">
        <x:v>第1页</x:v>
      </x:c>
      <x:c r="M47" s="51" t="str">
        <x:v>- 1 - பd࿁Չ Ͼପ͛ ዄ΂Оப΂f 吉利汽車控股有限公司 GEELY AUTOMOBILE HOLDINGS LIMITED ʮ̡ ΅˾໮j175ಥ࿆ᓞ̨ ʿ80175ɛ͏࿆ᓞ̨ 財務摘要： 截至十二月三十一日止年度 二零二四年 ɚཧɚɧϋ ᜊਗ 人民幣千元 ɛ͏࿆ɷʩ % ቖඎ*ൗ 2,176,567 1,648,515 32 ϗू 240,194,270 179,203,592 34 Չ˼ϗूŊ ᑦฦ ଋᕘ 904,742 1,367,181 (34) ˹ಛ (1,746,925) (646,336) 170 ᙮ʮ̡ʘϗूʿ̈ਯ ɓගΥᐄʮ̡௅ʱᛆूʘᅲПᑦฦ 9,097,711 – ʔቇ͜ ๐л 16,799,095 4,935,018 240 ๐л 16,632,398 5,308,408 213 л ਿ͉ ɛ͏࿆ʱ 163.80 51.36 219 ᛅᑛ ɛ͏࿆ʱ 163.19 51.00 220  ಥ࿆ʩ 0.33 0.22 50 * ͉͟ණྠኹϞ50%ᐼቖඎf ൗj ʮ̡˸ 100%ಂග dઓ໨ԫึ  董事會͉ණྠӛԓʘᆑίცӋf ಥ࿆ 0.33ಥ࿆0.22 ග ᑘБʘ d˙̙Ъྼf</x:v>
      </x:c>
      <x:c r="N47" s="41" t="str">
        <x:v>2-间接相关</x:v>
      </x:c>
      <x:c r="O47" s="41" t="str">
        <x:v>是</x:v>
      </x:c>
      <x:c r="P47" s="57" t="str">
        <x:v>年度业绩同时给出销量、收入及利润等指标，能够支持“新能源销量、促销折让与利润贡献”的中间环节，但未完整量化最终影响。</x:v>
      </x:c>
      <x:c r="Q47" s="41" t="str">
        <x:v>B-CODEX-FIN-01</x:v>
      </x:c>
      <x:c r="R47" s="80" t="inlineStr">
        <x:is>
          <x:t>2026-08-28T03:00:25+08:00</x:t>
        </x:is>
      </x:c>
    </x:row>
    <x:row r="48" ht="72" customHeight="1">
      <x:c r="A48" s="64" t="str">
        <x:v>V5-R-Q005-C01</x:v>
      </x:c>
      <x:c r="B48" s="64" t="str">
        <x:v>V5-E-00175-C01</x:v>
      </x:c>
      <x:c r="C48" s="64" t="str">
        <x:v>V5-Q005</x:v>
      </x:c>
      <x:c r="D48" s="40" t="str">
        <x:v>吉利汽车</x:v>
      </x:c>
      <x:c r="E48" s="64" t="str">
        <x:v>00175</x:v>
      </x:c>
      <x:c r="F48" s="87" t="n">
        <x:v>46260.75</x:v>
      </x:c>
      <x:c r="G48" s="51" t="str">
        <x:v>促销与价格折让是否会削弱新能源销量增长的利润贡献</x:v>
      </x:c>
      <x:c r="H48" s="64" t="str">
        <x:v>DOC-EVT-00175-00421</x:v>
      </x:c>
      <x:c r="I48" s="51" t="str">
        <x:v>未经审核之二零二六年五月销量</x:v>
      </x:c>
      <x:c r="J48" s="87" t="n">
        <x:v>46174.76540509259</x:v>
      </x:c>
      <x:c r="K48" s="73" t="str">
        <x:v>http://static.cninfo.com.cn/finalpage/2026-06-01/1225343474.PDF</x:v>
      </x:c>
      <x:c r="L48" s="40" t="str">
        <x:v>第1页</x:v>
      </x:c>
      <x:c r="M48" s="51" t="str">
        <x:v>- 1 - 香港交易及結算所有限公司及香港聯合交易所有限公司對本公佈之內容概不負責，對其 準確性或完整性亦不發表任何聲明，並表明不會就因本公佈全部或任何部份內容而產生 或因倚賴該等內容而引致之任何損失承擔任何責任。 GEELY AUTOMOBILE HOLDINGS LIMITED 未經審核之 二零二 六 年 五 月 銷量 吉利汽車控股有限公司( 「 本公司 」， 連同其附屬公司統稱為 「 本集團 」 ） 董事會欣然宣佈， 本集團於二零二 六 年 五 月 的 汽車 總銷量為237,637 部， 較去年同期增長約1% 。 詳細如下： 品牌 本月 （部） 去年同期 （部） 同比變動 (%) 今年累計 （部） 去年同期累計 （部） 同比變動 (%) 吉利 182,528 188,670 -3 913,809 971,279 -6 其中: 銀河 81,727 101,845 -20 411,587 458,186 -10 領克 20,732 27,630 -25 125,149 127,827 -2 極氪 34,377 18,908 82 143,201 74,038 93 合計 237,637 235,208 1 1,182,159 1,173,144 1 其中： 純電動汽車(BEVs) 76,633 95,040 -19 357,894 425,924 -16 插電式混動汽車 (PHEVs) 56,722 42,981 32 280,111 176,860 58 其中： 出口…</x:v>
      </x:c>
      <x:c r="N48" s="41" t="str">
        <x:v>1-弱相关</x:v>
      </x:c>
      <x:c r="O48" s="41" t="str">
        <x:v>否</x:v>
      </x:c>
      <x:c r="P48" s="57" t="str">
        <x:v>《未经审核之二零二六年五月销量》仅提供公司阶段性经营、财务或相邻业务背景，未同时覆盖“新能源销量、促销折让与利润贡献”的核心变量，相关性较弱。</x:v>
      </x:c>
      <x:c r="Q48" s="41" t="str">
        <x:v>B-CODEX-FIN-01</x:v>
      </x:c>
      <x:c r="R48" s="80" t="inlineStr">
        <x:is>
          <x:t>2026-08-28T03:00:25+08:00</x:t>
        </x:is>
      </x:c>
    </x:row>
    <x:row r="49" ht="72" customHeight="1">
      <x:c r="A49" s="64" t="str">
        <x:v>V5-R-Q005-C05</x:v>
      </x:c>
      <x:c r="B49" s="64" t="str">
        <x:v>V5-E-00175-C05</x:v>
      </x:c>
      <x:c r="C49" s="64" t="str">
        <x:v>V5-Q005</x:v>
      </x:c>
      <x:c r="D49" s="40" t="str">
        <x:v>吉利汽车</x:v>
      </x:c>
      <x:c r="E49" s="64" t="str">
        <x:v>00175</x:v>
      </x:c>
      <x:c r="F49" s="87" t="n">
        <x:v>46260.75</x:v>
      </x:c>
      <x:c r="G49" s="51" t="str">
        <x:v>促销与价格折让是否会削弱新能源销量增长的利润贡献</x:v>
      </x:c>
      <x:c r="H49" s="64" t="str">
        <x:v>DOC-EVT-00175-00423</x:v>
      </x:c>
      <x:c r="I49" s="51" t="str">
        <x:v>(I)于二零二六年六月一日举行之股东周年大会之投票表决结果；及(II)于二零二六年七月三十日派付末期股息每股普通股港币0.50元</x:v>
      </x:c>
      <x:c r="J49" s="87" t="n">
        <x:v>46174.86262731482</x:v>
      </x:c>
      <x:c r="K49" s="73" t="str">
        <x:v>http://static.cninfo.com.cn/finalpage/2026-06-01/1225344582.PDF</x:v>
      </x:c>
      <x:c r="L49" s="40" t="str">
        <x:v>第1页</x:v>
      </x:c>
      <x:c r="M49" s="51" t="str">
        <x:v>香港交易及結算所有限公司及香港聯合交易所有限公司對本公佈之內容概不負責，對其 準確性或完整性亦不發表任何聲明，並表明不會就因本公佈全部或任何部份內容而產生 或因倚賴該等內容而引致之任何損失承擔任何責任。 GEELY AUTO MOBILE HOL DINGS LIMI TED 175 80175 (I)於二零二六年六月一日舉行之股東週年大會之投票表決結果；及 (II)於二零二六年七月三十日派付末期股息每股普通股港幣0.50元 於股東週年大會上，載於股東週年大會通告之所有決議案均獲股東以投票表決方式通 過。 董事會欣然宣佈，每股普通股將派發港幣0.50元的末期股息。股息將由聯合郵寄給在 二零二六年六月二十二日本公司股東名冊上登記的股東。這些股東有權在二零二六年 七月三十日通過普通郵寄方式自行承擔風險接收末期股息。 茲提述本公司日期為二零二六年四月二十八日之本公司通函 （ 「通函」 ） 連同股東週年大會 通告 （ 「股東週年大會通告」 ） 。除文義另有所指外，本公佈所用詞彙與通函所界定者具有 相同涵義。 (I) 於二零二六年六月一日舉行之股東週年大會之投票表決結果 吉利汽車控股有限公司 （ 「本公司」 ） 董事會 （ 「董事會」 ） 欣然宣佈，於二零二六年六月 一日舉行之本公司股東週年大會 （ 「股東週年大會」 ） 上，載於股東週年大會通告之所 有決議案已獲本公司股東 （ 「股東」 ） 根據上市規則第13.39(4)條指定的方式透過投票表 決方式批准。本公司之香港股份過戶登記處…</x:v>
      </x:c>
      <x:c r="N49" s="41" t="str">
        <x:v>0-无关</x:v>
      </x:c>
      <x:c r="O49" s="41" t="str">
        <x:v>否</x:v>
      </x:c>
      <x:c r="P49" s="57" t="str">
        <x:v>《(I)于二零二六年六月一日举行之股东周年大会之投票表决结果；及(II)于二零二六年七月三十日派付末期股息每股普通股港币0.50元》主要涉及治理、股权、会议、分红或其他事项，未披露“新能源销量、促销折让与利润贡献”相关实质证据。</x:v>
      </x:c>
      <x:c r="Q49" s="41" t="str">
        <x:v>B-CODEX-FIN-01</x:v>
      </x:c>
      <x:c r="R49" s="80" t="inlineStr">
        <x:is>
          <x:t>2026-08-28T03:00:25+08:00</x:t>
        </x:is>
      </x:c>
    </x:row>
    <x:row r="50" ht="72" customHeight="1">
      <x:c r="A50" s="64" t="str">
        <x:v>V5-R-Q005-C09</x:v>
      </x:c>
      <x:c r="B50" s="64" t="str">
        <x:v>V5-E-00175-C09</x:v>
      </x:c>
      <x:c r="C50" s="64" t="str">
        <x:v>V5-Q005</x:v>
      </x:c>
      <x:c r="D50" s="40" t="str">
        <x:v>吉利汽车</x:v>
      </x:c>
      <x:c r="E50" s="64" t="str">
        <x:v>00175</x:v>
      </x:c>
      <x:c r="F50" s="87" t="n">
        <x:v>46260.75</x:v>
      </x:c>
      <x:c r="G50" s="51" t="str">
        <x:v>促销与价格折让是否会削弱新能源销量增长的利润贡献</x:v>
      </x:c>
      <x:c r="H50" s="64" t="str">
        <x:v>DOC-EVT-00175-00229</x:v>
      </x:c>
      <x:c r="I50" s="51" t="str">
        <x:v>将於二零二五年九月五日（星期五）下午四时正假座香港湾仔港湾道一号香港万丽海景酒店低层大堂8号会议室举行之股东特别大会或其任何续会适用之代表委任表格</x:v>
      </x:c>
      <x:c r="J50" s="87" t="n">
        <x:v>45884.701574074075</x:v>
      </x:c>
      <x:c r="K50" s="73" t="str">
        <x:v>http://static.cninfo.com.cn/finalpage/2025-08-15/1224497590.PDF</x:v>
      </x:c>
      <x:c r="L50" s="40" t="str">
        <x:v>第1页</x:v>
      </x:c>
      <x:c r="M50" s="51" t="str">
        <x:v>GEELY AUTO MOBILE HOL DINGS LIMI TED 17 5 80 175 將於二零二五年九月五日 （星期五） 下午四時正 假座香港灣仔港灣道一號香港萬麗海景酒店低層大堂8號會議室舉行之股東特別大會或 其任何續會適用之代表委任表格 本人╱吾等 1 地址為 為吉利汽車控股有限公司 （ 「本公司」 ） 股本中每股面值港幣0.02元普通股 （ 「股份」 ） 共 股 2 之登記持有人。茲委任大會主席 3 ，或 地址為 或 （如其未出席） 地址為 為本人╱吾等之受委代表，代表本人╱吾等出席將於二零二五年九月五日 （星期五） 下午四時正假座香港灣仔 港灣道一號香港萬麗海景酒店低層大堂8號會議室舉行之本公司股東特別大會 （及其任何續會） （ 「大會」 ） ，並代 表本人╱吾等行事，以考慮及酌情通過召開大會之通告所載之決議案，並按下述指示，於大會代表本人╱吾等 及以本人╱吾等之名義就該決議案投票。如無作出指示，則本人╱吾等之受委代表可自行酌情投票。本人╱吾 等之受委代表亦將有權就正式提呈大會之任何事宜自行酌情投票。 普通決議案 贊成 4 反對 4 1. a. 謹此批准、追認及確認合併協議 （定義見本公司日期為二零二五年八月 十八日之通函 （ 「通函」 ） ） 及其項下擬進行之交易； b. 授予董事配發及發行最多1,098,059,328股代價股份 （定義見通函） 之特 別授權 （ 「特別授權」 ） ；及 c. 授權任何一名或多名董事採取及辦理所有該等行動或事宜，以及簽…</x:v>
      </x:c>
      <x:c r="N50" s="41" t="str">
        <x:v>0-无关</x:v>
      </x:c>
      <x:c r="O50" s="41" t="str">
        <x:v>否</x:v>
      </x:c>
      <x:c r="P50" s="57" t="str">
        <x:v>《将於二零二五年九月五日（星期五）下午四时正假座香港湾仔港湾道一号香港万丽海景酒店低层大堂8号会议室举行之股东特别大会或其任何续会适用之代表委任表格》主要涉及治理、股权、会议、分红或其他事项，未披露“新能源销量、促销折让与利润贡献”相关实质证据。</x:v>
      </x:c>
      <x:c r="Q50" s="41" t="str">
        <x:v>B-CODEX-FIN-01</x:v>
      </x:c>
      <x:c r="R50" s="80" t="inlineStr">
        <x:is>
          <x:t>2026-08-28T03:00:25+08:00</x:t>
        </x:is>
      </x:c>
    </x:row>
    <x:row r="51" ht="72" customHeight="1">
      <x:c r="A51" s="64" t="str">
        <x:v>V5-R-Q005-C02</x:v>
      </x:c>
      <x:c r="B51" s="64" t="str">
        <x:v>V5-E-00175-C02</x:v>
      </x:c>
      <x:c r="C51" s="64" t="str">
        <x:v>V5-Q005</x:v>
      </x:c>
      <x:c r="D51" s="40" t="str">
        <x:v>吉利汽车</x:v>
      </x:c>
      <x:c r="E51" s="64" t="str">
        <x:v>00175</x:v>
      </x:c>
      <x:c r="F51" s="87" t="n">
        <x:v>46260.75</x:v>
      </x:c>
      <x:c r="G51" s="51" t="str">
        <x:v>促销与价格折让是否会削弱新能源销量增长的利润贡献</x:v>
      </x:c>
      <x:c r="H51" s="64" t="str">
        <x:v>DOC-EVT-00175-00095</x:v>
      </x:c>
      <x:c r="I51" s="51" t="str">
        <x:v>未经审核之二零二四年十一月销量</x:v>
      </x:c>
      <x:c r="J51" s="87" t="n">
        <x:v>45627.75293981482</x:v>
      </x:c>
      <x:c r="K51" s="73" t="str">
        <x:v>http://static.cninfo.com.cn/finalpage/2024-12-01/1221902616.PDF</x:v>
      </x:c>
      <x:c r="L51" s="40" t="str">
        <x:v>第2页</x:v>
      </x:c>
      <x:c r="M51" s="51" t="str">
        <x:v>- 2 - 11,515 2 141,205 2 附註1： 雖然總銷量與本集團在特定期間確認之收入並無直接關係，因為它包括領克合併基礎 上的所有銷量，但本公司董事會認為這更能反映本集團汽車的潛在需求。 附註2： 本集團已於二零二三年四月二十八日完成收購寶騰 49.9%的股權。有關寶騰的詳情， 請參閱本公司日期為二零二三年一月二十日的公佈及二零二三年四月六日的通函。 附註3： 為推進本集團內部資源深度整合和高效融合，二零二四年十月 本集團宣佈幾何系列併 入銀河，而幾何將不再作為獨立的品牌存在 。幾何成為銀河旗下的智能精品小車系列。 因此，本集團二零二四年十月起將幾何銷量併入銀河，並追溯調整歷史同期資料。 於本公佈日期，本公司執行董事為李書福先生（主席）、李東輝先生（副主席）、桂生悅先生 （行政總裁）、魏梅女士、淦家閱先生及 毛鑒明先生；而本公司獨立非執行董事為安慶衡 先生、汪洋先生、高劼女士、俞麗萍女士及朱寒松先生。</x:v>
      </x:c>
      <x:c r="N51" s="41" t="str">
        <x:v>1-弱相关</x:v>
      </x:c>
      <x:c r="O51" s="41" t="str">
        <x:v>否</x:v>
      </x:c>
      <x:c r="P51" s="57" t="str">
        <x:v>《未经审核之二零二四年十一月销量》仅提供公司阶段性经营、财务或相邻业务背景，未同时覆盖“新能源销量、促销折让与利润贡献”的核心变量，相关性较弱。</x:v>
      </x:c>
      <x:c r="Q51" s="41" t="str">
        <x:v>B-CODEX-FIN-01</x:v>
      </x:c>
      <x:c r="R51" s="80" t="inlineStr">
        <x:is>
          <x:t>2026-08-28T03:00:25+08:00</x:t>
        </x:is>
      </x:c>
    </x:row>
    <x:row r="52" ht="72" customHeight="1">
      <x:c r="A52" s="64" t="str">
        <x:v>V5-R-Q006-C05</x:v>
      </x:c>
      <x:c r="B52" s="64" t="str">
        <x:v>V5-E-00175-C05</x:v>
      </x:c>
      <x:c r="C52" s="64" t="str">
        <x:v>V5-Q006</x:v>
      </x:c>
      <x:c r="D52" s="40" t="str">
        <x:v>吉利汽车</x:v>
      </x:c>
      <x:c r="E52" s="64" t="str">
        <x:v>00175</x:v>
      </x:c>
      <x:c r="F52" s="87" t="n">
        <x:v>46260.75</x:v>
      </x:c>
      <x:c r="G52" s="51" t="str">
        <x:v>统一架构与研发平台能否降低多品牌车型开发成本</x:v>
      </x:c>
      <x:c r="H52" s="64" t="str">
        <x:v>DOC-EVT-00175-00423</x:v>
      </x:c>
      <x:c r="I52" s="51" t="str">
        <x:v>(I)于二零二六年六月一日举行之股东周年大会之投票表决结果；及(II)于二零二六年七月三十日派付末期股息每股普通股港币0.50元</x:v>
      </x:c>
      <x:c r="J52" s="87" t="n">
        <x:v>46174.86262731482</x:v>
      </x:c>
      <x:c r="K52" s="73" t="str">
        <x:v>http://static.cninfo.com.cn/finalpage/2026-06-01/1225344582.PDF</x:v>
      </x:c>
      <x:c r="L52" s="40" t="str">
        <x:v>第1页</x:v>
      </x:c>
      <x:c r="M52" s="51" t="str">
        <x:v>香港交易及結算所有限公司及香港聯合交易所有限公司對本公佈之內容概不負責，對其 準確性或完整性亦不發表任何聲明，並表明不會就因本公佈全部或任何部份內容而產生 或因倚賴該等內容而引致之任何損失承擔任何責任。 GEELY AUTO MOBILE HOL DINGS LIMI TED 175 80175 (I)於二零二六年六月一日舉行之股東週年大會之投票表決結果；及 (II)於二零二六年七月三十日派付末期股息每股普通股港幣0.50元 於股東週年大會上，載於股東週年大會通告之所有決議案均獲股東以投票表決方式通 過。 董事會欣然宣佈，每股普通股將派發港幣0.50元的末期股息。股息將由聯合郵寄給在 二零二六年六月二十二日本公司股東名冊上登記的股東。這些股東有權在二零二六年 七月三十日通過普通郵寄方式自行承擔風險接收末期股息。 茲提述本公司日期為二零二六年四月二十八日之本公司通函 （ 「通函」 ） 連同股東週年大會 通告 （ 「股東週年大會通告」 ） 。除文義另有所指外，本公佈所用詞彙與通函所界定者具有 相同涵義。 (I) 於二零二六年六月一日舉行之股東週年大會之投票表決結果 吉利汽車控股有限公司 （ 「本公司」 ） 董事會 （ 「董事會」 ） 欣然宣佈，於二零二六年六月 一日舉行之本公司股東週年大會 （ 「股東週年大會」 ） 上，載於股東週年大會通告之所 有決議案已獲本公司股東 （ 「股東」 ） 根據上市規則第13.39(4)條指定的方式透過投票表 決方式批准。本公司之香港股份過戶登記處…</x:v>
      </x:c>
      <x:c r="N52" s="41" t="str">
        <x:v>0-无关</x:v>
      </x:c>
      <x:c r="O52" s="41" t="str">
        <x:v>否</x:v>
      </x:c>
      <x:c r="P52" s="57" t="str">
        <x:v>《(I)于二零二六年六月一日举行之股东周年大会之投票表决结果；及(II)于二零二六年七月三十日派付末期股息每股普通股港币0.50元》主要涉及治理、股权、会议、分红或其他事项，未披露“统一架构、研发平台复用与开发成本”相关实质证据。</x:v>
      </x:c>
      <x:c r="Q52" s="41" t="str">
        <x:v>B-CODEX-FIN-01</x:v>
      </x:c>
      <x:c r="R52" s="80" t="inlineStr">
        <x:is>
          <x:t>2026-08-28T03:00:25+08:00</x:t>
        </x:is>
      </x:c>
    </x:row>
    <x:row r="53" ht="72" customHeight="1">
      <x:c r="A53" s="64" t="str">
        <x:v>V5-R-Q006-C09</x:v>
      </x:c>
      <x:c r="B53" s="64" t="str">
        <x:v>V5-E-00175-C09</x:v>
      </x:c>
      <x:c r="C53" s="64" t="str">
        <x:v>V5-Q006</x:v>
      </x:c>
      <x:c r="D53" s="40" t="str">
        <x:v>吉利汽车</x:v>
      </x:c>
      <x:c r="E53" s="64" t="str">
        <x:v>00175</x:v>
      </x:c>
      <x:c r="F53" s="87" t="n">
        <x:v>46260.75</x:v>
      </x:c>
      <x:c r="G53" s="51" t="str">
        <x:v>统一架构与研发平台能否降低多品牌车型开发成本</x:v>
      </x:c>
      <x:c r="H53" s="64" t="str">
        <x:v>DOC-EVT-00175-00229</x:v>
      </x:c>
      <x:c r="I53" s="51" t="str">
        <x:v>将於二零二五年九月五日（星期五）下午四时正假座香港湾仔港湾道一号香港万丽海景酒店低层大堂8号会议室举行之股东特别大会或其任何续会适用之代表委任表格</x:v>
      </x:c>
      <x:c r="J53" s="87" t="n">
        <x:v>45884.701574074075</x:v>
      </x:c>
      <x:c r="K53" s="73" t="str">
        <x:v>http://static.cninfo.com.cn/finalpage/2025-08-15/1224497590.PDF</x:v>
      </x:c>
      <x:c r="L53" s="40" t="str">
        <x:v>第1页</x:v>
      </x:c>
      <x:c r="M53" s="51" t="str">
        <x:v>GEELY AUTO MOBILE HOL DINGS LIMI TED 17 5 80 175 將於二零二五年九月五日 （星期五） 下午四時正 假座香港灣仔港灣道一號香港萬麗海景酒店低層大堂8號會議室舉行之股東特別大會或 其任何續會適用之代表委任表格 本人╱吾等 1 地址為 為吉利汽車控股有限公司 （ 「本公司」 ） 股本中每股面值港幣0.02元普通股 （ 「股份」 ） 共 股 2 之登記持有人。茲委任大會主席 3 ，或 地址為 或 （如其未出席） 地址為 為本人╱吾等之受委代表，代表本人╱吾等出席將於二零二五年九月五日 （星期五） 下午四時正假座香港灣仔 港灣道一號香港萬麗海景酒店低層大堂8號會議室舉行之本公司股東特別大會 （及其任何續會） （ 「大會」 ） ，並代 表本人╱吾等行事，以考慮及酌情通過召開大會之通告所載之決議案，並按下述指示，於大會代表本人╱吾等 及以本人╱吾等之名義就該決議案投票。如無作出指示，則本人╱吾等之受委代表可自行酌情投票。本人╱吾 等之受委代表亦將有權就正式提呈大會之任何事宜自行酌情投票。 普通決議案 贊成 4 反對 4 1. a. 謹此批准、追認及確認合併協議 （定義見本公司日期為二零二五年八月 十八日之通函 （ 「通函」 ） ） 及其項下擬進行之交易； b. 授予董事配發及發行最多1,098,059,328股代價股份 （定義見通函） 之特 別授權 （ 「特別授權」 ） ；及 c. 授權任何一名或多名董事採取及辦理所有該等行動或事宜，以及簽…</x:v>
      </x:c>
      <x:c r="N53" s="41" t="str">
        <x:v>0-无关</x:v>
      </x:c>
      <x:c r="O53" s="41" t="str">
        <x:v>否</x:v>
      </x:c>
      <x:c r="P53" s="57" t="str">
        <x:v>《将於二零二五年九月五日（星期五）下午四时正假座香港湾仔港湾道一号香港万丽海景酒店低层大堂8号会议室举行之股东特别大会或其任何续会适用之代表委任表格》主要涉及治理、股权、会议、分红或其他事项，未披露“统一架构、研发平台复用与开发成本”相关实质证据。</x:v>
      </x:c>
      <x:c r="Q53" s="41" t="str">
        <x:v>B-CODEX-FIN-01</x:v>
      </x:c>
      <x:c r="R53" s="80" t="inlineStr">
        <x:is>
          <x:t>2026-08-28T03:00:25+08:00</x:t>
        </x:is>
      </x:c>
    </x:row>
    <x:row r="54" ht="72" customHeight="1">
      <x:c r="A54" s="64" t="str">
        <x:v>V5-R-Q006-C01</x:v>
      </x:c>
      <x:c r="B54" s="64" t="str">
        <x:v>V5-E-00175-C01</x:v>
      </x:c>
      <x:c r="C54" s="64" t="str">
        <x:v>V5-Q006</x:v>
      </x:c>
      <x:c r="D54" s="40" t="str">
        <x:v>吉利汽车</x:v>
      </x:c>
      <x:c r="E54" s="64" t="str">
        <x:v>00175</x:v>
      </x:c>
      <x:c r="F54" s="87" t="n">
        <x:v>46260.75</x:v>
      </x:c>
      <x:c r="G54" s="51" t="str">
        <x:v>统一架构与研发平台能否降低多品牌车型开发成本</x:v>
      </x:c>
      <x:c r="H54" s="64" t="str">
        <x:v>DOC-EVT-00175-00421</x:v>
      </x:c>
      <x:c r="I54" s="51" t="str">
        <x:v>未经审核之二零二六年五月销量</x:v>
      </x:c>
      <x:c r="J54" s="87" t="n">
        <x:v>46174.76540509259</x:v>
      </x:c>
      <x:c r="K54" s="73" t="str">
        <x:v>http://static.cninfo.com.cn/finalpage/2026-06-01/1225343474.PDF</x:v>
      </x:c>
      <x:c r="L54" s="40" t="str">
        <x:v>第1页</x:v>
      </x:c>
      <x:c r="M54" s="51" t="str">
        <x:v>- 1 - 香港交易及結算所有限公司及香港聯合交易所有限公司對本公佈之內容概不負責，對其 準確性或完整性亦不發表任何聲明，並表明不會就因本公佈全部或任何部份內容而產生 或因倚賴該等內容而引致之任何損失承擔任何責任。 GEELY AUTOMOBILE HOLDINGS LIMITED 未經審核之 二零二 六 年 五 月 銷量 吉利汽車控股有限公司( 「 本公司 」， 連同其附屬公司統稱為 「 本集團 」 ） 董事會欣然宣佈， 本集團於二零二 六 年 五 月 的 汽車 總銷量為237,637 部， 較去年同期增長約1% 。 詳細如下： 品牌 本月 （部） 去年同期 （部） 同比變動 (%) 今年累計 （部） 去年同期累計 （部） 同比變動 (%) 吉利 182,528 188,670 -3 913,809 971,279 -6 其中: 銀河 81,727 101,845 -20 411,587 458,186 -10 領克 20,732 27,630 -25 125,149 127,827 -2 極氪 34,377 18,908 82 143,201 74,038 93 合計 237,637 235,208 1 1,182,159 1,173,144 1 其中： 純電動汽車(BEVs) 76,633 95,040 -19 357,894 425,924 -16 插電式混動汽車 (PHEVs) 56,722 42,981 32 280,111 176,860 58 其中： 出口…</x:v>
      </x:c>
      <x:c r="N54" s="41" t="str">
        <x:v>0-无关</x:v>
      </x:c>
      <x:c r="O54" s="41" t="str">
        <x:v>否</x:v>
      </x:c>
      <x:c r="P54" s="57" t="str">
        <x:v>《未经审核之二零二六年五月销量》主要涉及治理、股权、会议、分红或其他事项，未披露“统一架构、研发平台复用与开发成本”相关实质证据。</x:v>
      </x:c>
      <x:c r="Q54" s="41" t="str">
        <x:v>B-CODEX-FIN-01</x:v>
      </x:c>
      <x:c r="R54" s="80" t="inlineStr">
        <x:is>
          <x:t>2026-08-28T03:00:25+08:00</x:t>
        </x:is>
      </x:c>
    </x:row>
    <x:row r="55" ht="72" customHeight="1">
      <x:c r="A55" s="64" t="str">
        <x:v>V5-R-Q006-C04</x:v>
      </x:c>
      <x:c r="B55" s="64" t="str">
        <x:v>V5-E-00175-C04</x:v>
      </x:c>
      <x:c r="C55" s="64" t="str">
        <x:v>V5-Q006</x:v>
      </x:c>
      <x:c r="D55" s="40" t="str">
        <x:v>吉利汽车</x:v>
      </x:c>
      <x:c r="E55" s="64" t="str">
        <x:v>00175</x:v>
      </x:c>
      <x:c r="F55" s="87" t="n">
        <x:v>46260.75</x:v>
      </x:c>
      <x:c r="G55" s="51" t="str">
        <x:v>统一架构与研发平台能否降低多品牌车型开发成本</x:v>
      </x:c>
      <x:c r="H55" s="64" t="str">
        <x:v>DOC-EVT-00175-00400</x:v>
      </x:c>
      <x:c r="I55" s="51" t="str">
        <x:v>未经审核之二零二六年四月销量</x:v>
      </x:c>
      <x:c r="J55" s="87" t="n">
        <x:v>46145.99998842592</x:v>
      </x:c>
      <x:c r="K55" s="73" t="str">
        <x:v>http://static.cninfo.com.cn/finalpage/2026-05-03/1225275804.PDF</x:v>
      </x:c>
      <x:c r="L55" s="40" t="str">
        <x:v>第1页</x:v>
      </x:c>
      <x:c r="M55" s="51" t="str">
        <x:v>- 1 - 香港交易及結算所有限公司及香港聯合交易所有限公司對本公佈之內容概不負責，對其 準確性或完整性亦不發表任何聲明，並表明不會就因本公佈全部或任何部份內容而產生 或因倚賴該等內容而引致之任何損失承擔任何責任。 GEELY AUTOMOBILE HOLDINGS LIMITED 未經審核之 二零二 六 年 四 月 銷量 吉利汽車控股有限公司( 「 本公司 」， 連同其附屬公司統稱為 「 本集團 」 ） 董事會欣然宣佈， 本集團於二零二 六 年 四 月 的 汽車 總銷量為235,164 部，與 去年同期 持平 。 詳細如下： 品牌 本月 （部） 去年同期 （部） 同比變動 (%) 今年累計 （部） 去年同期累計 （部） 同比變動 (%) 吉利 180,622 192,796 -6 731,281 782,609 -7 其中: 銀河 91,001 96,632 -6 329,860 356,341 -7 領克 22,755 27,589 -18 104,417 100,197 4 極氪 31,787 13,727 132 108,824 55,130 97 合計 235,164 234,112 0 944,522 937,936 1 其中： 純電動汽車(BEVs) 74,860 92,360 -19 281,261 330,884 -15 插電式混動汽車 (PHEVs) 60,731 33,203 83 223,389 133,879 67 其中： 出口 注1 83,186…</x:v>
      </x:c>
      <x:c r="N55" s="41" t="str">
        <x:v>0-无关</x:v>
      </x:c>
      <x:c r="O55" s="41" t="str">
        <x:v>否</x:v>
      </x:c>
      <x:c r="P55" s="57" t="str">
        <x:v>《未经审核之二零二六年四月销量》主要涉及治理、股权、会议、分红或其他事项，未披露“统一架构、研发平台复用与开发成本”相关实质证据。</x:v>
      </x:c>
      <x:c r="Q55" s="41" t="str">
        <x:v>B-CODEX-FIN-01</x:v>
      </x:c>
      <x:c r="R55" s="80" t="inlineStr">
        <x:is>
          <x:t>2026-08-28T03:00:25+08:00</x:t>
        </x:is>
      </x:c>
    </x:row>
    <x:row r="56" ht="72" customHeight="1">
      <x:c r="A56" s="64" t="str">
        <x:v>V5-R-Q006-C02</x:v>
      </x:c>
      <x:c r="B56" s="64" t="str">
        <x:v>V5-E-00175-C02</x:v>
      </x:c>
      <x:c r="C56" s="64" t="str">
        <x:v>V5-Q006</x:v>
      </x:c>
      <x:c r="D56" s="40" t="str">
        <x:v>吉利汽车</x:v>
      </x:c>
      <x:c r="E56" s="64" t="str">
        <x:v>00175</x:v>
      </x:c>
      <x:c r="F56" s="87" t="n">
        <x:v>46260.75</x:v>
      </x:c>
      <x:c r="G56" s="51" t="str">
        <x:v>统一架构与研发平台能否降低多品牌车型开发成本</x:v>
      </x:c>
      <x:c r="H56" s="64" t="str">
        <x:v>DOC-EVT-00175-00095</x:v>
      </x:c>
      <x:c r="I56" s="51" t="str">
        <x:v>未经审核之二零二四年十一月销量</x:v>
      </x:c>
      <x:c r="J56" s="87" t="n">
        <x:v>45627.75293981482</x:v>
      </x:c>
      <x:c r="K56" s="73" t="str">
        <x:v>http://static.cninfo.com.cn/finalpage/2024-12-01/1221902616.PDF</x:v>
      </x:c>
      <x:c r="L56" s="40" t="str">
        <x:v>第2页</x:v>
      </x:c>
      <x:c r="M56" s="51" t="str">
        <x:v>- 2 - 11,515 2 141,205 2 附註1： 雖然總銷量與本集團在特定期間確認之收入並無直接關係，因為它包括領克合併基礎 上的所有銷量，但本公司董事會認為這更能反映本集團汽車的潛在需求。 附註2： 本集團已於二零二三年四月二十八日完成收購寶騰 49.9%的股權。有關寶騰的詳情， 請參閱本公司日期為二零二三年一月二十日的公佈及二零二三年四月六日的通函。 附註3： 為推進本集團內部資源深度整合和高效融合，二零二四年十月 本集團宣佈幾何系列併 入銀河，而幾何將不再作為獨立的品牌存在 。幾何成為銀河旗下的智能精品小車系列。 因此，本集團二零二四年十月起將幾何銷量併入銀河，並追溯調整歷史同期資料。 於本公佈日期，本公司執行董事為李書福先生（主席）、李東輝先生（副主席）、桂生悅先生 （行政總裁）、魏梅女士、淦家閱先生及 毛鑒明先生；而本公司獨立非執行董事為安慶衡 先生、汪洋先生、高劼女士、俞麗萍女士及朱寒松先生。</x:v>
      </x:c>
      <x:c r="N56" s="41" t="str">
        <x:v>2-间接相关</x:v>
      </x:c>
      <x:c r="O56" s="41" t="str">
        <x:v>是</x:v>
      </x:c>
      <x:c r="P56" s="57" t="str">
        <x:v>月度销量公告明确几何并入银河，以推进内部资源深度整合和高效融合，能够支持“统一架构、研发平台复用与开发成本”的中间环节，但未完整量化最终影响。</x:v>
      </x:c>
      <x:c r="Q56" s="41" t="str">
        <x:v>B-CODEX-FIN-01</x:v>
      </x:c>
      <x:c r="R56" s="80" t="inlineStr">
        <x:is>
          <x:t>2026-08-28T03:00:25+08:00</x:t>
        </x:is>
      </x:c>
    </x:row>
    <x:row r="57" ht="72" customHeight="1">
      <x:c r="A57" s="64" t="str">
        <x:v>V5-R-Q006-C10</x:v>
      </x:c>
      <x:c r="B57" s="64" t="str">
        <x:v>V5-E-00175-C10</x:v>
      </x:c>
      <x:c r="C57" s="64" t="str">
        <x:v>V5-Q006</x:v>
      </x:c>
      <x:c r="D57" s="40" t="str">
        <x:v>吉利汽车</x:v>
      </x:c>
      <x:c r="E57" s="64" t="str">
        <x:v>00175</x:v>
      </x:c>
      <x:c r="F57" s="87" t="n">
        <x:v>46260.75</x:v>
      </x:c>
      <x:c r="G57" s="51" t="str">
        <x:v>统一架构与研发平台能否降低多品牌车型开发成本</x:v>
      </x:c>
      <x:c r="H57" s="64" t="str">
        <x:v>DOC-EVT-00175-00451</x:v>
      </x:c>
      <x:c r="I57" s="51" t="str">
        <x:v>月报表截至31/7/2026</x:v>
      </x:c>
      <x:c r="J57" s="87" t="n">
        <x:v>46236.76002314815</x:v>
      </x:c>
      <x:c r="K57" s="73" t="str">
        <x:v>http://static.cninfo.com.cn/finalpage/2026-08-02/1225452827.PDF</x:v>
      </x:c>
      <x:c r="L57" s="40" t="str">
        <x:v>第9页</x:v>
      </x:c>
      <x:c r="M57" s="51" t="str">
        <x:v>FF301 ∉  7⃷⃾ ῌ ౦㣐༯ğ  č䩏Ď ಆ҆ॻ⇊Ġ  ၘಆ҆੫ྛĠ  čೂႵĎၘჍ੫ྛĠ  ૫नℾཌྷ๝č䩏ĎĠ  ၧၘಆ҆቎ྛĠ  ῂၘứෂ⇀ᆞ⊵Ḿứෂᆞᄝ⊵Ḿᇏ❣ᾞ὜ứෂĠ  ࠣ  Ďb ᆀğ ≵⅏ಥ ⊊↼ğඳ૝ℼ ದ≇</x:v>
      </x:c>
      <x:c r="N57" s="41" t="str">
        <x:v>0-无关</x:v>
      </x:c>
      <x:c r="O57" s="41" t="str">
        <x:v>否</x:v>
      </x:c>
      <x:c r="P57" s="57" t="str">
        <x:v>《月报表截至31/7/2026》主要涉及治理、股权、会议、分红或其他事项，未披露“统一架构、研发平台复用与开发成本”相关实质证据。</x:v>
      </x:c>
      <x:c r="Q57" s="41" t="str">
        <x:v>B-CODEX-FIN-01</x:v>
      </x:c>
      <x:c r="R57" s="80" t="inlineStr">
        <x:is>
          <x:t>2026-08-28T03:00:25+08:00</x:t>
        </x:is>
      </x:c>
    </x:row>
    <x:row r="58" ht="72" customHeight="1">
      <x:c r="A58" s="64" t="str">
        <x:v>V5-R-Q006-C07</x:v>
      </x:c>
      <x:c r="B58" s="64" t="str">
        <x:v>V5-E-00175-C07</x:v>
      </x:c>
      <x:c r="C58" s="64" t="str">
        <x:v>V5-Q006</x:v>
      </x:c>
      <x:c r="D58" s="40" t="str">
        <x:v>吉利汽车</x:v>
      </x:c>
      <x:c r="E58" s="64" t="str">
        <x:v>00175</x:v>
      </x:c>
      <x:c r="F58" s="87" t="n">
        <x:v>46260.75</x:v>
      </x:c>
      <x:c r="G58" s="51" t="str">
        <x:v>统一架构与研发平台能否降低多品牌车型开发成本</x:v>
      </x:c>
      <x:c r="H58" s="64" t="str">
        <x:v>DOC-EVT-00175-00066</x:v>
      </x:c>
      <x:c r="I58" s="51" t="str">
        <x:v>截至二零二四年六月三十日止六个月的中期业绩公布</x:v>
      </x:c>
      <x:c r="J58" s="87" t="n">
        <x:v>45525.50430555556</x:v>
      </x:c>
      <x:c r="K58" s="73" t="str">
        <x:v>http://static.cninfo.com.cn/finalpage/2024-08-21/1220933537.PDF</x:v>
      </x:c>
      <x:c r="L58" s="40" t="str">
        <x:v>第2页</x:v>
      </x:c>
      <x:c r="M58" s="51" t="str">
        <x:v>- 2 - ʕಂุᐶ ʮ̡  ͉ʮ̡໨ ԫ ึ໨ԫึ᙮ʮ̡  ͉ ණྠʕಂุᐶf༈ഃʕಂุᐶʊ͉͟ ࢪ ʮ̡ᄲቡf ڌ ˜ ˜ ɚཧɚ̬ϋ ɚཧɚɧϋ ൗ ɛ͏࿆ɷʩ ɛ͏࿆ɷʩ  ϗू 3 107,305,450 73,181,745 ቖਯϓ͉ (91,084,564) (62,641,253) ˣл 16,220,886 10,540,492 Չ˼ϗूŊ ᑦฦ ଋᕘ 4 876,726 640,229 ʱቖʿቖਯ൬͜ (6,327,005) (4,767,790) ൬͜ (6,916,431) (4,867,108) ᑦฦ ᅡΫ 5(c) (38,053) 59,265 ᑦฦ 5(c) (239,708) – ˹ಛ (1,279,265) (436,429) ৌਕϗɝଋᕘ 5(a) 424,374 160,749 ᏐЦᑌᐄʮุ̡ᐶ 331,801 132,676 ᏐЦΥᐄʮุ̡ᐶ 416,929 12,016 ٙ ᑦฦ 21 7,469,663 – ๐л 5 10,939,917 1,474,100 ೼ධ 6 (556,307) (200,592) ͉ಂග๐л 10,383,610 1,273,508 ᓥ᙮j Ϟɛ 10,597,868 1,570,728 ᛆू (214,258) (297,220) ͉ಂග๐л 10,383,610 1,273,508 л ਿ͉ 8 ɛ͏࿆104.59ʱ ɛ͏࿆14.91ʱ ᛅᑛ 8 ɛ͏࿆103.88ʱ ɛ͏…</x:v>
      </x:c>
      <x:c r="N58" s="41" t="str">
        <x:v>1-弱相关</x:v>
      </x:c>
      <x:c r="O58" s="41" t="str">
        <x:v>否</x:v>
      </x:c>
      <x:c r="P58" s="57" t="str">
        <x:v>《截至二零二四年六月三十日止六个月的中期业绩公布》仅提供公司阶段性经营、财务或相邻业务背景，未同时覆盖“统一架构、研发平台复用与开发成本”的核心变量，相关性较弱。</x:v>
      </x:c>
      <x:c r="Q58" s="41" t="str">
        <x:v>B-CODEX-FIN-01</x:v>
      </x:c>
      <x:c r="R58" s="80" t="inlineStr">
        <x:is>
          <x:t>2026-08-28T03:00:25+08:00</x:t>
        </x:is>
      </x:c>
    </x:row>
    <x:row r="59" ht="72" customHeight="1">
      <x:c r="A59" s="64" t="str">
        <x:v>V5-R-Q006-C03</x:v>
      </x:c>
      <x:c r="B59" s="64" t="str">
        <x:v>V5-E-00175-C03</x:v>
      </x:c>
      <x:c r="C59" s="64" t="str">
        <x:v>V5-Q006</x:v>
      </x:c>
      <x:c r="D59" s="40" t="str">
        <x:v>吉利汽车</x:v>
      </x:c>
      <x:c r="E59" s="64" t="str">
        <x:v>00175</x:v>
      </x:c>
      <x:c r="F59" s="87" t="n">
        <x:v>46260.75</x:v>
      </x:c>
      <x:c r="G59" s="51" t="str">
        <x:v>统一架构与研发平台能否降低多品牌车型开发成本</x:v>
      </x:c>
      <x:c r="H59" s="64" t="str">
        <x:v>DOC-EVT-00175-00450</x:v>
      </x:c>
      <x:c r="I59" s="51" t="str">
        <x:v>未经审核之二零二六年七月销量</x:v>
      </x:c>
      <x:c r="J59" s="87" t="n">
        <x:v>46236.75983796296</x:v>
      </x:c>
      <x:c r="K59" s="73" t="str">
        <x:v>http://static.cninfo.com.cn/finalpage/2026-08-02/1225452825.PDF</x:v>
      </x:c>
      <x:c r="L59" s="40" t="str">
        <x:v>第1页</x:v>
      </x:c>
      <x:c r="M59" s="51" t="str">
        <x:v>- 1 - 香港交易及結算所有限公司及香港聯合交易所有限公司對本公佈之內容概不負責，對其 準確性或完整性亦不發表任何聲明，並表明不會就因本公佈全部或任何部份內容而產生 或因倚賴該等內容而引致之任何損失承擔任何責任。 GEELY AUTOMOBILE HOLDINGS LIMITED 未經審核之 二零二 六 年 七 月 銷量 吉利汽車控股有限公司( 「 本公司 」， 連同其附屬公司統稱為 「 本集團 」 ） 董事會欣然宣佈， 本集團於二零二 六 年 七 月 的 汽車 總銷量為250,161 部， 較去年同期增長約5% 。 詳細如下： 品牌 本月 （部） 去年同期 （部） 同比變動 (%) 今年累計 （部） 去年同期累計 （部） 同比變動 (%) 吉利 197,942 193,524 2 1,298,315 1,357,827 -4 其中: 銀河 107,797 95,043 13 627,590 643,451 -2 領克 16,382 27,216 -40 160,597 181,353 -11 極氪 35,837 16,977 111 214,207 107,717 99 合計 250,161 237,717 5 1,673,119 1,646,897 2 其中： 純電動汽車(BEVs) 105,365 90,043 17 566,781 600,846 -6 插電式混動汽車 (PHEVs) 54,800 40,081 37 392,838 254,429 54 其中：…</x:v>
      </x:c>
      <x:c r="N59" s="41" t="str">
        <x:v>0-无关</x:v>
      </x:c>
      <x:c r="O59" s="41" t="str">
        <x:v>否</x:v>
      </x:c>
      <x:c r="P59" s="57" t="str">
        <x:v>《未经审核之二零二六年七月销量》主要涉及治理、股权、会议、分红或其他事项，未披露“统一架构、研发平台复用与开发成本”相关实质证据。</x:v>
      </x:c>
      <x:c r="Q59" s="41" t="str">
        <x:v>B-CODEX-FIN-01</x:v>
      </x:c>
      <x:c r="R59" s="80" t="inlineStr">
        <x:is>
          <x:t>2026-08-28T03:00:25+08:00</x:t>
        </x:is>
      </x:c>
    </x:row>
    <x:row r="60" ht="72" customHeight="1">
      <x:c r="A60" s="64" t="str">
        <x:v>V5-R-Q006-C06</x:v>
      </x:c>
      <x:c r="B60" s="64" t="str">
        <x:v>V5-E-00175-C06</x:v>
      </x:c>
      <x:c r="C60" s="64" t="str">
        <x:v>V5-Q006</x:v>
      </x:c>
      <x:c r="D60" s="40" t="str">
        <x:v>吉利汽车</x:v>
      </x:c>
      <x:c r="E60" s="64" t="str">
        <x:v>00175</x:v>
      </x:c>
      <x:c r="F60" s="87" t="n">
        <x:v>46260.75</x:v>
      </x:c>
      <x:c r="G60" s="51" t="str">
        <x:v>统一架构与研发平台能否降低多品牌车型开发成本</x:v>
      </x:c>
      <x:c r="H60" s="64" t="str">
        <x:v>DOC-EVT-00175-00449</x:v>
      </x:c>
      <x:c r="I60" s="51" t="str">
        <x:v>自愿公布收购西班牙一间目标公司34%的股权及成立一间合营公司从事乘用车合约生产</x:v>
      </x:c>
      <x:c r="J60" s="87" t="n">
        <x:v>46226.741793981484</x:v>
      </x:c>
      <x:c r="K60" s="73" t="str">
        <x:v>http://static.cninfo.com.cn/finalpage/2026-07-23/1225439110.PDF</x:v>
      </x:c>
      <x:c r="L60" s="40" t="str">
        <x:v>第1页</x:v>
      </x:c>
      <x:c r="M60" s="51" t="str">
        <x:v>香港交易及結算所有限公司及香港聯合交易所有限公司對本公佈之內容概不負責，對其 準確性或完整性亦不發表任何聲明，並表明不會就因本公佈全部或任何部份內容而產生 或因倚賴該等內容而引致之任何損失承擔任何責任。 GEELY AUTO MOBILE HOL DINGS LIMI TED 175 80175 自願公佈 收購西班牙一間目標公司34%的股權 及 成立一間合營公司從事乘用車合約生產 本公司之財務顧問 收購事項 於二零二六年七月二十三日，Geely SPV （本公司之全資附屬公司） 、Ford NL、目標公 司、福特母公司及本公司訂立股份購買協議，據此，Geely SPV有條件同意收購及Ford NL有條件同意出售目標公司之34%股權，代價為221百萬歐元，但於完成時需根據目 標公司之淨債務、營運資金狀況及資產範圍，按慣例進行交割賬目調整。根據股份購 買協議，本公司同意就Geely SPV履行其義務提供擔保，福特母公司同意就Ford NL及 目標公司履行其各自義務提供擔保。於完成後，目標公司將由Ford NL及Geely SPV分 別擁有66%及34%權益。於完成後，目標公司將不會成為本公司的附屬公司，其財務 業績亦不會併入本集團的綜合財務報表。本公司於目標公司的投資預期將作為聯營公 司投資並採用權益法入賬。 - 1 -</x:v>
      </x:c>
      <x:c r="N60" s="41" t="str">
        <x:v>1-弱相关</x:v>
      </x:c>
      <x:c r="O60" s="41" t="str">
        <x:v>否</x:v>
      </x:c>
      <x:c r="P60" s="57" t="str">
        <x:v>《自愿公布收购西班牙一间目标公司34%的股权及成立一间合营公司从事乘用车合约生产》仅提供公司阶段性经营、财务或相邻业务背景，未同时覆盖“统一架构、研发平台复用与开发成本”的核心变量，相关性较弱。</x:v>
      </x:c>
      <x:c r="Q60" s="41" t="str">
        <x:v>B-CODEX-FIN-01</x:v>
      </x:c>
      <x:c r="R60" s="80" t="inlineStr">
        <x:is>
          <x:t>2026-08-28T03:00:25+08:00</x:t>
        </x:is>
      </x:c>
    </x:row>
    <x:row r="61" ht="72" customHeight="1">
      <x:c r="A61" s="64" t="str">
        <x:v>V5-R-Q006-C08</x:v>
      </x:c>
      <x:c r="B61" s="64" t="str">
        <x:v>V5-E-00175-C08</x:v>
      </x:c>
      <x:c r="C61" s="64" t="str">
        <x:v>V5-Q006</x:v>
      </x:c>
      <x:c r="D61" s="40" t="str">
        <x:v>吉利汽车</x:v>
      </x:c>
      <x:c r="E61" s="64" t="str">
        <x:v>00175</x:v>
      </x:c>
      <x:c r="F61" s="87" t="n">
        <x:v>46260.75</x:v>
      </x:c>
      <x:c r="G61" s="51" t="str">
        <x:v>统一架构与研发平台能否降低多品牌车型开发成本</x:v>
      </x:c>
      <x:c r="H61" s="64" t="str">
        <x:v>DOC-EVT-00175-00148</x:v>
      </x:c>
      <x:c r="I61" s="51" t="str">
        <x:v>截至二零二四年十二月三十一日止年度之全年业绩公布</x:v>
      </x:c>
      <x:c r="J61" s="87" t="n">
        <x:v>45736.51399305555</x:v>
      </x:c>
      <x:c r="K61" s="73" t="str">
        <x:v>http://static.cninfo.com.cn/finalpage/2025-03-20/1222853710.PDF</x:v>
      </x:c>
      <x:c r="L61" s="40" t="str">
        <x:v>第1页</x:v>
      </x:c>
      <x:c r="M61" s="51" t="str">
        <x:v>- 1 - பd࿁Չ Ͼପ͛ ዄ΂Оப΂f 吉利汽車控股有限公司 GEELY AUTOMOBILE HOLDINGS LIMITED ʮ̡ ΅˾໮j175ಥ࿆ᓞ̨ ʿ80175ɛ͏࿆ᓞ̨ 財務摘要： 截至十二月三十一日止年度 二零二四年 ɚཧɚɧϋ ᜊਗ 人民幣千元 ɛ͏࿆ɷʩ % ቖඎ*ൗ 2,176,567 1,648,515 32 ϗू 240,194,270 179,203,592 34 Չ˼ϗूŊ ᑦฦ ଋᕘ 904,742 1,367,181 (34) ˹ಛ (1,746,925) (646,336) 170 ᙮ʮ̡ʘϗूʿ̈ਯ ɓගΥᐄʮ̡௅ʱᛆूʘᅲПᑦฦ 9,097,711 – ʔቇ͜ ๐л 16,799,095 4,935,018 240 ๐л 16,632,398 5,308,408 213 л ਿ͉ ɛ͏࿆ʱ 163.80 51.36 219 ᛅᑛ ɛ͏࿆ʱ 163.19 51.00 220  ಥ࿆ʩ 0.33 0.22 50 * ͉͟ණྠኹϞ50%ᐼቖඎf ൗj ʮ̡˸ 100%ಂග dઓ໨ԫึ  董事會͉ණྠӛԓʘᆑίცӋf ಥ࿆ 0.33ಥ࿆0.22 ග ᑘБʘ d˙̙Ъྼf</x:v>
      </x:c>
      <x:c r="N61" s="41" t="str">
        <x:v>2-间接相关</x:v>
      </x:c>
      <x:c r="O61" s="41" t="str">
        <x:v>是</x:v>
      </x:c>
      <x:c r="P61" s="57" t="str">
        <x:v>年度业绩包含品牌、研发及成本效率的综合经营数据，能够支持“统一架构、研发平台复用与开发成本”的中间环节，但未完整量化最终影响。</x:v>
      </x:c>
      <x:c r="Q61" s="41" t="str">
        <x:v>B-CODEX-FIN-01</x:v>
      </x:c>
      <x:c r="R61" s="80" t="inlineStr">
        <x:is>
          <x:t>2026-08-28T03:00:25+08:00</x:t>
        </x:is>
      </x:c>
    </x:row>
    <x:row r="62" ht="72" customHeight="1">
      <x:c r="A62" s="64" t="str">
        <x:v>V5-R-Q007-C02</x:v>
      </x:c>
      <x:c r="B62" s="64" t="str">
        <x:v>V5-E-00175-C02</x:v>
      </x:c>
      <x:c r="C62" s="64" t="str">
        <x:v>V5-Q007</x:v>
      </x:c>
      <x:c r="D62" s="40" t="str">
        <x:v>吉利汽车</x:v>
      </x:c>
      <x:c r="E62" s="64" t="str">
        <x:v>00175</x:v>
      </x:c>
      <x:c r="F62" s="87" t="n">
        <x:v>46260.75</x:v>
      </x:c>
      <x:c r="G62" s="51" t="str">
        <x:v>品牌整合产生的一次性成本是否会影响短期盈利质量</x:v>
      </x:c>
      <x:c r="H62" s="64" t="str">
        <x:v>DOC-EVT-00175-00095</x:v>
      </x:c>
      <x:c r="I62" s="51" t="str">
        <x:v>未经审核之二零二四年十一月销量</x:v>
      </x:c>
      <x:c r="J62" s="87" t="n">
        <x:v>45627.75293981482</x:v>
      </x:c>
      <x:c r="K62" s="73" t="str">
        <x:v>http://static.cninfo.com.cn/finalpage/2024-12-01/1221902616.PDF</x:v>
      </x:c>
      <x:c r="L62" s="40" t="str">
        <x:v>第2页</x:v>
      </x:c>
      <x:c r="M62" s="51" t="str">
        <x:v>- 2 - 11,515 2 141,205 2 附註1： 雖然總銷量與本集團在特定期間確認之收入並無直接關係，因為它包括領克合併基礎 上的所有銷量，但本公司董事會認為這更能反映本集團汽車的潛在需求。 附註2： 本集團已於二零二三年四月二十八日完成收購寶騰 49.9%的股權。有關寶騰的詳情， 請參閱本公司日期為二零二三年一月二十日的公佈及二零二三年四月六日的通函。 附註3： 為推進本集團內部資源深度整合和高效融合，二零二四年十月 本集團宣佈幾何系列併 入銀河，而幾何將不再作為獨立的品牌存在 。幾何成為銀河旗下的智能精品小車系列。 因此，本集團二零二四年十月起將幾何銷量併入銀河，並追溯調整歷史同期資料。 於本公佈日期，本公司執行董事為李書福先生（主席）、李東輝先生（副主席）、桂生悅先生 （行政總裁）、魏梅女士、淦家閱先生及 毛鑒明先生；而本公司獨立非執行董事為安慶衡 先生、汪洋先生、高劼女士、俞麗萍女士及朱寒松先生。</x:v>
      </x:c>
      <x:c r="N62" s="41" t="str">
        <x:v>2-间接相关</x:v>
      </x:c>
      <x:c r="O62" s="41" t="str">
        <x:v>是</x:v>
      </x:c>
      <x:c r="P62" s="57" t="str">
        <x:v>公告明确品牌并入及内部资源整合事项，能够支持“品牌整合的一次性成本与短期盈利质量”的中间环节，但未完整量化最终影响。</x:v>
      </x:c>
      <x:c r="Q62" s="41" t="str">
        <x:v>B-CODEX-FIN-01</x:v>
      </x:c>
      <x:c r="R62" s="80" t="inlineStr">
        <x:is>
          <x:t>2026-08-28T03:00:25+08:00</x:t>
        </x:is>
      </x:c>
    </x:row>
    <x:row r="63" ht="72" customHeight="1">
      <x:c r="A63" s="64" t="str">
        <x:v>V5-R-Q007-C05</x:v>
      </x:c>
      <x:c r="B63" s="64" t="str">
        <x:v>V5-E-00175-C05</x:v>
      </x:c>
      <x:c r="C63" s="64" t="str">
        <x:v>V5-Q007</x:v>
      </x:c>
      <x:c r="D63" s="40" t="str">
        <x:v>吉利汽车</x:v>
      </x:c>
      <x:c r="E63" s="64" t="str">
        <x:v>00175</x:v>
      </x:c>
      <x:c r="F63" s="87" t="n">
        <x:v>46260.75</x:v>
      </x:c>
      <x:c r="G63" s="51" t="str">
        <x:v>品牌整合产生的一次性成本是否会影响短期盈利质量</x:v>
      </x:c>
      <x:c r="H63" s="64" t="str">
        <x:v>DOC-EVT-00175-00423</x:v>
      </x:c>
      <x:c r="I63" s="51" t="str">
        <x:v>(I)于二零二六年六月一日举行之股东周年大会之投票表决结果；及(II)于二零二六年七月三十日派付末期股息每股普通股港币0.50元</x:v>
      </x:c>
      <x:c r="J63" s="87" t="n">
        <x:v>46174.86262731482</x:v>
      </x:c>
      <x:c r="K63" s="73" t="str">
        <x:v>http://static.cninfo.com.cn/finalpage/2026-06-01/1225344582.PDF</x:v>
      </x:c>
      <x:c r="L63" s="40" t="str">
        <x:v>第1页</x:v>
      </x:c>
      <x:c r="M63" s="51" t="str">
        <x:v>香港交易及結算所有限公司及香港聯合交易所有限公司對本公佈之內容概不負責，對其 準確性或完整性亦不發表任何聲明，並表明不會就因本公佈全部或任何部份內容而產生 或因倚賴該等內容而引致之任何損失承擔任何責任。 GEELY AUTO MOBILE HOL DINGS LIMI TED 175 80175 (I)於二零二六年六月一日舉行之股東週年大會之投票表決結果；及 (II)於二零二六年七月三十日派付末期股息每股普通股港幣0.50元 於股東週年大會上，載於股東週年大會通告之所有決議案均獲股東以投票表決方式通 過。 董事會欣然宣佈，每股普通股將派發港幣0.50元的末期股息。股息將由聯合郵寄給在 二零二六年六月二十二日本公司股東名冊上登記的股東。這些股東有權在二零二六年 七月三十日通過普通郵寄方式自行承擔風險接收末期股息。 茲提述本公司日期為二零二六年四月二十八日之本公司通函 （ 「通函」 ） 連同股東週年大會 通告 （ 「股東週年大會通告」 ） 。除文義另有所指外，本公佈所用詞彙與通函所界定者具有 相同涵義。 (I) 於二零二六年六月一日舉行之股東週年大會之投票表決結果 吉利汽車控股有限公司 （ 「本公司」 ） 董事會 （ 「董事會」 ） 欣然宣佈，於二零二六年六月 一日舉行之本公司股東週年大會 （ 「股東週年大會」 ） 上，載於股東週年大會通告之所 有決議案已獲本公司股東 （ 「股東」 ） 根據上市規則第13.39(4)條指定的方式透過投票表 決方式批准。本公司之香港股份過戶登記處…</x:v>
      </x:c>
      <x:c r="N63" s="41" t="str">
        <x:v>0-无关</x:v>
      </x:c>
      <x:c r="O63" s="41" t="str">
        <x:v>否</x:v>
      </x:c>
      <x:c r="P63" s="57" t="str">
        <x:v>《(I)于二零二六年六月一日举行之股东周年大会之投票表决结果；及(II)于二零二六年七月三十日派付末期股息每股普通股港币0.50元》主要涉及治理、股权、会议、分红或其他事项，未披露“品牌整合的一次性成本与短期盈利质量”相关实质证据。</x:v>
      </x:c>
      <x:c r="Q63" s="41" t="str">
        <x:v>B-CODEX-FIN-01</x:v>
      </x:c>
      <x:c r="R63" s="80" t="inlineStr">
        <x:is>
          <x:t>2026-08-28T03:00:25+08:00</x:t>
        </x:is>
      </x:c>
    </x:row>
    <x:row r="64" ht="72" customHeight="1">
      <x:c r="A64" s="64" t="str">
        <x:v>V5-R-Q007-C03</x:v>
      </x:c>
      <x:c r="B64" s="64" t="str">
        <x:v>V5-E-00175-C03</x:v>
      </x:c>
      <x:c r="C64" s="64" t="str">
        <x:v>V5-Q007</x:v>
      </x:c>
      <x:c r="D64" s="40" t="str">
        <x:v>吉利汽车</x:v>
      </x:c>
      <x:c r="E64" s="64" t="str">
        <x:v>00175</x:v>
      </x:c>
      <x:c r="F64" s="87" t="n">
        <x:v>46260.75</x:v>
      </x:c>
      <x:c r="G64" s="51" t="str">
        <x:v>品牌整合产生的一次性成本是否会影响短期盈利质量</x:v>
      </x:c>
      <x:c r="H64" s="64" t="str">
        <x:v>DOC-EVT-00175-00450</x:v>
      </x:c>
      <x:c r="I64" s="51" t="str">
        <x:v>未经审核之二零二六年七月销量</x:v>
      </x:c>
      <x:c r="J64" s="87" t="n">
        <x:v>46236.75983796296</x:v>
      </x:c>
      <x:c r="K64" s="73" t="str">
        <x:v>http://static.cninfo.com.cn/finalpage/2026-08-02/1225452825.PDF</x:v>
      </x:c>
      <x:c r="L64" s="40" t="str">
        <x:v>第1页</x:v>
      </x:c>
      <x:c r="M64" s="51" t="str">
        <x:v>- 1 - 香港交易及結算所有限公司及香港聯合交易所有限公司對本公佈之內容概不負責，對其 準確性或完整性亦不發表任何聲明，並表明不會就因本公佈全部或任何部份內容而產生 或因倚賴該等內容而引致之任何損失承擔任何責任。 GEELY AUTOMOBILE HOLDINGS LIMITED 未經審核之 二零二 六 年 七 月 銷量 吉利汽車控股有限公司( 「 本公司 」， 連同其附屬公司統稱為 「 本集團 」 ） 董事會欣然宣佈， 本集團於二零二 六 年 七 月 的 汽車 總銷量為250,161 部， 較去年同期增長約5% 。 詳細如下： 品牌 本月 （部） 去年同期 （部） 同比變動 (%) 今年累計 （部） 去年同期累計 （部） 同比變動 (%) 吉利 197,942 193,524 2 1,298,315 1,357,827 -4 其中: 銀河 107,797 95,043 13 627,590 643,451 -2 領克 16,382 27,216 -40 160,597 181,353 -11 極氪 35,837 16,977 111 214,207 107,717 99 合計 250,161 237,717 5 1,673,119 1,646,897 2 其中： 純電動汽車(BEVs) 105,365 90,043 17 566,781 600,846 -6 插電式混動汽車 (PHEVs) 54,800 40,081 37 392,838 254,429 54 其中：…</x:v>
      </x:c>
      <x:c r="N64" s="41" t="str">
        <x:v>0-无关</x:v>
      </x:c>
      <x:c r="O64" s="41" t="str">
        <x:v>否</x:v>
      </x:c>
      <x:c r="P64" s="57" t="str">
        <x:v>《未经审核之二零二六年七月销量》主要涉及治理、股权、会议、分红或其他事项，未披露“品牌整合的一次性成本与短期盈利质量”相关实质证据。</x:v>
      </x:c>
      <x:c r="Q64" s="41" t="str">
        <x:v>B-CODEX-FIN-01</x:v>
      </x:c>
      <x:c r="R64" s="80" t="inlineStr">
        <x:is>
          <x:t>2026-08-28T03:00:25+08:00</x:t>
        </x:is>
      </x:c>
    </x:row>
    <x:row r="65" ht="72" customHeight="1">
      <x:c r="A65" s="64" t="str">
        <x:v>V5-R-Q007-C10</x:v>
      </x:c>
      <x:c r="B65" s="64" t="str">
        <x:v>V5-E-00175-C10</x:v>
      </x:c>
      <x:c r="C65" s="64" t="str">
        <x:v>V5-Q007</x:v>
      </x:c>
      <x:c r="D65" s="40" t="str">
        <x:v>吉利汽车</x:v>
      </x:c>
      <x:c r="E65" s="64" t="str">
        <x:v>00175</x:v>
      </x:c>
      <x:c r="F65" s="87" t="n">
        <x:v>46260.75</x:v>
      </x:c>
      <x:c r="G65" s="51" t="str">
        <x:v>品牌整合产生的一次性成本是否会影响短期盈利质量</x:v>
      </x:c>
      <x:c r="H65" s="64" t="str">
        <x:v>DOC-EVT-00175-00451</x:v>
      </x:c>
      <x:c r="I65" s="51" t="str">
        <x:v>月报表截至31/7/2026</x:v>
      </x:c>
      <x:c r="J65" s="87" t="n">
        <x:v>46236.76002314815</x:v>
      </x:c>
      <x:c r="K65" s="73" t="str">
        <x:v>http://static.cninfo.com.cn/finalpage/2026-08-02/1225452827.PDF</x:v>
      </x:c>
      <x:c r="L65" s="40" t="str">
        <x:v>第9页</x:v>
      </x:c>
      <x:c r="M65" s="51" t="str">
        <x:v>FF301 ∉  7⃷⃾ ῌ ౦㣐༯ğ  č䩏Ď ಆ҆ॻ⇊Ġ  ၘಆ҆੫ྛĠ  čೂႵĎၘჍ੫ྛĠ  ૫नℾཌྷ๝č䩏ĎĠ  ၧၘಆ҆቎ྛĠ  ῂၘứෂ⇀ᆞ⊵Ḿứෂᆞᄝ⊵Ḿᇏ❣ᾞ὜ứෂĠ  ࠣ  Ďb ᆀğ ≵⅏ಥ ⊊↼ğඳ૝ℼ ದ≇</x:v>
      </x:c>
      <x:c r="N65" s="41" t="str">
        <x:v>0-无关</x:v>
      </x:c>
      <x:c r="O65" s="41" t="str">
        <x:v>否</x:v>
      </x:c>
      <x:c r="P65" s="57" t="str">
        <x:v>《月报表截至31/7/2026》主要涉及治理、股权、会议、分红或其他事项，未披露“品牌整合的一次性成本与短期盈利质量”相关实质证据。</x:v>
      </x:c>
      <x:c r="Q65" s="41" t="str">
        <x:v>B-CODEX-FIN-01</x:v>
      </x:c>
      <x:c r="R65" s="80" t="inlineStr">
        <x:is>
          <x:t>2026-08-28T03:00:25+08:00</x:t>
        </x:is>
      </x:c>
    </x:row>
    <x:row r="66" ht="72" customHeight="1">
      <x:c r="A66" s="64" t="str">
        <x:v>V5-R-Q007-C01</x:v>
      </x:c>
      <x:c r="B66" s="64" t="str">
        <x:v>V5-E-00175-C01</x:v>
      </x:c>
      <x:c r="C66" s="64" t="str">
        <x:v>V5-Q007</x:v>
      </x:c>
      <x:c r="D66" s="40" t="str">
        <x:v>吉利汽车</x:v>
      </x:c>
      <x:c r="E66" s="64" t="str">
        <x:v>00175</x:v>
      </x:c>
      <x:c r="F66" s="87" t="n">
        <x:v>46260.75</x:v>
      </x:c>
      <x:c r="G66" s="51" t="str">
        <x:v>品牌整合产生的一次性成本是否会影响短期盈利质量</x:v>
      </x:c>
      <x:c r="H66" s="64" t="str">
        <x:v>DOC-EVT-00175-00421</x:v>
      </x:c>
      <x:c r="I66" s="51" t="str">
        <x:v>未经审核之二零二六年五月销量</x:v>
      </x:c>
      <x:c r="J66" s="87" t="n">
        <x:v>46174.76540509259</x:v>
      </x:c>
      <x:c r="K66" s="73" t="str">
        <x:v>http://static.cninfo.com.cn/finalpage/2026-06-01/1225343474.PDF</x:v>
      </x:c>
      <x:c r="L66" s="40" t="str">
        <x:v>第1页</x:v>
      </x:c>
      <x:c r="M66" s="51" t="str">
        <x:v>- 1 - 香港交易及結算所有限公司及香港聯合交易所有限公司對本公佈之內容概不負責，對其 準確性或完整性亦不發表任何聲明，並表明不會就因本公佈全部或任何部份內容而產生 或因倚賴該等內容而引致之任何損失承擔任何責任。 GEELY AUTOMOBILE HOLDINGS LIMITED 未經審核之 二零二 六 年 五 月 銷量 吉利汽車控股有限公司( 「 本公司 」， 連同其附屬公司統稱為 「 本集團 」 ） 董事會欣然宣佈， 本集團於二零二 六 年 五 月 的 汽車 總銷量為237,637 部， 較去年同期增長約1% 。 詳細如下： 品牌 本月 （部） 去年同期 （部） 同比變動 (%) 今年累計 （部） 去年同期累計 （部） 同比變動 (%) 吉利 182,528 188,670 -3 913,809 971,279 -6 其中: 銀河 81,727 101,845 -20 411,587 458,186 -10 領克 20,732 27,630 -25 125,149 127,827 -2 極氪 34,377 18,908 82 143,201 74,038 93 合計 237,637 235,208 1 1,182,159 1,173,144 1 其中： 純電動汽車(BEVs) 76,633 95,040 -19 357,894 425,924 -16 插電式混動汽車 (PHEVs) 56,722 42,981 32 280,111 176,860 58 其中： 出口…</x:v>
      </x:c>
      <x:c r="N66" s="41" t="str">
        <x:v>0-无关</x:v>
      </x:c>
      <x:c r="O66" s="41" t="str">
        <x:v>否</x:v>
      </x:c>
      <x:c r="P66" s="57" t="str">
        <x:v>《未经审核之二零二六年五月销量》主要涉及治理、股权、会议、分红或其他事项，未披露“品牌整合的一次性成本与短期盈利质量”相关实质证据。</x:v>
      </x:c>
      <x:c r="Q66" s="41" t="str">
        <x:v>B-CODEX-FIN-01</x:v>
      </x:c>
      <x:c r="R66" s="80" t="inlineStr">
        <x:is>
          <x:t>2026-08-28T03:00:25+08:00</x:t>
        </x:is>
      </x:c>
    </x:row>
    <x:row r="67" ht="72" customHeight="1">
      <x:c r="A67" s="64" t="str">
        <x:v>V5-R-Q007-C09</x:v>
      </x:c>
      <x:c r="B67" s="64" t="str">
        <x:v>V5-E-00175-C09</x:v>
      </x:c>
      <x:c r="C67" s="64" t="str">
        <x:v>V5-Q007</x:v>
      </x:c>
      <x:c r="D67" s="40" t="str">
        <x:v>吉利汽车</x:v>
      </x:c>
      <x:c r="E67" s="64" t="str">
        <x:v>00175</x:v>
      </x:c>
      <x:c r="F67" s="87" t="n">
        <x:v>46260.75</x:v>
      </x:c>
      <x:c r="G67" s="51" t="str">
        <x:v>品牌整合产生的一次性成本是否会影响短期盈利质量</x:v>
      </x:c>
      <x:c r="H67" s="64" t="str">
        <x:v>DOC-EVT-00175-00229</x:v>
      </x:c>
      <x:c r="I67" s="51" t="str">
        <x:v>将於二零二五年九月五日（星期五）下午四时正假座香港湾仔港湾道一号香港万丽海景酒店低层大堂8号会议室举行之股东特别大会或其任何续会适用之代表委任表格</x:v>
      </x:c>
      <x:c r="J67" s="87" t="n">
        <x:v>45884.701574074075</x:v>
      </x:c>
      <x:c r="K67" s="73" t="str">
        <x:v>http://static.cninfo.com.cn/finalpage/2025-08-15/1224497590.PDF</x:v>
      </x:c>
      <x:c r="L67" s="40" t="str">
        <x:v>第1页</x:v>
      </x:c>
      <x:c r="M67" s="51" t="str">
        <x:v>GEELY AUTO MOBILE HOL DINGS LIMI TED 17 5 80 175 將於二零二五年九月五日 （星期五） 下午四時正 假座香港灣仔港灣道一號香港萬麗海景酒店低層大堂8號會議室舉行之股東特別大會或 其任何續會適用之代表委任表格 本人╱吾等 1 地址為 為吉利汽車控股有限公司 （ 「本公司」 ） 股本中每股面值港幣0.02元普通股 （ 「股份」 ） 共 股 2 之登記持有人。茲委任大會主席 3 ，或 地址為 或 （如其未出席） 地址為 為本人╱吾等之受委代表，代表本人╱吾等出席將於二零二五年九月五日 （星期五） 下午四時正假座香港灣仔 港灣道一號香港萬麗海景酒店低層大堂8號會議室舉行之本公司股東特別大會 （及其任何續會） （ 「大會」 ） ，並代 表本人╱吾等行事，以考慮及酌情通過召開大會之通告所載之決議案，並按下述指示，於大會代表本人╱吾等 及以本人╱吾等之名義就該決議案投票。如無作出指示，則本人╱吾等之受委代表可自行酌情投票。本人╱吾 等之受委代表亦將有權就正式提呈大會之任何事宜自行酌情投票。 普通決議案 贊成 4 反對 4 1. a. 謹此批准、追認及確認合併協議 （定義見本公司日期為二零二五年八月 十八日之通函 （ 「通函」 ） ） 及其項下擬進行之交易； b. 授予董事配發及發行最多1,098,059,328股代價股份 （定義見通函） 之特 別授權 （ 「特別授權」 ） ；及 c. 授權任何一名或多名董事採取及辦理所有該等行動或事宜，以及簽…</x:v>
      </x:c>
      <x:c r="N67" s="41" t="str">
        <x:v>0-无关</x:v>
      </x:c>
      <x:c r="O67" s="41" t="str">
        <x:v>否</x:v>
      </x:c>
      <x:c r="P67" s="57" t="str">
        <x:v>《将於二零二五年九月五日（星期五）下午四时正假座香港湾仔港湾道一号香港万丽海景酒店低层大堂8号会议室举行之股东特别大会或其任何续会适用之代表委任表格》主要涉及治理、股权、会议、分红或其他事项，未披露“品牌整合的一次性成本与短期盈利质量”相关实质证据。</x:v>
      </x:c>
      <x:c r="Q67" s="41" t="str">
        <x:v>B-CODEX-FIN-01</x:v>
      </x:c>
      <x:c r="R67" s="80" t="inlineStr">
        <x:is>
          <x:t>2026-08-28T03:00:25+08:00</x:t>
        </x:is>
      </x:c>
    </x:row>
    <x:row r="68" ht="72" customHeight="1">
      <x:c r="A68" s="64" t="str">
        <x:v>V5-R-Q007-C04</x:v>
      </x:c>
      <x:c r="B68" s="64" t="str">
        <x:v>V5-E-00175-C04</x:v>
      </x:c>
      <x:c r="C68" s="64" t="str">
        <x:v>V5-Q007</x:v>
      </x:c>
      <x:c r="D68" s="40" t="str">
        <x:v>吉利汽车</x:v>
      </x:c>
      <x:c r="E68" s="64" t="str">
        <x:v>00175</x:v>
      </x:c>
      <x:c r="F68" s="87" t="n">
        <x:v>46260.75</x:v>
      </x:c>
      <x:c r="G68" s="51" t="str">
        <x:v>品牌整合产生的一次性成本是否会影响短期盈利质量</x:v>
      </x:c>
      <x:c r="H68" s="64" t="str">
        <x:v>DOC-EVT-00175-00400</x:v>
      </x:c>
      <x:c r="I68" s="51" t="str">
        <x:v>未经审核之二零二六年四月销量</x:v>
      </x:c>
      <x:c r="J68" s="87" t="n">
        <x:v>46145.99998842592</x:v>
      </x:c>
      <x:c r="K68" s="73" t="str">
        <x:v>http://static.cninfo.com.cn/finalpage/2026-05-03/1225275804.PDF</x:v>
      </x:c>
      <x:c r="L68" s="40" t="str">
        <x:v>第1页</x:v>
      </x:c>
      <x:c r="M68" s="51" t="str">
        <x:v>- 1 - 香港交易及結算所有限公司及香港聯合交易所有限公司對本公佈之內容概不負責，對其 準確性或完整性亦不發表任何聲明，並表明不會就因本公佈全部或任何部份內容而產生 或因倚賴該等內容而引致之任何損失承擔任何責任。 GEELY AUTOMOBILE HOLDINGS LIMITED 未經審核之 二零二 六 年 四 月 銷量 吉利汽車控股有限公司( 「 本公司 」， 連同其附屬公司統稱為 「 本集團 」 ） 董事會欣然宣佈， 本集團於二零二 六 年 四 月 的 汽車 總銷量為235,164 部，與 去年同期 持平 。 詳細如下： 品牌 本月 （部） 去年同期 （部） 同比變動 (%) 今年累計 （部） 去年同期累計 （部） 同比變動 (%) 吉利 180,622 192,796 -6 731,281 782,609 -7 其中: 銀河 91,001 96,632 -6 329,860 356,341 -7 領克 22,755 27,589 -18 104,417 100,197 4 極氪 31,787 13,727 132 108,824 55,130 97 合計 235,164 234,112 0 944,522 937,936 1 其中： 純電動汽車(BEVs) 74,860 92,360 -19 281,261 330,884 -15 插電式混動汽車 (PHEVs) 60,731 33,203 83 223,389 133,879 67 其中： 出口 注1 83,186…</x:v>
      </x:c>
      <x:c r="N68" s="41" t="str">
        <x:v>0-无关</x:v>
      </x:c>
      <x:c r="O68" s="41" t="str">
        <x:v>否</x:v>
      </x:c>
      <x:c r="P68" s="57" t="str">
        <x:v>《未经审核之二零二六年四月销量》主要涉及治理、股权、会议、分红或其他事项，未披露“品牌整合的一次性成本与短期盈利质量”相关实质证据。</x:v>
      </x:c>
      <x:c r="Q68" s="41" t="str">
        <x:v>B-CODEX-FIN-01</x:v>
      </x:c>
      <x:c r="R68" s="80" t="inlineStr">
        <x:is>
          <x:t>2026-08-28T03:00:25+08:00</x:t>
        </x:is>
      </x:c>
    </x:row>
    <x:row r="69" ht="72" customHeight="1">
      <x:c r="A69" s="64" t="str">
        <x:v>V5-R-Q007-C06</x:v>
      </x:c>
      <x:c r="B69" s="64" t="str">
        <x:v>V5-E-00175-C06</x:v>
      </x:c>
      <x:c r="C69" s="64" t="str">
        <x:v>V5-Q007</x:v>
      </x:c>
      <x:c r="D69" s="40" t="str">
        <x:v>吉利汽车</x:v>
      </x:c>
      <x:c r="E69" s="64" t="str">
        <x:v>00175</x:v>
      </x:c>
      <x:c r="F69" s="87" t="n">
        <x:v>46260.75</x:v>
      </x:c>
      <x:c r="G69" s="51" t="str">
        <x:v>品牌整合产生的一次性成本是否会影响短期盈利质量</x:v>
      </x:c>
      <x:c r="H69" s="64" t="str">
        <x:v>DOC-EVT-00175-00449</x:v>
      </x:c>
      <x:c r="I69" s="51" t="str">
        <x:v>自愿公布收购西班牙一间目标公司34%的股权及成立一间合营公司从事乘用车合约生产</x:v>
      </x:c>
      <x:c r="J69" s="87" t="n">
        <x:v>46226.741793981484</x:v>
      </x:c>
      <x:c r="K69" s="73" t="str">
        <x:v>http://static.cninfo.com.cn/finalpage/2026-07-23/1225439110.PDF</x:v>
      </x:c>
      <x:c r="L69" s="40" t="str">
        <x:v>第1页</x:v>
      </x:c>
      <x:c r="M69" s="51" t="str">
        <x:v>香港交易及結算所有限公司及香港聯合交易所有限公司對本公佈之內容概不負責，對其 準確性或完整性亦不發表任何聲明，並表明不會就因本公佈全部或任何部份內容而產生 或因倚賴該等內容而引致之任何損失承擔任何責任。 GEELY AUTO MOBILE HOL DINGS LIMI TED 175 80175 自願公佈 收購西班牙一間目標公司34%的股權 及 成立一間合營公司從事乘用車合約生產 本公司之財務顧問 收購事項 於二零二六年七月二十三日，Geely SPV （本公司之全資附屬公司） 、Ford NL、目標公 司、福特母公司及本公司訂立股份購買協議，據此，Geely SPV有條件同意收購及Ford NL有條件同意出售目標公司之34%股權，代價為221百萬歐元，但於完成時需根據目 標公司之淨債務、營運資金狀況及資產範圍，按慣例進行交割賬目調整。根據股份購 買協議，本公司同意就Geely SPV履行其義務提供擔保，福特母公司同意就Ford NL及 目標公司履行其各自義務提供擔保。於完成後，目標公司將由Ford NL及Geely SPV分 別擁有66%及34%權益。於完成後，目標公司將不會成為本公司的附屬公司，其財務 業績亦不會併入本集團的綜合財務報表。本公司於目標公司的投資預期將作為聯營公 司投資並採用權益法入賬。 - 1 -</x:v>
      </x:c>
      <x:c r="N69" s="41" t="str">
        <x:v>1-弱相关</x:v>
      </x:c>
      <x:c r="O69" s="41" t="str">
        <x:v>否</x:v>
      </x:c>
      <x:c r="P69" s="57" t="str">
        <x:v>《自愿公布收购西班牙一间目标公司34%的股权及成立一间合营公司从事乘用车合约生产》仅提供公司阶段性经营、财务或相邻业务背景，未同时覆盖“品牌整合的一次性成本与短期盈利质量”的核心变量，相关性较弱。</x:v>
      </x:c>
      <x:c r="Q69" s="41" t="str">
        <x:v>B-CODEX-FIN-01</x:v>
      </x:c>
      <x:c r="R69" s="80" t="inlineStr">
        <x:is>
          <x:t>2026-08-28T03:00:25+08:00</x:t>
        </x:is>
      </x:c>
    </x:row>
    <x:row r="70" ht="72" customHeight="1">
      <x:c r="A70" s="64" t="str">
        <x:v>V5-R-Q007-C07</x:v>
      </x:c>
      <x:c r="B70" s="64" t="str">
        <x:v>V5-E-00175-C07</x:v>
      </x:c>
      <x:c r="C70" s="64" t="str">
        <x:v>V5-Q007</x:v>
      </x:c>
      <x:c r="D70" s="40" t="str">
        <x:v>吉利汽车</x:v>
      </x:c>
      <x:c r="E70" s="64" t="str">
        <x:v>00175</x:v>
      </x:c>
      <x:c r="F70" s="87" t="n">
        <x:v>46260.75</x:v>
      </x:c>
      <x:c r="G70" s="51" t="str">
        <x:v>品牌整合产生的一次性成本是否会影响短期盈利质量</x:v>
      </x:c>
      <x:c r="H70" s="64" t="str">
        <x:v>DOC-EVT-00175-00066</x:v>
      </x:c>
      <x:c r="I70" s="51" t="str">
        <x:v>截至二零二四年六月三十日止六个月的中期业绩公布</x:v>
      </x:c>
      <x:c r="J70" s="87" t="n">
        <x:v>45525.50430555556</x:v>
      </x:c>
      <x:c r="K70" s="73" t="str">
        <x:v>http://static.cninfo.com.cn/finalpage/2024-08-21/1220933537.PDF</x:v>
      </x:c>
      <x:c r="L70" s="40" t="str">
        <x:v>第2页</x:v>
      </x:c>
      <x:c r="M70" s="51" t="str">
        <x:v>- 2 - ʕಂุᐶ ʮ̡  ͉ʮ̡໨ ԫ ึ໨ԫึ᙮ʮ̡  ͉ ණྠʕಂุᐶf༈ഃʕಂุᐶʊ͉͟ ࢪ ʮ̡ᄲቡf ڌ ˜ ˜ ɚཧɚ̬ϋ ɚཧɚɧϋ ൗ ɛ͏࿆ɷʩ ɛ͏࿆ɷʩ  ϗू 3 107,305,450 73,181,745 ቖਯϓ͉ (91,084,564) (62,641,253) ˣл 16,220,886 10,540,492 Չ˼ϗूŊ ᑦฦ ଋᕘ 4 876,726 640,229 ʱቖʿቖਯ൬͜ (6,327,005) (4,767,790) ൬͜ (6,916,431) (4,867,108) ᑦฦ ᅡΫ 5(c) (38,053) 59,265 ᑦฦ 5(c) (239,708) – ˹ಛ (1,279,265) (436,429) ৌਕϗɝଋᕘ 5(a) 424,374 160,749 ᏐЦᑌᐄʮุ̡ᐶ 331,801 132,676 ᏐЦΥᐄʮุ̡ᐶ 416,929 12,016 ٙ ᑦฦ 21 7,469,663 – ๐л 5 10,939,917 1,474,100 ೼ධ 6 (556,307) (200,592) ͉ಂග๐л 10,383,610 1,273,508 ᓥ᙮j Ϟɛ 10,597,868 1,570,728 ᛆू (214,258) (297,220) ͉ಂග๐л 10,383,610 1,273,508 л ਿ͉ 8 ɛ͏࿆104.59ʱ ɛ͏࿆14.91ʱ ᛅᑛ 8 ɛ͏࿆103.88ʱ ɛ͏…</x:v>
      </x:c>
      <x:c r="N70" s="41" t="str">
        <x:v>1-弱相关</x:v>
      </x:c>
      <x:c r="O70" s="41" t="str">
        <x:v>否</x:v>
      </x:c>
      <x:c r="P70" s="57" t="str">
        <x:v>《截至二零二四年六月三十日止六个月的中期业绩公布》仅提供公司阶段性经营、财务或相邻业务背景，未同时覆盖“品牌整合的一次性成本与短期盈利质量”的核心变量，相关性较弱。</x:v>
      </x:c>
      <x:c r="Q70" s="41" t="str">
        <x:v>B-CODEX-FIN-01</x:v>
      </x:c>
      <x:c r="R70" s="80" t="inlineStr">
        <x:is>
          <x:t>2026-08-28T03:00:25+08:00</x:t>
        </x:is>
      </x:c>
    </x:row>
    <x:row r="71" ht="72" customHeight="1">
      <x:c r="A71" s="64" t="str">
        <x:v>V5-R-Q007-C08</x:v>
      </x:c>
      <x:c r="B71" s="64" t="str">
        <x:v>V5-E-00175-C08</x:v>
      </x:c>
      <x:c r="C71" s="64" t="str">
        <x:v>V5-Q007</x:v>
      </x:c>
      <x:c r="D71" s="40" t="str">
        <x:v>吉利汽车</x:v>
      </x:c>
      <x:c r="E71" s="64" t="str">
        <x:v>00175</x:v>
      </x:c>
      <x:c r="F71" s="87" t="n">
        <x:v>46260.75</x:v>
      </x:c>
      <x:c r="G71" s="51" t="str">
        <x:v>品牌整合产生的一次性成本是否会影响短期盈利质量</x:v>
      </x:c>
      <x:c r="H71" s="64" t="str">
        <x:v>DOC-EVT-00175-00148</x:v>
      </x:c>
      <x:c r="I71" s="51" t="str">
        <x:v>截至二零二四年十二月三十一日止年度之全年业绩公布</x:v>
      </x:c>
      <x:c r="J71" s="87" t="n">
        <x:v>45736.51399305555</x:v>
      </x:c>
      <x:c r="K71" s="73" t="str">
        <x:v>http://static.cninfo.com.cn/finalpage/2025-03-20/1222853710.PDF</x:v>
      </x:c>
      <x:c r="L71" s="40" t="str">
        <x:v>第1页</x:v>
      </x:c>
      <x:c r="M71" s="51" t="str">
        <x:v>- 1 - பd࿁Չ Ͼପ͛ ዄ΂Оப΂f 吉利汽車控股有限公司 GEELY AUTOMOBILE HOLDINGS LIMITED ʮ̡ ΅˾໮j175ಥ࿆ᓞ̨ ʿ80175ɛ͏࿆ᓞ̨ 財務摘要： 截至十二月三十一日止年度 二零二四年 ɚཧɚɧϋ ᜊਗ 人民幣千元 ɛ͏࿆ɷʩ % ቖඎ*ൗ 2,176,567 1,648,515 32 ϗू 240,194,270 179,203,592 34 Չ˼ϗूŊ ᑦฦ ଋᕘ 904,742 1,367,181 (34) ˹ಛ (1,746,925) (646,336) 170 ᙮ʮ̡ʘϗूʿ̈ਯ ɓගΥᐄʮ̡௅ʱᛆूʘᅲПᑦฦ 9,097,711 – ʔቇ͜ ๐л 16,799,095 4,935,018 240 ๐л 16,632,398 5,308,408 213 л ਿ͉ ɛ͏࿆ʱ 163.80 51.36 219 ᛅᑛ ɛ͏࿆ʱ 163.19 51.00 220  ಥ࿆ʩ 0.33 0.22 50 * ͉͟ණྠኹϞ50%ᐼቖඎf ൗj ʮ̡˸ 100%ಂග dઓ໨ԫึ  董事會͉ණྠӛԓʘᆑίცӋf ಥ࿆ 0.33ಥ࿆0.22 ග ᑘБʘ d˙̙Ъྼf</x:v>
      </x:c>
      <x:c r="N71" s="41" t="str">
        <x:v>2-间接相关</x:v>
      </x:c>
      <x:c r="O71" s="41" t="str">
        <x:v>是</x:v>
      </x:c>
      <x:c r="P71" s="57" t="str">
        <x:v>年度业绩可用于观察整合期费用及利润质量变化，能够支持“品牌整合的一次性成本与短期盈利质量”的中间环节，但未完整量化最终影响。</x:v>
      </x:c>
      <x:c r="Q71" s="41" t="str">
        <x:v>B-CODEX-FIN-01</x:v>
      </x:c>
      <x:c r="R71" s="80" t="inlineStr">
        <x:is>
          <x:t>2026-08-28T03:00:25+08:00</x:t>
        </x:is>
      </x:c>
    </x:row>
    <x:row r="72" ht="72" customHeight="1">
      <x:c r="A72" s="64" t="str">
        <x:v>V5-R-Q008-C05</x:v>
      </x:c>
      <x:c r="B72" s="64" t="str">
        <x:v>V5-E-09868-C05</x:v>
      </x:c>
      <x:c r="C72" s="64" t="str">
        <x:v>V5-Q008</x:v>
      </x:c>
      <x:c r="D72" s="40" t="str">
        <x:v>小鹏汽车</x:v>
      </x:c>
      <x:c r="E72" s="64" t="str">
        <x:v>09868</x:v>
      </x:c>
      <x:c r="F72" s="87" t="n">
        <x:v>46260.75</x:v>
      </x:c>
      <x:c r="G72" s="51" t="str">
        <x:v>海外本地化销售与服务网络能否改善境外业务规模效应</x:v>
      </x:c>
      <x:c r="H72" s="64" t="str">
        <x:v>DOC-EVT-09868-00076</x:v>
      </x:c>
      <x:c r="I72" s="51" t="str">
        <x:v>变更香港主要营业地点</x:v>
      </x:c>
      <x:c r="J72" s="87" t="n">
        <x:v>45667.71543981481</x:v>
      </x:c>
      <x:c r="K72" s="73" t="str">
        <x:v>http://static.cninfo.com.cn/finalpage/2025-01-10/1222297866.PDF</x:v>
      </x:c>
      <x:c r="L72" s="40" t="str">
        <x:v>第1页</x:v>
      </x:c>
      <x:c r="M72" s="51" t="str">
        <x:v>1 香港交易及結算所有限公司及香港聯合交易所有限公司對本公告之內容概不負責，對其準確性或完整性亦 不發表聲明，並明確表示概不會就本公告全部或任何部分內容而產生或因依賴該等內容而引致之任何損失 承擔任何責任。 變更香港主要營業地點 XPeng Inc. （「本公司」）之董事會（「董事會」）宣佈，自 2025年1月10日起， 本公司之香港主要營業地點之地址將變更為香港銅鑼灣希慎道33號利園一期19 樓1918室。 承董事會命 XPeng Inc. 董事長 何小鵬 香港，2025年1月10日（星期五） 於本公告日期，本公司董事會由執行董事何小鵬先生，非執行董事符績勳先生，以及獨立 非執行董事楊東皓先生、瞿芳女士及張宏江先生組成。 * 僅供識別</x:v>
      </x:c>
      <x:c r="N72" s="41" t="str">
        <x:v>1-弱相关</x:v>
      </x:c>
      <x:c r="O72" s="41" t="str">
        <x:v>否</x:v>
      </x:c>
      <x:c r="P72" s="57" t="str">
        <x:v>《变更香港主要营业地点》仅提供公司阶段性经营、财务或相邻业务背景，未同时覆盖“海外本地化销售服务网络与境外规模效应”的核心变量，相关性较弱。</x:v>
      </x:c>
      <x:c r="Q72" s="41" t="str">
        <x:v>B-CODEX-FIN-01</x:v>
      </x:c>
      <x:c r="R72" s="80" t="inlineStr">
        <x:is>
          <x:t>2026-08-28T03:00:25+08:00</x:t>
        </x:is>
      </x:c>
    </x:row>
    <x:row r="73" ht="72" customHeight="1">
      <x:c r="A73" s="64" t="str">
        <x:v>V5-R-Q008-C10</x:v>
      </x:c>
      <x:c r="B73" s="64" t="str">
        <x:v>V5-E-09868-C10</x:v>
      </x:c>
      <x:c r="C73" s="64" t="str">
        <x:v>V5-Q008</x:v>
      </x:c>
      <x:c r="D73" s="40" t="str">
        <x:v>小鹏汽车</x:v>
      </x:c>
      <x:c r="E73" s="64" t="str">
        <x:v>09868</x:v>
      </x:c>
      <x:c r="F73" s="87" t="n">
        <x:v>46260.75</x:v>
      </x:c>
      <x:c r="G73" s="51" t="str">
        <x:v>海外本地化销售与服务网络能否改善境外业务规模效应</x:v>
      </x:c>
      <x:c r="H73" s="64" t="str">
        <x:v>DOC-EVT-09868-00184</x:v>
      </x:c>
      <x:c r="I73" s="51" t="str">
        <x:v>截至二零二六年七月三十一日止之股份发行人的证券变动月报表</x:v>
      </x:c>
      <x:c r="J73" s="87" t="n">
        <x:v>46240.747569444444</x:v>
      </x:c>
      <x:c r="K73" s="73" t="str">
        <x:v>http://static.cninfo.com.cn/finalpage/2026-08-06/1225462014.PDF</x:v>
      </x:c>
      <x:c r="L73" s="40" t="str">
        <x:v>第6页</x:v>
      </x:c>
      <x:c r="M73" s="51" t="str">
        <x:v>FF301 ∉  ௹⃴ ٳٺܢܢ⦁ "෮ഈ൧ 䩏 ൞ ⊈ಊսὂ ೂഈ൧  䪌ૼܢ 䪌ૼỌն὜๙Ἶರ௹ ೂℳႨ ଢ % ଢ % ܢ֥ ଢ  ῌ Ẫ໊ ୍ᄅರ      ῌ Ẫ໊ ୍ᄅರ      ῌ Ẫ໊ ୍ᄅರ      ῌ Ẫ໊ ୍ᄅರ       ῌ Ẫ໊ ୍ᄅರ      ῌ Ẫ໊ ୍ᄅರ       ῌ Ẫ໊ ୍ᄅರ       ῌ Ẫ໊ ୍ᄅರ       ῌ Ẫ໊đѩႿ୍ᄅರứྛ Ẫ໊ ୍ᄅರ       ῌ Ẫ໊ ୍ᄅರ       ῌ Ẫ໊ ୍ᄅರ      ῌ Ẫ໊ ୍ᄅರ       ῌ Ẫ໊ ୍ᄅರ       ῌ Ẫ໊ ୍ᄅರ       ῌ Ẫ໊ ୍ᄅರ       ῌ Ẫ໊ ୍ᄅರ       ܋ކ ܢ Ẫ໊ၘᧄ୍…</x:v>
      </x:c>
      <x:c r="N73" s="41" t="str">
        <x:v>0-无关</x:v>
      </x:c>
      <x:c r="O73" s="41" t="str">
        <x:v>否</x:v>
      </x:c>
      <x:c r="P73" s="57" t="str">
        <x:v>《截至二零二六年七月三十一日止之股份发行人的证券变动月报表》主要涉及治理、股权、会议、分红或其他事项，未披露“海外本地化销售服务网络与境外规模效应”相关实质证据。</x:v>
      </x:c>
      <x:c r="Q73" s="41" t="str">
        <x:v>B-CODEX-FIN-01</x:v>
      </x:c>
      <x:c r="R73" s="80" t="inlineStr">
        <x:is>
          <x:t>2026-08-28T03:00:25+08:00</x:t>
        </x:is>
      </x:c>
    </x:row>
    <x:row r="74" ht="72" customHeight="1">
      <x:c r="A74" s="64" t="str">
        <x:v>V5-R-Q008-C08</x:v>
      </x:c>
      <x:c r="B74" s="64" t="str">
        <x:v>V5-E-09868-C08</x:v>
      </x:c>
      <x:c r="C74" s="64" t="str">
        <x:v>V5-Q008</x:v>
      </x:c>
      <x:c r="D74" s="40" t="str">
        <x:v>小鹏汽车</x:v>
      </x:c>
      <x:c r="E74" s="64" t="str">
        <x:v>09868</x:v>
      </x:c>
      <x:c r="F74" s="87" t="n">
        <x:v>46260.75</x:v>
      </x:c>
      <x:c r="G74" s="51" t="str">
        <x:v>海外本地化销售与服务网络能否改善境外业务规模效应</x:v>
      </x:c>
      <x:c r="H74" s="64" t="str">
        <x:v>DOC-EVT-09868-00151</x:v>
      </x:c>
      <x:c r="I74" s="51" t="str">
        <x:v>截至2025年12月31日止年度之全年业绩公告</x:v>
      </x:c>
      <x:c r="J74" s="87" t="n">
        <x:v>46101.723715277774</x:v>
      </x:c>
      <x:c r="K74" s="73" t="str">
        <x:v>http://static.cninfo.com.cn/finalpage/2026-03-20/1225021096.PDF</x:v>
      </x:c>
      <x:c r="L74" s="40" t="str">
        <x:v>第1页</x:v>
      </x:c>
      <x:c r="M74" s="51" t="str">
        <x:v>1 ڌ ዄ΂Оப ΂f XPeng Inc. ʮ̡ * ʮ̡ ΅˾໮j 9868 ࿚Ї 2025 ϋ12 ˜31ʘΌϋุᐶʮѓ ٙAIҦʮ̡ XPeng Inc.ʃᘄӛԓ͉ʮ̡΅˾໮j9868ʿ ˾໮j XPEVᑌ᙮ྼ᜗  ͉ණྠ ࿚ Ї2025 ϋ12˜31 జѓಂৌਕุᐶf ࿚Ї2025ϋ12˜31ࠅ h 2025ϋӛԓᐼʹ˹ඎމ429,445ሿd༰2024ٙ190,068ߒ125.9%f h ࿚Ї2025ϋ12˜31˚dྼ᜗ቖਯၣഖ΍Ϟ 721dᔧႊ 255̹f h ࿚Ї2025ϋ12˜31˚dʃᘄӛԓІᐄ̂ཥ१ၣഖ༺Ї 3,159ܼ2,108ࢭ ʃᘄ൴Ҟ̂१f h ࿚Ї2025ϋ12˜31ܓᐼϗɝɛ͏࿆ 767.2ᄂʩd༰࿚Ї 2024ϋ12˜31˚˟ϋ ɛ͏࿆ 408.7ᄂʩɪʺ 87.7%f h ࿚Ї2025ϋ12˜31ܓӛԓቖਯϗɝɛ͏࿆ 683.8ᄂʩd༰࿚Ї 2024ϋ12˜31 ɛ͏࿆ 358.3ᄂʩɪʺ 90.8%f h ࿚Ї2025ϋ12˜31ܓˣлଟމ18.9%༰ϾԊd࿚Ї 2024ϋ12˜31˚˟ϋ މܓ14.3%f h ࿚Ї2025ϋ12˜31ܓӛԓˣлଟϵʱ މ12.8%༰ϾԊd࿚Ї 2024ϋ12˜31މܓ8.3%f</x:v>
      </x:c>
      <x:c r="N74" s="41" t="str">
        <x:v>3-直接相关</x:v>
      </x:c>
      <x:c r="O74" s="41" t="str">
        <x:v>是</x:v>
      </x:c>
      <x:c r="P74" s="57" t="str">
        <x:v>全年业绩披露交付、销售网络、收入和毛利率，直接覆盖“海外本地化销售服务网络与境外规模效应”的关键变量，关系路径成立。</x:v>
      </x:c>
      <x:c r="Q74" s="41" t="str">
        <x:v>B-CODEX-FIN-01</x:v>
      </x:c>
      <x:c r="R74" s="80" t="inlineStr">
        <x:is>
          <x:t>2026-08-28T03:00:25+08:00</x:t>
        </x:is>
      </x:c>
    </x:row>
    <x:row r="75" ht="72" customHeight="1">
      <x:c r="A75" s="64" t="str">
        <x:v>V5-R-Q008-C01</x:v>
      </x:c>
      <x:c r="B75" s="64" t="str">
        <x:v>V5-E-09868-C01</x:v>
      </x:c>
      <x:c r="C75" s="64" t="str">
        <x:v>V5-Q008</x:v>
      </x:c>
      <x:c r="D75" s="40" t="str">
        <x:v>小鹏汽车</x:v>
      </x:c>
      <x:c r="E75" s="64" t="str">
        <x:v>09868</x:v>
      </x:c>
      <x:c r="F75" s="87" t="n">
        <x:v>46260.75</x:v>
      </x:c>
      <x:c r="G75" s="51" t="str">
        <x:v>海外本地化销售与服务网络能否改善境外业务规模效应</x:v>
      </x:c>
      <x:c r="H75" s="64" t="str">
        <x:v>DOC-EVT-09868-00140</x:v>
      </x:c>
      <x:c r="I75" s="51" t="str">
        <x:v>董事名单与其角色及职能</x:v>
      </x:c>
      <x:c r="J75" s="87" t="n">
        <x:v>46023.7778587963</x:v>
      </x:c>
      <x:c r="K75" s="73" t="str">
        <x:v>http://static.cninfo.com.cn/finalpage/2026-01-01/1224915702.PDF</x:v>
      </x:c>
      <x:c r="L75" s="40" t="str">
        <x:v>第1页</x:v>
      </x:c>
      <x:c r="M75" s="51" t="str">
        <x:v>1 XPeng Inc. 小鵬汽車有限公司 * （於開曼群島註冊成立以不同投票權控制的有限公司） （股份代號：9868） 董事名單與其角色及職能 XPeng Inc（. 「本公司 」）董事會（「董事會 」）成員載列如下。 執行董事： 何小鵬（董事長兼首席執行官） 非執行董事： 符績勳 獨立非執行董事： 楊東皓 瞿 芳 張宏江 陳玉東</x:v>
      </x:c>
      <x:c r="N75" s="41" t="str">
        <x:v>0-无关</x:v>
      </x:c>
      <x:c r="O75" s="41" t="str">
        <x:v>否</x:v>
      </x:c>
      <x:c r="P75" s="57" t="str">
        <x:v>《董事名单与其角色及职能》主要涉及治理、股权、会议、分红或其他事项，未披露“海外本地化销售服务网络与境外规模效应”相关实质证据。</x:v>
      </x:c>
      <x:c r="Q75" s="41" t="str">
        <x:v>B-CODEX-FIN-01</x:v>
      </x:c>
      <x:c r="R75" s="80" t="inlineStr">
        <x:is>
          <x:t>2026-08-28T03:00:25+08:00</x:t>
        </x:is>
      </x:c>
    </x:row>
    <x:row r="76" ht="72" customHeight="1">
      <x:c r="A76" s="64" t="str">
        <x:v>V5-R-Q008-C04</x:v>
      </x:c>
      <x:c r="B76" s="64" t="str">
        <x:v>V5-E-09868-C04</x:v>
      </x:c>
      <x:c r="C76" s="64" t="str">
        <x:v>V5-Q008</x:v>
      </x:c>
      <x:c r="D76" s="40" t="str">
        <x:v>小鹏汽车</x:v>
      </x:c>
      <x:c r="E76" s="64" t="str">
        <x:v>09868</x:v>
      </x:c>
      <x:c r="F76" s="87" t="n">
        <x:v>46260.75</x:v>
      </x:c>
      <x:c r="G76" s="51" t="str">
        <x:v>海外本地化销售与服务网络能否改善境外业务规模效应</x:v>
      </x:c>
      <x:c r="H76" s="64" t="str">
        <x:v>DOC-EVT-09868-00167</x:v>
      </x:c>
      <x:c r="I76" s="51" t="str">
        <x:v>股东周年大会通告</x:v>
      </x:c>
      <x:c r="J76" s="87" t="n">
        <x:v>46153.79320601852</x:v>
      </x:c>
      <x:c r="K76" s="73" t="str">
        <x:v>http://static.cninfo.com.cn/finalpage/2026-05-11/1225292355.PDF</x:v>
      </x:c>
      <x:c r="L76" s="40" t="str">
        <x:v>第4页</x:v>
      </x:c>
      <x:c r="M76" s="51" t="str">
        <x:v>39875 \ (XPeng Inc_AGM) Notice_AGM_Chi \ 07/05/2026 \ M08 / Size (210x297) — 4 — ೮া˚ ໨ԫึʊਗ਼ 2026ϋ5˜14࠽ٰࠦ0.00001ٙAאBᗳ౷ ೮া˚  ΅೮া˚͉ʮ̡AאBٰࢩ ึɪҳୃf Ϟ͉ʮ̡ AאBٰ ׵ڭ2026ϋ5˜14˚ɨʹ 4ࣛ30කਟ໊ ΅ཀ˒೮াஈ Ascentium (Cayman) Limitedމ4th Floor, Harbour Place, 103 South Church Street, P.O. Box 10240, Grand Cayman KY 1-1002, Cayman IslandsϞ͉ʮ̡ A޴׵ڭ Νಂග у2026ϋ5˜14˚ɨʹ 4ࣛ30΅ཀ 䅳༸ 16ፄʕː 17ᅽf ࿚Ї2026ϋ5˜14ග  ೮া˚Ϟɛν૧БԴՉ ᗫAͪf ඄ϋɽึ ٙAאBจd ඄ϋ ˸౬՟ AdԨЪ̈τર ۃ ᗫ Af ೯৔ཥɿඉ΁Ї gm@x-peng.cn ཫ΋೮াf ٙ ஝ආБf f ͪ̔ ٙAאB਷πৄ ٙڌA࿩ ఱ AאB਷ ϞɛϾԊ  ͪ̔ŊஷՌf։ৄҳ ͉ʮ̡ၣ१ ir.xiaopeng.com ၣ१ www.hkexnews.hk ቡf</x:v>
      </x:c>
      <x:c r="N76" s="41" t="str">
        <x:v>0-无关</x:v>
      </x:c>
      <x:c r="O76" s="41" t="str">
        <x:v>否</x:v>
      </x:c>
      <x:c r="P76" s="57" t="str">
        <x:v>《股东周年大会通告》主要涉及治理、股权、会议、分红或其他事项，未披露“海外本地化销售服务网络与境外规模效应”相关实质证据。</x:v>
      </x:c>
      <x:c r="Q76" s="41" t="str">
        <x:v>B-CODEX-FIN-01</x:v>
      </x:c>
      <x:c r="R76" s="80" t="inlineStr">
        <x:is>
          <x:t>2026-08-28T03:00:25+08:00</x:t>
        </x:is>
      </x:c>
    </x:row>
    <x:row r="77" ht="72" customHeight="1">
      <x:c r="A77" s="64" t="str">
        <x:v>V5-R-Q008-C09</x:v>
      </x:c>
      <x:c r="B77" s="64" t="str">
        <x:v>V5-E-09868-C09</x:v>
      </x:c>
      <x:c r="C77" s="64" t="str">
        <x:v>V5-Q008</x:v>
      </x:c>
      <x:c r="D77" s="40" t="str">
        <x:v>小鹏汽车</x:v>
      </x:c>
      <x:c r="E77" s="64" t="str">
        <x:v>09868</x:v>
      </x:c>
      <x:c r="F77" s="87" t="n">
        <x:v>46260.75</x:v>
      </x:c>
      <x:c r="G77" s="51" t="str">
        <x:v>海外本地化销售与服务网络能否改善境外业务规模效应</x:v>
      </x:c>
      <x:c r="H77" s="64" t="str">
        <x:v>DOC-EVT-09868-00099</x:v>
      </x:c>
      <x:c r="I77" s="51" t="str">
        <x:v>股东周年大会的委托投票说明书∕通函</x:v>
      </x:c>
      <x:c r="J77" s="87" t="n">
        <x:v>45789.80986111111</x:v>
      </x:c>
      <x:c r="K77" s="73" t="str">
        <x:v>http://static.cninfo.com.cn/finalpage/2025-05-12/1223528914.PDF</x:v>
      </x:c>
      <x:c r="L77" s="40" t="str">
        <x:v>第6页</x:v>
      </x:c>
      <x:c r="M77" s="51" t="str">
        <x:v>940979 \ (XPeng Inc_AGM) Notice_AGM_Chi (a) \ 08/05/2025 \ M08 / Size (210x297) — 6 — ೮া˚ ໨ԫึʊਗ਼ 2025ϋ5˜15࠽ٰࠦ0.00001ٙAאBᗳ౷ ೮া˚  ΅೮া˚͉ʮ̡AאBٰࢩ ึɪҳୃf Ϟ͉ʮ̡ AאBٰ ׵ڭ2025ϋ5˜15˚ɨʹ 4ࣛ30කਟ໊ ΅ཀ˒೮াஈ Harneys Fiduciary (Cayman) Limitedމ4th Floor, Harbour Place, 103 South Church Street, P.O. Box 10240, Grand Cayman KY 1-1002, Cayman IslandsϞ͉ʮ̡ Aɛɻሗᆽ Νಂග у2025ϋ5˜15˚ɨʹ 4ࣛ30ಥ 䅳༸ 16ፄʕː 17ᅽf ࿚Ї2025ϋ5˜15ග  ೮া˚Ϟɛν૧БԴՉ ᗫAͪf ඄ϋɽึ ٙAאBจd ඄ϋ ˸౬՟ AdԨЪ̈τર ۃ ᗫ Af ೯৔ཥɿඉ΁Ї AGM@xiaopeng.com ཫ΋೮াf ٙ ஝ආБf f ͪ̔ ٙAאB਷πৄ ٙڌA࿩ ఱ AאB਷ ϞɛϾԊ  ͪ̔ŊஷՌf։ৄҳ ͉ʮ̡ၣ१ ir.xiaopeng.com ၣ१ www.hkexnews.hk ቡf</x:v>
      </x:c>
      <x:c r="N77" s="41" t="str">
        <x:v>0-无关</x:v>
      </x:c>
      <x:c r="O77" s="41" t="str">
        <x:v>否</x:v>
      </x:c>
      <x:c r="P77" s="57" t="str">
        <x:v>《股东周年大会的委托投票说明书∕通函》主要涉及治理、股权、会议、分红或其他事项，未披露“海外本地化销售服务网络与境外规模效应”相关实质证据。</x:v>
      </x:c>
      <x:c r="Q77" s="41" t="str">
        <x:v>B-CODEX-FIN-01</x:v>
      </x:c>
      <x:c r="R77" s="80" t="inlineStr">
        <x:is>
          <x:t>2026-08-28T03:00:25+08:00</x:t>
        </x:is>
      </x:c>
    </x:row>
    <x:row r="78" ht="72" customHeight="1">
      <x:c r="A78" s="64" t="str">
        <x:v>V5-R-Q008-C02</x:v>
      </x:c>
      <x:c r="B78" s="64" t="str">
        <x:v>V5-E-09868-C02</x:v>
      </x:c>
      <x:c r="C78" s="64" t="str">
        <x:v>V5-Q008</x:v>
      </x:c>
      <x:c r="D78" s="40" t="str">
        <x:v>小鹏汽车</x:v>
      </x:c>
      <x:c r="E78" s="64" t="str">
        <x:v>09868</x:v>
      </x:c>
      <x:c r="F78" s="87" t="n">
        <x:v>46260.75</x:v>
      </x:c>
      <x:c r="G78" s="51" t="str">
        <x:v>海外本地化销售与服务网络能否改善境外业务规模效应</x:v>
      </x:c>
      <x:c r="H78" s="64" t="str">
        <x:v>DOC-EVT-09868-00022</x:v>
      </x:c>
      <x:c r="I78" s="51" t="str">
        <x:v>2023年度报告</x:v>
      </x:c>
      <x:c r="J78" s="87" t="n">
        <x:v>45399.77725694444</x:v>
      </x:c>
      <x:c r="K78" s="73" t="str">
        <x:v>http://static.cninfo.com.cn/finalpage/2024-04-17/1219649660.PDF</x:v>
      </x:c>
      <x:c r="L78" s="40" t="str">
        <x:v>第4页</x:v>
      </x:c>
      <x:c r="M78" s="51" t="str">
        <x:v>ᑦฦ (4,642,754) (4,889,729) (4,863,096) (9,138,972) (10,375,775) ؇ٰٰ cᏐЦၝΥᑦฦᐼᕘ (3,694,641) (3,456,418) (5,781,264) (5,946,399) (10,089,161) ڌ ࿚Ї12˜31˚ 2019ϋ 2020ϋ 2021ϋ 2022ϋ 2023ϋ ɛ͏࿆ɷʩ ༟ପ ਗ༟ପᐼᕘ 4,960,650 39,679,278 48,830,736 43,527,421 54,521,629 ਗ༟ପᐼᕘ 4,290,715 5,027,501 16,820,566 27,963,585 29,640,912 ༟ପᐼᕘ 9,251,365 44,706,779 65,651,302 71,491,006 84,162,541 ව වᐼᕘ 3,297,691 7,837,263 18,012,664 24,114,853 36,111,562 වᐼᕘ 3,090,626 2,439,707 5,492,060 10,465,488 11,722,452 වᐼᕘ 6,388,317 10,276,970 23,504,724 34,580,341 47,834,014 ᑦ୙ ᛆू ᑦ୙ ᛆूᐼᕘ (6,830,430) 34,429,809 42,146,578 36,910,665 36,328,527</x:v>
      </x:c>
      <x:c r="N78" s="41" t="str">
        <x:v>2-间接相关</x:v>
      </x:c>
      <x:c r="O78" s="41" t="str">
        <x:v>是</x:v>
      </x:c>
      <x:c r="P78" s="57" t="str">
        <x:v>年报覆盖境外经营、销售服务体系及长期资产，能够支持“海外本地化销售服务网络与境外规模效应”的中间环节，但未完整量化最终影响。</x:v>
      </x:c>
      <x:c r="Q78" s="41" t="str">
        <x:v>B-CODEX-FIN-01</x:v>
      </x:c>
      <x:c r="R78" s="80" t="inlineStr">
        <x:is>
          <x:t>2026-08-28T03:00:25+08:00</x:t>
        </x:is>
      </x:c>
    </x:row>
    <x:row r="79" ht="72" customHeight="1">
      <x:c r="A79" s="64" t="str">
        <x:v>V5-R-Q008-C07</x:v>
      </x:c>
      <x:c r="B79" s="64" t="str">
        <x:v>V5-E-09868-C07</x:v>
      </x:c>
      <x:c r="C79" s="64" t="str">
        <x:v>V5-Q008</x:v>
      </x:c>
      <x:c r="D79" s="40" t="str">
        <x:v>小鹏汽车</x:v>
      </x:c>
      <x:c r="E79" s="64" t="str">
        <x:v>09868</x:v>
      </x:c>
      <x:c r="F79" s="87" t="n">
        <x:v>46260.75</x:v>
      </x:c>
      <x:c r="G79" s="51" t="str">
        <x:v>海外本地化销售与服务网络能否改善境外业务规模效应</x:v>
      </x:c>
      <x:c r="H79" s="64" t="str">
        <x:v>DOC-EVT-09868-00104</x:v>
      </x:c>
      <x:c r="I79" s="51" t="str">
        <x:v>小鹏汽车发布2025年第一季度的未经审计财务业绩</x:v>
      </x:c>
      <x:c r="J79" s="87" t="n">
        <x:v>45798.73484953704</x:v>
      </x:c>
      <x:c r="K79" s="73" t="str">
        <x:v>http://static.cninfo.com.cn/finalpage/2025-05-21/1223626125.PDF</x:v>
      </x:c>
      <x:c r="L79" s="40" t="str">
        <x:v>第4页</x:v>
      </x:c>
      <x:c r="M79" s="51" t="str">
        <x:v>4 ࢝ ׵2025ϋ4ʹ˹ඎ • 於2025年4月，總交付量為 35,045輛。 • 截至2025年4月30日，年內累計總交付量為 129,053輛。 2025ಛʃᘄX9ɪ̹ 於2025年4月15日，小鵬汽車於全球熱愛之夜發佈會正式推出 2025款小鵬 X9，標配圖靈 AI智能輔助駕駛功能。 ࿚Ї2025ϋ3˜31ৌਕุᐶ 2025年第一季度ᐼϗɝ為人民幣 158.1億 元（21.8億美元） ，較2024年同期的人民幣 65.5億 元上升 141.5%，並較2024年第四季度的人民幣 161.1億元下降 1.8%。 2025年第一季度ӛԓቖਯϗɝ為人民幣 143.7億 元（19.8億美元） ，較2024年同期的人民幣 55.4億元上升 159.2%，並較2024年第四季度的人民幣 146.7億元下降 2.1%。按年增長乃主 要由於交付量的增加所致。 2025年第一季度ਕʿՉ˼ϗɝ為人民幣 14.4億 元（2.0億美元） ，較2024年同期的人民幣 10.0億元上升 43.6%，並較2024年第四季度的人民幣 14.3億元上升 0.5%。按年增長乃主要 由於與大眾汽車集團進行平台與軟件戰略以及電子電氣架構 （ 「࿴ 」 ） 技術戰 略合作有關的技術研發服務 （ 「ਕ 」 ） 的收入增加，以及維修及保養服務及汽 車金融服務收入增加所致。 2025年第一季度ቖਯϓ͉ 為人民幣 133.5億 元（18.4億美元） ，較2024年同期的人民幣 57.0 億元上升 134.1%，並較2…</x:v>
      </x:c>
      <x:c r="N79" s="41" t="str">
        <x:v>1-弱相关</x:v>
      </x:c>
      <x:c r="O79" s="41" t="str">
        <x:v>否</x:v>
      </x:c>
      <x:c r="P79" s="57" t="str">
        <x:v>《小鹏汽车发布2025年第一季度的未经审计财务业绩》仅提供公司阶段性经营、财务或相邻业务背景，未同时覆盖“海外本地化销售服务网络与境外规模效应”的核心变量，相关性较弱。</x:v>
      </x:c>
      <x:c r="Q79" s="41" t="str">
        <x:v>B-CODEX-FIN-01</x:v>
      </x:c>
      <x:c r="R79" s="80" t="inlineStr">
        <x:is>
          <x:t>2026-08-28T03:00:25+08:00</x:t>
        </x:is>
      </x:c>
    </x:row>
    <x:row r="80" ht="72" customHeight="1">
      <x:c r="A80" s="64" t="str">
        <x:v>V5-R-Q008-C06</x:v>
      </x:c>
      <x:c r="B80" s="64" t="str">
        <x:v>V5-E-09868-C06</x:v>
      </x:c>
      <x:c r="C80" s="64" t="str">
        <x:v>V5-Q008</x:v>
      </x:c>
      <x:c r="D80" s="40" t="str">
        <x:v>小鹏汽车</x:v>
      </x:c>
      <x:c r="E80" s="64" t="str">
        <x:v>09868</x:v>
      </x:c>
      <x:c r="F80" s="87" t="n">
        <x:v>46260.75</x:v>
      </x:c>
      <x:c r="G80" s="51" t="str">
        <x:v>海外本地化销售与服务网络能否改善境外业务规模效应</x:v>
      </x:c>
      <x:c r="H80" s="64" t="str">
        <x:v>DOC-EVT-09868-00036</x:v>
      </x:c>
      <x:c r="I80" s="51" t="str">
        <x:v>小鹏汽车发布2024年第一季度的未经审计财务业绩</x:v>
      </x:c>
      <x:c r="J80" s="87" t="n">
        <x:v>45433.73625</x:v>
      </x:c>
      <x:c r="K80" s="73" t="str">
        <x:v>http://static.cninfo.com.cn/finalpage/2024-05-21/1220119935.PDF</x:v>
      </x:c>
      <x:c r="L80" s="40" t="str">
        <x:v>第2页</x:v>
      </x:c>
      <x:c r="M80" s="51" t="str">
        <x:v>2 h 2024ܓ֙ᐼϗɝɛ͏࿆ 65.5ᄂ ʩ9.1ʩ d༰2023ϋΝಂɪʺ 62.3%dԨ ༰2023ࠥ49.8%f h 2024ܓ֙ӛԓቖਯϗɝɛ͏࿆ 55.4ᄂ ʩ7.7ʩ d༰2023 ϋΝಂɪʺ 57.8%dԨ༰2023ࠥ54.7%f h 2024ܓ֙ˣлଟމ12.9%༰ϾԊd 2023މ1.7%dϾ2023ܓ֙ މ6.2%f h 2024ܓ֙ӛԓˣлଟމ 5.5%༰ϾԊd 2023ࠋމ2.5%dϾ2023މܓ֙4.1%f h 2024ܓ֙ଋᑦฦɛ͏࿆ 13.7ᄂ ʩ1.9༰ϾԊd2023ɛ ͏࿆23.4ᄂʩdϾ 2023ɛ͏࿆ 13.5ᑚཇක˕e ϗू̮d 2024ϋ ܓ֙ଋᑦฦɛ͏࿆ 14.1ᄂ ʩ2.0༰ϾԊd2023ϋ ɛ͏࿆ 22.1ᄂʩdϾ 2023ɛ͏࿆ 17.7ᄂʩf h 2024ܓ֙ᏐЦଋᑦฦɛ͏࿆ 13.7ᄂ ʩ1.9޴ ༰ϾԊd 2023ɛ͏࿆ 23.4ᄂʩdϾ 2023ɛ͏࿆ 13.5ᄂʩfৰ˸ ٙ ϗू̮d 2024ܓ֙ᏐЦଋᑦฦ ɛ͏࿆ 14.1ᄂ ʩ2.0༰ϾԊd2023ɛ͏࿆ 22.1ᄂʩdϾ 2023ϋ ɛ͏࿆ 17.7ᄂʩf h 2024ܓ֙ਿ͉ʿᛅᑛଋᑦฦɛ͏࿆ 1.45ʩ0.20ʩ d Ͼ ਿ͉ʿᛅᑛଋᑦฦɛ͏࿆ 0.73ʩ0.10ڌ ٰAf h 2024ܓ֙ਿ͉ʿᛅᑛଋᑦฦɛ͏࿆ 1.49 ʩ0.21ʩ d Ͼਿ͉ʿᛅᑛଋᑦฦɛ͏࿆ 0.75ʩ 0.10ʩ f h ࿚Ї2024ϋ3˜31˚…</x:v>
      </x:c>
      <x:c r="N80" s="41" t="str">
        <x:v>1-弱相关</x:v>
      </x:c>
      <x:c r="O80" s="41" t="str">
        <x:v>否</x:v>
      </x:c>
      <x:c r="P80" s="57" t="str">
        <x:v>《小鹏汽车发布2024年第一季度的未经审计财务业绩》仅提供公司阶段性经营、财务或相邻业务背景，未同时覆盖“海外本地化销售服务网络与境外规模效应”的核心变量，相关性较弱。</x:v>
      </x:c>
      <x:c r="Q80" s="41" t="str">
        <x:v>B-CODEX-FIN-01</x:v>
      </x:c>
      <x:c r="R80" s="80" t="inlineStr">
        <x:is>
          <x:t>2026-08-28T03:00:25+08:00</x:t>
        </x:is>
      </x:c>
    </x:row>
    <x:row r="81" ht="72" customHeight="1">
      <x:c r="A81" s="64" t="str">
        <x:v>V5-R-Q008-C03</x:v>
      </x:c>
      <x:c r="B81" s="64" t="str">
        <x:v>V5-E-09868-C03</x:v>
      </x:c>
      <x:c r="C81" s="64" t="str">
        <x:v>V5-Q008</x:v>
      </x:c>
      <x:c r="D81" s="40" t="str">
        <x:v>小鹏汽车</x:v>
      </x:c>
      <x:c r="E81" s="64" t="str">
        <x:v>09868</x:v>
      </x:c>
      <x:c r="F81" s="87" t="n">
        <x:v>46260.75</x:v>
      </x:c>
      <x:c r="G81" s="51" t="str">
        <x:v>海外本地化销售与服务网络能否改善境外业务规模效应</x:v>
      </x:c>
      <x:c r="H81" s="64" t="str">
        <x:v>DOC-EVT-09868-00069</x:v>
      </x:c>
      <x:c r="I81" s="51" t="str">
        <x:v>小鹏汽车发布2024 年第三季度的未经审计财务业绩</x:v>
      </x:c>
      <x:c r="J81" s="87" t="n">
        <x:v>45615.71127314815</x:v>
      </x:c>
      <x:c r="K81" s="73" t="str">
        <x:v>http://static.cninfo.com.cn/finalpage/2024-11-19/1221776759.PDF</x:v>
      </x:c>
      <x:c r="L81" s="40" t="str">
        <x:v>第1页</x:v>
      </x:c>
      <x:c r="M81" s="51" t="str">
        <x:v>1 ڌ ዄ΂Оப ΂f XPeng Inc. ʮ̡ * ʮ̡ ΅˾໮j 9868 ʃᘄӛԓ೯б 2024ৌਕุᐶ ୋ 13.09ኽᗇՎʿಂ஬ૢԷ Էୋ 571௝ ୋXIVA௅Ͼ̊೯f h ɛ͏࿆ 101.0ᄣ̋ 24.5% h މ15.3%d௴ዝ̦อ৷d༰ 2023ϋΝಂɪʺ 18.0ϵʱᓃ ʕ਷ᄿψd2024ϋ11˜19˚ { ౽ঐཥਗӛԓ  ౽ঐཥਗӛԓ ʮ ̡XPeng Inc.ʃᘄӛԓ͉ʮ̡˾໮jXPEV˾໮j 9868 ʦ˂ʮбՉ࿚Ї 2024ϋ9˜30ৌਕุᐶf ࿚Ї2024ϋ9˜30ࠅ 2024ϋ ܓ֙ 2024ϋ ܓ֙ 2024ϋ ܓ֙ 2023ϋ ܓ֙ 2023ϋ ܓ֙ 2023ϋ ܓ֙ ᐼʹ˹ඎ 46,533 30,207 21,821 60,158 40,008 23,205 h 2024ܓ֙ӛԓᐼʹ˹ඎމ46,533ሿd༰2023ٙ40,008ሿᄣ̋ 16.3%f h ࿚Ї2024ϋ9˜30˚dྼ᜗ቖਯၣഖ ΍Ϟ639dᔧႊ 206̹f h ࿚Ї2024ϋ9˜30˚dʃᘄӛԓІᐄ̂ཥ१ၣഖ༺Ї 1,557ܼ654ʃᘄ S4൴Ҟ̂१f h 2024ܓ֙ᐼϗɝɛ͏࿆ 101.0ᄂ ʩ14.4ʩ d༰2023ϋΝಂɪʺ 18.4%d Ԩ༰2024ɪʺ 24.5%f</x:v>
      </x:c>
      <x:c r="N81" s="41" t="str">
        <x:v>2-间接相关</x:v>
      </x:c>
      <x:c r="O81" s="41" t="str">
        <x:v>是</x:v>
      </x:c>
      <x:c r="P81" s="57" t="str">
        <x:v>季度业绩披露销售网络、交付和收入规模，能够支持“海外本地化销售服务网络与境外规模效应”的中间环节，但未完整量化最终影响。</x:v>
      </x:c>
      <x:c r="Q81" s="41" t="str">
        <x:v>B-CODEX-FIN-01</x:v>
      </x:c>
      <x:c r="R81" s="80" t="inlineStr">
        <x:is>
          <x:t>2026-08-28T03:00:25+08:00</x:t>
        </x:is>
      </x:c>
    </x:row>
    <x:row r="82" ht="72" customHeight="1">
      <x:c r="A82" s="64" t="str">
        <x:v>V5-R-Q009-C08</x:v>
      </x:c>
      <x:c r="B82" s="64" t="str">
        <x:v>V5-E-09868-C08</x:v>
      </x:c>
      <x:c r="C82" s="64" t="str">
        <x:v>V5-Q009</x:v>
      </x:c>
      <x:c r="D82" s="40" t="str">
        <x:v>小鹏汽车</x:v>
      </x:c>
      <x:c r="E82" s="64" t="str">
        <x:v>09868</x:v>
      </x:c>
      <x:c r="F82" s="87" t="n">
        <x:v>46260.75</x:v>
      </x:c>
      <x:c r="G82" s="51" t="str">
        <x:v>AI算力与软件研发投入能否转化为可持续商业化收入</x:v>
      </x:c>
      <x:c r="H82" s="64" t="str">
        <x:v>DOC-EVT-09868-00151</x:v>
      </x:c>
      <x:c r="I82" s="51" t="str">
        <x:v>截至2025年12月31日止年度之全年业绩公告</x:v>
      </x:c>
      <x:c r="J82" s="87" t="n">
        <x:v>46101.723715277774</x:v>
      </x:c>
      <x:c r="K82" s="73" t="str">
        <x:v>http://static.cninfo.com.cn/finalpage/2026-03-20/1225021096.PDF</x:v>
      </x:c>
      <x:c r="L82" s="40" t="str">
        <x:v>第1页</x:v>
      </x:c>
      <x:c r="M82" s="51" t="str">
        <x:v>1 ڌ ዄ΂Оப ΂f XPeng Inc. ʮ̡ * ʮ̡ ΅˾໮j 9868 ࿚Ї 2025 ϋ12 ˜31ʘΌϋุᐶʮѓ ٙAIҦʮ̡ XPeng Inc.ʃᘄӛԓ͉ʮ̡΅˾໮j9868ʿ ˾໮j XPEVᑌ᙮ྼ᜗  ͉ණྠ ࿚ Ї2025 ϋ12˜31 జѓಂৌਕุᐶf ࿚Ї2025ϋ12˜31ࠅ h 2025ϋӛԓᐼʹ˹ඎމ429,445ሿd༰2024ٙ190,068ߒ125.9%f h ࿚Ї2025ϋ12˜31˚dྼ᜗ቖਯၣഖ΍Ϟ 721dᔧႊ 255̹f h ࿚Ї2025ϋ12˜31˚dʃᘄӛԓІᐄ̂ཥ१ၣഖ༺Ї 3,159ܼ2,108ࢭ ʃᘄ൴Ҟ̂१f h ࿚Ї2025ϋ12˜31ܓᐼϗɝɛ͏࿆ 767.2ᄂʩd༰࿚Ї 2024ϋ12˜31˚˟ϋ ɛ͏࿆ 408.7ᄂʩɪʺ 87.7%f h ࿚Ї2025ϋ12˜31ܓӛԓቖਯϗɝɛ͏࿆ 683.8ᄂʩd༰࿚Ї 2024ϋ12˜31 ɛ͏࿆ 358.3ᄂʩɪʺ 90.8%f h ࿚Ї2025ϋ12˜31ܓˣлଟމ18.9%༰ϾԊd࿚Ї 2024ϋ12˜31˚˟ϋ މܓ14.3%f h ࿚Ї2025ϋ12˜31ܓӛԓˣлଟϵʱ މ12.8%༰ϾԊd࿚Ї 2024ϋ12˜31މܓ8.3%f</x:v>
      </x:c>
      <x:c r="N82" s="41" t="str">
        <x:v>3-直接相关</x:v>
      </x:c>
      <x:c r="O82" s="41" t="str">
        <x:v>是</x:v>
      </x:c>
      <x:c r="P82" s="57" t="str">
        <x:v>全年业绩覆盖AI研发、软件服务和收入增长，直接覆盖“AI及软件研发投入与商业化收入”的关键变量，关系路径成立。</x:v>
      </x:c>
      <x:c r="Q82" s="41" t="str">
        <x:v>B-CODEX-FIN-01</x:v>
      </x:c>
      <x:c r="R82" s="80" t="inlineStr">
        <x:is>
          <x:t>2026-08-28T03:00:25+08:00</x:t>
        </x:is>
      </x:c>
    </x:row>
    <x:row r="83" ht="72" customHeight="1">
      <x:c r="A83" s="64" t="str">
        <x:v>V5-R-Q009-C07</x:v>
      </x:c>
      <x:c r="B83" s="64" t="str">
        <x:v>V5-E-09868-C07</x:v>
      </x:c>
      <x:c r="C83" s="64" t="str">
        <x:v>V5-Q009</x:v>
      </x:c>
      <x:c r="D83" s="40" t="str">
        <x:v>小鹏汽车</x:v>
      </x:c>
      <x:c r="E83" s="64" t="str">
        <x:v>09868</x:v>
      </x:c>
      <x:c r="F83" s="87" t="n">
        <x:v>46260.75</x:v>
      </x:c>
      <x:c r="G83" s="51" t="str">
        <x:v>AI算力与软件研发投入能否转化为可持续商业化收入</x:v>
      </x:c>
      <x:c r="H83" s="64" t="str">
        <x:v>DOC-EVT-09868-00104</x:v>
      </x:c>
      <x:c r="I83" s="51" t="str">
        <x:v>小鹏汽车发布2025年第一季度的未经审计财务业绩</x:v>
      </x:c>
      <x:c r="J83" s="87" t="n">
        <x:v>45798.73484953704</x:v>
      </x:c>
      <x:c r="K83" s="73" t="str">
        <x:v>http://static.cninfo.com.cn/finalpage/2025-05-21/1223626125.PDF</x:v>
      </x:c>
      <x:c r="L83" s="40" t="str">
        <x:v>第4页</x:v>
      </x:c>
      <x:c r="M83" s="51" t="str">
        <x:v>4 ࢝ ׵2025ϋ4ʹ˹ඎ • 於2025年4月，總交付量為 35,045輛。 • 截至2025年4月30日，年內累計總交付量為 129,053輛。 2025ಛʃᘄX9ɪ̹ 於2025年4月15日，小鵬汽車於全球熱愛之夜發佈會正式推出 2025款小鵬 X9，標配圖靈 AI智能輔助駕駛功能。 ࿚Ї2025ϋ3˜31ৌਕุᐶ 2025年第一季度ᐼϗɝ為人民幣 158.1億 元（21.8億美元） ，較2024年同期的人民幣 65.5億 元上升 141.5%，並較2024年第四季度的人民幣 161.1億元下降 1.8%。 2025年第一季度ӛԓቖਯϗɝ為人民幣 143.7億 元（19.8億美元） ，較2024年同期的人民幣 55.4億元上升 159.2%，並較2024年第四季度的人民幣 146.7億元下降 2.1%。按年增長乃主 要由於交付量的增加所致。 2025年第一季度ਕʿՉ˼ϗɝ為人民幣 14.4億 元（2.0億美元） ，較2024年同期的人民幣 10.0億元上升 43.6%，並較2024年第四季度的人民幣 14.3億元上升 0.5%。按年增長乃主要 由於與大眾汽車集團進行平台與軟件戰略以及電子電氣架構 （ 「࿴ 」 ） 技術戰 略合作有關的技術研發服務 （ 「ਕ 」 ） 的收入增加，以及維修及保養服務及汽 車金融服務收入增加所致。 2025年第一季度ቖਯϓ͉ 為人民幣 133.5億 元（18.4億美元） ，較2024年同期的人民幣 57.0 億元上升 134.1%，並較2…</x:v>
      </x:c>
      <x:c r="N83" s="41" t="str">
        <x:v>3-直接相关</x:v>
      </x:c>
      <x:c r="O83" s="41" t="str">
        <x:v>是</x:v>
      </x:c>
      <x:c r="P83" s="57" t="str">
        <x:v>季度业绩披露AI车型搭载及平台与软件技术服务收入，直接覆盖“AI及软件研发投入与商业化收入”的关键变量，关系路径成立。</x:v>
      </x:c>
      <x:c r="Q83" s="41" t="str">
        <x:v>B-CODEX-FIN-01</x:v>
      </x:c>
      <x:c r="R83" s="80" t="inlineStr">
        <x:is>
          <x:t>2026-08-28T03:00:25+08:00</x:t>
        </x:is>
      </x:c>
    </x:row>
    <x:row r="84" ht="72" customHeight="1">
      <x:c r="A84" s="64" t="str">
        <x:v>V5-R-Q009-C06</x:v>
      </x:c>
      <x:c r="B84" s="64" t="str">
        <x:v>V5-E-09868-C06</x:v>
      </x:c>
      <x:c r="C84" s="64" t="str">
        <x:v>V5-Q009</x:v>
      </x:c>
      <x:c r="D84" s="40" t="str">
        <x:v>小鹏汽车</x:v>
      </x:c>
      <x:c r="E84" s="64" t="str">
        <x:v>09868</x:v>
      </x:c>
      <x:c r="F84" s="87" t="n">
        <x:v>46260.75</x:v>
      </x:c>
      <x:c r="G84" s="51" t="str">
        <x:v>AI算力与软件研发投入能否转化为可持续商业化收入</x:v>
      </x:c>
      <x:c r="H84" s="64" t="str">
        <x:v>DOC-EVT-09868-00036</x:v>
      </x:c>
      <x:c r="I84" s="51" t="str">
        <x:v>小鹏汽车发布2024年第一季度的未经审计财务业绩</x:v>
      </x:c>
      <x:c r="J84" s="87" t="n">
        <x:v>45433.73625</x:v>
      </x:c>
      <x:c r="K84" s="73" t="str">
        <x:v>http://static.cninfo.com.cn/finalpage/2024-05-21/1220119935.PDF</x:v>
      </x:c>
      <x:c r="L84" s="40" t="str">
        <x:v>第3页</x:v>
      </x:c>
      <x:c r="M84" s="51" t="str">
        <x:v>3 ৌਕุᐶ dϵʱˢৰ̮ ˜ ᜊਗˢଟ i 2024ϋ 2023ϋ 2023ϋ 3˜31˚ 12˜31˚ 3˜31ˢ ӛԓቖਯϗɝ 5.54 12.23 3.51 57.8% -54.7% ӛԓˣлଟ 5.5% 4.1% -2.5% 8.0ϵʱᓃ 1.4ϵʱᓃ ᐼϗɝ 6.55 13.05 4.03 62.3% -49.8% ˣл 0.84 0.81 0.07 1,158.7% 4.2% ˣлଟ 12.9% 6.2% 1.7% 11.2ϵʱᓃ 6.7ϵʱᓃ ଋᑦฦ 1.37 1.35 2.34 -41.5% 1.5% ۆࡡࠇ cଋᑦฦ 1.41 1.77 2.21 -36.3% -20.5% ᏐЦ cଋᑦฦ 1.37 1.35 2.34 -41.5% 1.5% ᏐЦ ۆࡡࠇ cଋᑦฦ 1.41 1.77 2.21 -36.3% -20.5% ᏐЦ cၝΥᑦฦ 1.34 1.57 2.58 -48.0% -14.6% i ϵʱˢᜊਗ ၍ଣᄴ൙Ⴇ ʃᘄӛԓίʕ਷ӛԓБุଟ΋ྼତə AIːίΌଢᇍఖʫ dˏჯ AIʿ ኷ଫΥЪdʃᘄӛԓଟ΋ྼତə ٙ ৌਕΫజf ʮ̡ˣлଟɽషɪʺՑ 12.9%f ʃᘄӛԓΤᚑ ͪf வᅺႦഹʃᘄӛԓྼତəί౽ঐཥਗԓุਕਿ ዹतᅼόf</x:v>
      </x:c>
      <x:c r="N84" s="41" t="str">
        <x:v>2-间接相关</x:v>
      </x:c>
      <x:c r="O84" s="41" t="str">
        <x:v>是</x:v>
      </x:c>
      <x:c r="P84" s="57" t="str">
        <x:v>季度业绩披露服务收入、研发与盈利数据，能够支持“AI及软件研发投入与商业化收入”的中间环节，但未完整量化最终影响。</x:v>
      </x:c>
      <x:c r="Q84" s="41" t="str">
        <x:v>B-CODEX-FIN-01</x:v>
      </x:c>
      <x:c r="R84" s="80" t="inlineStr">
        <x:is>
          <x:t>2026-08-28T03:00:25+08:00</x:t>
        </x:is>
      </x:c>
    </x:row>
    <x:row r="85" ht="72" customHeight="1">
      <x:c r="A85" s="64" t="str">
        <x:v>V5-R-Q009-C04</x:v>
      </x:c>
      <x:c r="B85" s="64" t="str">
        <x:v>V5-E-09868-C04</x:v>
      </x:c>
      <x:c r="C85" s="64" t="str">
        <x:v>V5-Q009</x:v>
      </x:c>
      <x:c r="D85" s="40" t="str">
        <x:v>小鹏汽车</x:v>
      </x:c>
      <x:c r="E85" s="64" t="str">
        <x:v>09868</x:v>
      </x:c>
      <x:c r="F85" s="87" t="n">
        <x:v>46260.75</x:v>
      </x:c>
      <x:c r="G85" s="51" t="str">
        <x:v>AI算力与软件研发投入能否转化为可持续商业化收入</x:v>
      </x:c>
      <x:c r="H85" s="64" t="str">
        <x:v>DOC-EVT-09868-00167</x:v>
      </x:c>
      <x:c r="I85" s="51" t="str">
        <x:v>股东周年大会通告</x:v>
      </x:c>
      <x:c r="J85" s="87" t="n">
        <x:v>46153.79320601852</x:v>
      </x:c>
      <x:c r="K85" s="73" t="str">
        <x:v>http://static.cninfo.com.cn/finalpage/2026-05-11/1225292355.PDF</x:v>
      </x:c>
      <x:c r="L85" s="40" t="str">
        <x:v>第4页</x:v>
      </x:c>
      <x:c r="M85" s="51" t="str">
        <x:v>39875 \ (XPeng Inc_AGM) Notice_AGM_Chi \ 07/05/2026 \ M08 / Size (210x297) — 4 — ೮া˚ ໨ԫึʊਗ਼ 2026ϋ5˜14࠽ٰࠦ0.00001ٙAאBᗳ౷ ೮া˚  ΅೮া˚͉ʮ̡AאBٰࢩ ึɪҳୃf Ϟ͉ʮ̡ AאBٰ ׵ڭ2026ϋ5˜14˚ɨʹ 4ࣛ30කਟ໊ ΅ཀ˒೮াஈ Ascentium (Cayman) Limitedމ4th Floor, Harbour Place, 103 South Church Street, P.O. Box 10240, Grand Cayman KY 1-1002, Cayman IslandsϞ͉ʮ̡ A޴׵ڭ Νಂග у2026ϋ5˜14˚ɨʹ 4ࣛ30΅ཀ 䅳༸ 16ፄʕː 17ᅽf ࿚Ї2026ϋ5˜14ග  ೮া˚Ϟɛν૧БԴՉ ᗫAͪf ඄ϋɽึ ٙAאBจd ඄ϋ ˸౬՟ AdԨЪ̈τર ۃ ᗫ Af ೯৔ཥɿඉ΁Ї gm@x-peng.cn ཫ΋೮াf ٙ ஝ආБf f ͪ̔ ٙAאB਷πৄ ٙڌA࿩ ఱ AאB਷ ϞɛϾԊ  ͪ̔ŊஷՌf։ৄҳ ͉ʮ̡ၣ१ ir.xiaopeng.com ၣ१ www.hkexnews.hk ቡf</x:v>
      </x:c>
      <x:c r="N85" s="41" t="str">
        <x:v>0-无关</x:v>
      </x:c>
      <x:c r="O85" s="41" t="str">
        <x:v>否</x:v>
      </x:c>
      <x:c r="P85" s="57" t="str">
        <x:v>《股东周年大会通告》主要涉及治理、股权、会议、分红或其他事项，未披露“AI及软件研发投入与商业化收入”相关实质证据。</x:v>
      </x:c>
      <x:c r="Q85" s="41" t="str">
        <x:v>B-CODEX-FIN-01</x:v>
      </x:c>
      <x:c r="R85" s="80" t="inlineStr">
        <x:is>
          <x:t>2026-08-28T03:00:25+08:00</x:t>
        </x:is>
      </x:c>
    </x:row>
    <x:row r="86" ht="72" customHeight="1">
      <x:c r="A86" s="64" t="str">
        <x:v>V5-R-Q009-C02</x:v>
      </x:c>
      <x:c r="B86" s="64" t="str">
        <x:v>V5-E-09868-C02</x:v>
      </x:c>
      <x:c r="C86" s="64" t="str">
        <x:v>V5-Q009</x:v>
      </x:c>
      <x:c r="D86" s="40" t="str">
        <x:v>小鹏汽车</x:v>
      </x:c>
      <x:c r="E86" s="64" t="str">
        <x:v>09868</x:v>
      </x:c>
      <x:c r="F86" s="87" t="n">
        <x:v>46260.75</x:v>
      </x:c>
      <x:c r="G86" s="51" t="str">
        <x:v>AI算力与软件研发投入能否转化为可持续商业化收入</x:v>
      </x:c>
      <x:c r="H86" s="64" t="str">
        <x:v>DOC-EVT-09868-00022</x:v>
      </x:c>
      <x:c r="I86" s="51" t="str">
        <x:v>2023年度报告</x:v>
      </x:c>
      <x:c r="J86" s="87" t="n">
        <x:v>45399.77725694444</x:v>
      </x:c>
      <x:c r="K86" s="73" t="str">
        <x:v>http://static.cninfo.com.cn/finalpage/2024-04-17/1219649660.PDF</x:v>
      </x:c>
      <x:c r="L86" s="40" t="str">
        <x:v>第4页</x:v>
      </x:c>
      <x:c r="M86" s="51" t="str">
        <x:v>ᑦฦ (4,642,754) (4,889,729) (4,863,096) (9,138,972) (10,375,775) ؇ٰٰ cᏐЦၝΥᑦฦᐼᕘ (3,694,641) (3,456,418) (5,781,264) (5,946,399) (10,089,161) ڌ ࿚Ї12˜31˚ 2019ϋ 2020ϋ 2021ϋ 2022ϋ 2023ϋ ɛ͏࿆ɷʩ ༟ପ ਗ༟ପᐼᕘ 4,960,650 39,679,278 48,830,736 43,527,421 54,521,629 ਗ༟ପᐼᕘ 4,290,715 5,027,501 16,820,566 27,963,585 29,640,912 ༟ପᐼᕘ 9,251,365 44,706,779 65,651,302 71,491,006 84,162,541 ව වᐼᕘ 3,297,691 7,837,263 18,012,664 24,114,853 36,111,562 වᐼᕘ 3,090,626 2,439,707 5,492,060 10,465,488 11,722,452 වᐼᕘ 6,388,317 10,276,970 23,504,724 34,580,341 47,834,014 ᑦ୙ ᛆू ᑦ୙ ᛆूᐼᕘ (6,830,430) 34,429,809 42,146,578 36,910,665 36,328,527</x:v>
      </x:c>
      <x:c r="N86" s="41" t="str">
        <x:v>2-间接相关</x:v>
      </x:c>
      <x:c r="O86" s="41" t="str">
        <x:v>是</x:v>
      </x:c>
      <x:c r="P86" s="57" t="str">
        <x:v>年报披露研发投入和软件技术业务，能够支持“AI及软件研发投入与商业化收入”的中间环节，但未完整量化最终影响。</x:v>
      </x:c>
      <x:c r="Q86" s="41" t="str">
        <x:v>B-CODEX-FIN-01</x:v>
      </x:c>
      <x:c r="R86" s="80" t="inlineStr">
        <x:is>
          <x:t>2026-08-28T03:00:25+08:00</x:t>
        </x:is>
      </x:c>
    </x:row>
    <x:row r="87" ht="72" customHeight="1">
      <x:c r="A87" s="64" t="str">
        <x:v>V5-R-Q009-C10</x:v>
      </x:c>
      <x:c r="B87" s="64" t="str">
        <x:v>V5-E-09868-C10</x:v>
      </x:c>
      <x:c r="C87" s="64" t="str">
        <x:v>V5-Q009</x:v>
      </x:c>
      <x:c r="D87" s="40" t="str">
        <x:v>小鹏汽车</x:v>
      </x:c>
      <x:c r="E87" s="64" t="str">
        <x:v>09868</x:v>
      </x:c>
      <x:c r="F87" s="87" t="n">
        <x:v>46260.75</x:v>
      </x:c>
      <x:c r="G87" s="51" t="str">
        <x:v>AI算力与软件研发投入能否转化为可持续商业化收入</x:v>
      </x:c>
      <x:c r="H87" s="64" t="str">
        <x:v>DOC-EVT-09868-00184</x:v>
      </x:c>
      <x:c r="I87" s="51" t="str">
        <x:v>截至二零二六年七月三十一日止之股份发行人的证券变动月报表</x:v>
      </x:c>
      <x:c r="J87" s="87" t="n">
        <x:v>46240.747569444444</x:v>
      </x:c>
      <x:c r="K87" s="73" t="str">
        <x:v>http://static.cninfo.com.cn/finalpage/2026-08-06/1225462014.PDF</x:v>
      </x:c>
      <x:c r="L87" s="40" t="str">
        <x:v>第6页</x:v>
      </x:c>
      <x:c r="M87" s="51" t="str">
        <x:v>FF301 ∉  ௹⃴ ٳٺܢܢ⦁ "෮ഈ൧ 䩏 ൞ ⊈ಊսὂ ೂഈ൧  䪌ૼܢ 䪌ૼỌն὜๙Ἶರ௹ ೂℳႨ ଢ % ଢ % ܢ֥ ଢ  ῌ Ẫ໊ ୍ᄅರ      ῌ Ẫ໊ ୍ᄅರ      ῌ Ẫ໊ ୍ᄅರ      ῌ Ẫ໊ ୍ᄅರ       ῌ Ẫ໊ ୍ᄅರ      ῌ Ẫ໊ ୍ᄅರ       ῌ Ẫ໊ ୍ᄅರ       ῌ Ẫ໊ ୍ᄅರ       ῌ Ẫ໊đѩႿ୍ᄅರứྛ Ẫ໊ ୍ᄅರ       ῌ Ẫ໊ ୍ᄅರ       ῌ Ẫ໊ ୍ᄅರ      ῌ Ẫ໊ ୍ᄅರ       ῌ Ẫ໊ ୍ᄅರ       ῌ Ẫ໊ ୍ᄅರ       ῌ Ẫ໊ ୍ᄅರ       ῌ Ẫ໊ ୍ᄅರ       ܋ކ ܢ Ẫ໊ၘᧄ୍…</x:v>
      </x:c>
      <x:c r="N87" s="41" t="str">
        <x:v>0-无关</x:v>
      </x:c>
      <x:c r="O87" s="41" t="str">
        <x:v>否</x:v>
      </x:c>
      <x:c r="P87" s="57" t="str">
        <x:v>《截至二零二六年七月三十一日止之股份发行人的证券变动月报表》主要涉及治理、股权、会议、分红或其他事项，未披露“AI及软件研发投入与商业化收入”相关实质证据。</x:v>
      </x:c>
      <x:c r="Q87" s="41" t="str">
        <x:v>B-CODEX-FIN-01</x:v>
      </x:c>
      <x:c r="R87" s="80" t="inlineStr">
        <x:is>
          <x:t>2026-08-28T03:00:25+08:00</x:t>
        </x:is>
      </x:c>
    </x:row>
    <x:row r="88" ht="72" customHeight="1">
      <x:c r="A88" s="64" t="str">
        <x:v>V5-R-Q009-C09</x:v>
      </x:c>
      <x:c r="B88" s="64" t="str">
        <x:v>V5-E-09868-C09</x:v>
      </x:c>
      <x:c r="C88" s="64" t="str">
        <x:v>V5-Q009</x:v>
      </x:c>
      <x:c r="D88" s="40" t="str">
        <x:v>小鹏汽车</x:v>
      </x:c>
      <x:c r="E88" s="64" t="str">
        <x:v>09868</x:v>
      </x:c>
      <x:c r="F88" s="87" t="n">
        <x:v>46260.75</x:v>
      </x:c>
      <x:c r="G88" s="51" t="str">
        <x:v>AI算力与软件研发投入能否转化为可持续商业化收入</x:v>
      </x:c>
      <x:c r="H88" s="64" t="str">
        <x:v>DOC-EVT-09868-00099</x:v>
      </x:c>
      <x:c r="I88" s="51" t="str">
        <x:v>股东周年大会的委托投票说明书∕通函</x:v>
      </x:c>
      <x:c r="J88" s="87" t="n">
        <x:v>45789.80986111111</x:v>
      </x:c>
      <x:c r="K88" s="73" t="str">
        <x:v>http://static.cninfo.com.cn/finalpage/2025-05-12/1223528914.PDF</x:v>
      </x:c>
      <x:c r="L88" s="40" t="str">
        <x:v>第23页</x:v>
      </x:c>
      <x:c r="M88" s="51" t="str">
        <x:v>940979 \ (XPeng Inc_AGM) Notice_AGM_Chi (b) \ 08/05/2025 \ M08 / Size (210x297) — 16 — ˙̙ЪྼdϾО΋͛ʿՉᑌᖩɛ˸ʿ͉ ૝ҳᗎϓୃf ΅ᗳй ׵ ྼყ̙Б˚ಂ ΅ᅰͦ ׵ ྼყ̙Б˚ಂ Ц͉ʮ̡ʊ೯Бʿ ٙ ϵʱˢ બɛʿՉᑌᖩɛ О΋͛ʿՉᑌᖩɛ ൗ1 Aٰ8,239,844 0.43% Bٰ348,708,257 18.32% ːᗫஹɛɻ ʿՉၡ੗ᑌᖩɛ ൗ2 Aٰ11,550 0.00% ೱʿՉၡ੗ᑌᖩɛ ൗ3 ʔቇ͜ 27,216 0.00% ൗj (1) ڌi)ٙ1,000,000ٰAi (ii)ஷཀGalaxy Dynasty Limitedٙ2,839,844͟ ٙڌAi (iii)ஷཀSimplicity Holding Limitedٙ4,400,000ٙڌAi ʿ(iv)ʱйஷཀ Simplicity Holding Limited ʿRespect Holding Limitedٙ327,708,257ٰBʿ 21,000,000ٰBᗳ౷ fSimplicity Holding Limited ʿRespect Holding Limited։ৄɛ ீཀThe Binghe TrustٙBinghe Galaxy Limited Ό༟ኹϞf (2) ٙ11,550ٰAf (3) ኽ 2019ٙ27,216ٙ 27,216ٰAʕኹϞᛆूf ׼ڌ ҳˀ࿁ୃf ٙ28…</x:v>
      </x:c>
      <x:c r="N88" s="41" t="str">
        <x:v>0-无关</x:v>
      </x:c>
      <x:c r="O88" s="41" t="str">
        <x:v>否</x:v>
      </x:c>
      <x:c r="P88" s="57" t="str">
        <x:v>《股东周年大会的委托投票说明书∕通函》主要涉及治理、股权、会议、分红或其他事项，未披露“AI及软件研发投入与商业化收入”相关实质证据。</x:v>
      </x:c>
      <x:c r="Q88" s="41" t="str">
        <x:v>B-CODEX-FIN-01</x:v>
      </x:c>
      <x:c r="R88" s="80" t="inlineStr">
        <x:is>
          <x:t>2026-08-28T03:00:25+08:00</x:t>
        </x:is>
      </x:c>
    </x:row>
    <x:row r="89" ht="72" customHeight="1">
      <x:c r="A89" s="64" t="str">
        <x:v>V5-R-Q009-C03</x:v>
      </x:c>
      <x:c r="B89" s="64" t="str">
        <x:v>V5-E-09868-C03</x:v>
      </x:c>
      <x:c r="C89" s="64" t="str">
        <x:v>V5-Q009</x:v>
      </x:c>
      <x:c r="D89" s="40" t="str">
        <x:v>小鹏汽车</x:v>
      </x:c>
      <x:c r="E89" s="64" t="str">
        <x:v>09868</x:v>
      </x:c>
      <x:c r="F89" s="87" t="n">
        <x:v>46260.75</x:v>
      </x:c>
      <x:c r="G89" s="51" t="str">
        <x:v>AI算力与软件研发投入能否转化为可持续商业化收入</x:v>
      </x:c>
      <x:c r="H89" s="64" t="str">
        <x:v>DOC-EVT-09868-00069</x:v>
      </x:c>
      <x:c r="I89" s="51" t="str">
        <x:v>小鹏汽车发布2024 年第三季度的未经审计财务业绩</x:v>
      </x:c>
      <x:c r="J89" s="87" t="n">
        <x:v>45615.71127314815</x:v>
      </x:c>
      <x:c r="K89" s="73" t="str">
        <x:v>http://static.cninfo.com.cn/finalpage/2024-11-19/1221776759.PDF</x:v>
      </x:c>
      <x:c r="L89" s="40" t="str">
        <x:v>第3页</x:v>
      </x:c>
      <x:c r="M89" s="51" t="str">
        <x:v>3 ৌਕุᐶ dϵʱˢৰ̮ ˜ ᜊਗˢଟ i 2024ϋ 2024ϋ 2023ϋ 9˜30˚ 6˜30˚ 9˜30˚ˢ ӛԓቖਯϗɝ 8.80 6.82 7.84 12.1% 29.0% ӛԓˣлଟ 8.6% 6.4% -6.1% 14.7ϵʱᓃ 2.2ϵʱᓃ ᐼϗɝ 10.10 8.11 8.53 18.4% 24.5% ˣл ฦ 1.54 1.14 (0.23) 776.2% 35.7% ˣлଟ 15.3% 14.0% -2.7% 18.0ϵʱᓃ 1.3ϵʱᓃ ଋᑦฦ 1.81 1.28 3.89 -53.5% 40.7% ଋᑦฦ 1.53 1.22 2.79 -45.1% 25.5% ᏐЦଋᑦฦ 1.81 1.28 3.89 -53.5% 40.7% ࠇ ଋᑦฦ 1.53 1.22 2.79 -45.1% 25.5% ᏐЦၝΥᑦฦ 2.09 1.20 4.01 -47.8% 74.6% i ϵʱˢᜊਗ ၍ଣᄴ൙Ⴇ ౤৷d M03ձP7+ᄣ ٙ ݊AIٙAIӛԓʮ̡dˏჯ AIί̈Б ɽ஝ᅼᏐ͜f ˣлଟආɓӉ౤৷Ї 15.3%dྼ ତஹᚃ 5ᐼ൒ᚥ҃ή௹ɻ ږ ήҳɝ AIପ ਕf</x:v>
      </x:c>
      <x:c r="N89" s="41" t="str">
        <x:v>2-间接相关</x:v>
      </x:c>
      <x:c r="O89" s="41" t="str">
        <x:v>是</x:v>
      </x:c>
      <x:c r="P89" s="57" t="str">
        <x:v>季度业绩披露服务收入及毛利变化，能够支持“AI及软件研发投入与商业化收入”的中间环节，但未完整量化最终影响。</x:v>
      </x:c>
      <x:c r="Q89" s="41" t="str">
        <x:v>B-CODEX-FIN-01</x:v>
      </x:c>
      <x:c r="R89" s="80" t="inlineStr">
        <x:is>
          <x:t>2026-08-28T03:00:25+08:00</x:t>
        </x:is>
      </x:c>
    </x:row>
    <x:row r="90" ht="72" customHeight="1">
      <x:c r="A90" s="64" t="str">
        <x:v>V5-R-Q009-C01</x:v>
      </x:c>
      <x:c r="B90" s="64" t="str">
        <x:v>V5-E-09868-C01</x:v>
      </x:c>
      <x:c r="C90" s="64" t="str">
        <x:v>V5-Q009</x:v>
      </x:c>
      <x:c r="D90" s="40" t="str">
        <x:v>小鹏汽车</x:v>
      </x:c>
      <x:c r="E90" s="64" t="str">
        <x:v>09868</x:v>
      </x:c>
      <x:c r="F90" s="87" t="n">
        <x:v>46260.75</x:v>
      </x:c>
      <x:c r="G90" s="51" t="str">
        <x:v>AI算力与软件研发投入能否转化为可持续商业化收入</x:v>
      </x:c>
      <x:c r="H90" s="64" t="str">
        <x:v>DOC-EVT-09868-00140</x:v>
      </x:c>
      <x:c r="I90" s="51" t="str">
        <x:v>董事名单与其角色及职能</x:v>
      </x:c>
      <x:c r="J90" s="87" t="n">
        <x:v>46023.7778587963</x:v>
      </x:c>
      <x:c r="K90" s="73" t="str">
        <x:v>http://static.cninfo.com.cn/finalpage/2026-01-01/1224915702.PDF</x:v>
      </x:c>
      <x:c r="L90" s="40" t="str">
        <x:v>第1页</x:v>
      </x:c>
      <x:c r="M90" s="51" t="str">
        <x:v>1 XPeng Inc. 小鵬汽車有限公司 * （於開曼群島註冊成立以不同投票權控制的有限公司） （股份代號：9868） 董事名單與其角色及職能 XPeng Inc（. 「本公司 」）董事會（「董事會 」）成員載列如下。 執行董事： 何小鵬（董事長兼首席執行官） 非執行董事： 符績勳 獨立非執行董事： 楊東皓 瞿 芳 張宏江 陳玉東</x:v>
      </x:c>
      <x:c r="N90" s="41" t="str">
        <x:v>0-无关</x:v>
      </x:c>
      <x:c r="O90" s="41" t="str">
        <x:v>否</x:v>
      </x:c>
      <x:c r="P90" s="57" t="str">
        <x:v>《董事名单与其角色及职能》主要涉及治理、股权、会议、分红或其他事项，未披露“AI及软件研发投入与商业化收入”相关实质证据。</x:v>
      </x:c>
      <x:c r="Q90" s="41" t="str">
        <x:v>B-CODEX-FIN-01</x:v>
      </x:c>
      <x:c r="R90" s="80" t="inlineStr">
        <x:is>
          <x:t>2026-08-28T03:00:25+08:00</x:t>
        </x:is>
      </x:c>
    </x:row>
    <x:row r="91" ht="72" customHeight="1">
      <x:c r="A91" s="64" t="str">
        <x:v>V5-R-Q009-C05</x:v>
      </x:c>
      <x:c r="B91" s="64" t="str">
        <x:v>V5-E-09868-C05</x:v>
      </x:c>
      <x:c r="C91" s="64" t="str">
        <x:v>V5-Q009</x:v>
      </x:c>
      <x:c r="D91" s="40" t="str">
        <x:v>小鹏汽车</x:v>
      </x:c>
      <x:c r="E91" s="64" t="str">
        <x:v>09868</x:v>
      </x:c>
      <x:c r="F91" s="87" t="n">
        <x:v>46260.75</x:v>
      </x:c>
      <x:c r="G91" s="51" t="str">
        <x:v>AI算力与软件研发投入能否转化为可持续商业化收入</x:v>
      </x:c>
      <x:c r="H91" s="64" t="str">
        <x:v>DOC-EVT-09868-00076</x:v>
      </x:c>
      <x:c r="I91" s="51" t="str">
        <x:v>变更香港主要营业地点</x:v>
      </x:c>
      <x:c r="J91" s="87" t="n">
        <x:v>45667.71543981481</x:v>
      </x:c>
      <x:c r="K91" s="73" t="str">
        <x:v>http://static.cninfo.com.cn/finalpage/2025-01-10/1222297866.PDF</x:v>
      </x:c>
      <x:c r="L91" s="40" t="str">
        <x:v>第1页</x:v>
      </x:c>
      <x:c r="M91" s="51" t="str">
        <x:v>1 香港交易及結算所有限公司及香港聯合交易所有限公司對本公告之內容概不負責，對其準確性或完整性亦 不發表聲明，並明確表示概不會就本公告全部或任何部分內容而產生或因依賴該等內容而引致之任何損失 承擔任何責任。 變更香港主要營業地點 XPeng Inc. （「本公司」）之董事會（「董事會」）宣佈，自 2025年1月10日起， 本公司之香港主要營業地點之地址將變更為香港銅鑼灣希慎道33號利園一期19 樓1918室。 承董事會命 XPeng Inc. 董事長 何小鵬 香港，2025年1月10日（星期五） 於本公告日期，本公司董事會由執行董事何小鵬先生，非執行董事符績勳先生，以及獨立 非執行董事楊東皓先生、瞿芳女士及張宏江先生組成。 * 僅供識別</x:v>
      </x:c>
      <x:c r="N91" s="41" t="str">
        <x:v>0-无关</x:v>
      </x:c>
      <x:c r="O91" s="41" t="str">
        <x:v>否</x:v>
      </x:c>
      <x:c r="P91" s="57" t="str">
        <x:v>《变更香港主要营业地点》主要涉及治理、股权、会议、分红或其他事项，未披露“AI及软件研发投入与商业化收入”相关实质证据。</x:v>
      </x:c>
      <x:c r="Q91" s="41" t="str">
        <x:v>B-CODEX-FIN-01</x:v>
      </x:c>
      <x:c r="R91" s="80" t="inlineStr">
        <x:is>
          <x:t>2026-08-28T03:00:25+08:00</x:t>
        </x:is>
      </x:c>
    </x:row>
    <x:row r="92" ht="72" customHeight="1">
      <x:c r="A92" s="64" t="str">
        <x:v>V5-R-Q010-C09</x:v>
      </x:c>
      <x:c r="B92" s="64" t="str">
        <x:v>V5-E-09868-C09</x:v>
      </x:c>
      <x:c r="C92" s="64" t="str">
        <x:v>V5-Q010</x:v>
      </x:c>
      <x:c r="D92" s="40" t="str">
        <x:v>小鹏汽车</x:v>
      </x:c>
      <x:c r="E92" s="64" t="str">
        <x:v>09868</x:v>
      </x:c>
      <x:c r="F92" s="87" t="n">
        <x:v>46260.75</x:v>
      </x:c>
      <x:c r="G92" s="51" t="str">
        <x:v>新平台与生产设施投入是否会延后自由现金流转正</x:v>
      </x:c>
      <x:c r="H92" s="64" t="str">
        <x:v>DOC-EVT-09868-00099</x:v>
      </x:c>
      <x:c r="I92" s="51" t="str">
        <x:v>股东周年大会的委托投票说明书∕通函</x:v>
      </x:c>
      <x:c r="J92" s="87" t="n">
        <x:v>45789.80986111111</x:v>
      </x:c>
      <x:c r="K92" s="73" t="str">
        <x:v>http://static.cninfo.com.cn/finalpage/2025-05-12/1223528914.PDF</x:v>
      </x:c>
      <x:c r="L92" s="40" t="str">
        <x:v>第6页</x:v>
      </x:c>
      <x:c r="M92" s="51" t="str">
        <x:v>940979 \ (XPeng Inc_AGM) Notice_AGM_Chi (a) \ 08/05/2025 \ M08 / Size (210x297) — 6 — ೮া˚ ໨ԫึʊਗ਼ 2025ϋ5˜15࠽ٰࠦ0.00001ٙAאBᗳ౷ ೮া˚  ΅೮া˚͉ʮ̡AאBٰࢩ ึɪҳୃf Ϟ͉ʮ̡ AאBٰ ׵ڭ2025ϋ5˜15˚ɨʹ 4ࣛ30කਟ໊ ΅ཀ˒೮াஈ Harneys Fiduciary (Cayman) Limitedމ4th Floor, Harbour Place, 103 South Church Street, P.O. Box 10240, Grand Cayman KY 1-1002, Cayman IslandsϞ͉ʮ̡ Aɛɻሗᆽ Νಂග у2025ϋ5˜15˚ɨʹ 4ࣛ30ಥ 䅳༸ 16ፄʕː 17ᅽf ࿚Ї2025ϋ5˜15ග  ೮া˚Ϟɛν૧БԴՉ ᗫAͪf ඄ϋɽึ ٙAאBจd ඄ϋ ˸౬՟ AdԨЪ̈τર ۃ ᗫ Af ೯৔ཥɿඉ΁Ї AGM@xiaopeng.com ཫ΋೮াf ٙ ஝ආБf f ͪ̔ ٙAאB਷πৄ ٙڌA࿩ ఱ AאB਷ ϞɛϾԊ  ͪ̔ŊஷՌf։ৄҳ ͉ʮ̡ၣ१ ir.xiaopeng.com ၣ१ www.hkexnews.hk ቡf</x:v>
      </x:c>
      <x:c r="N92" s="41" t="str">
        <x:v>0-无关</x:v>
      </x:c>
      <x:c r="O92" s="41" t="str">
        <x:v>否</x:v>
      </x:c>
      <x:c r="P92" s="57" t="str">
        <x:v>《股东周年大会的委托投票说明书∕通函》主要涉及治理、股权、会议、分红或其他事项，未披露“平台和产能投入、资本开支与自由现金流”相关实质证据。</x:v>
      </x:c>
      <x:c r="Q92" s="41" t="str">
        <x:v>B-CODEX-FIN-01</x:v>
      </x:c>
      <x:c r="R92" s="80" t="inlineStr">
        <x:is>
          <x:t>2026-08-28T03:00:25+08:00</x:t>
        </x:is>
      </x:c>
    </x:row>
    <x:row r="93" ht="72" customHeight="1">
      <x:c r="A93" s="64" t="str">
        <x:v>V5-R-Q010-C07</x:v>
      </x:c>
      <x:c r="B93" s="64" t="str">
        <x:v>V5-E-09868-C07</x:v>
      </x:c>
      <x:c r="C93" s="64" t="str">
        <x:v>V5-Q010</x:v>
      </x:c>
      <x:c r="D93" s="40" t="str">
        <x:v>小鹏汽车</x:v>
      </x:c>
      <x:c r="E93" s="64" t="str">
        <x:v>09868</x:v>
      </x:c>
      <x:c r="F93" s="87" t="n">
        <x:v>46260.75</x:v>
      </x:c>
      <x:c r="G93" s="51" t="str">
        <x:v>新平台与生产设施投入是否会延后自由现金流转正</x:v>
      </x:c>
      <x:c r="H93" s="64" t="str">
        <x:v>DOC-EVT-09868-00104</x:v>
      </x:c>
      <x:c r="I93" s="51" t="str">
        <x:v>小鹏汽车发布2025年第一季度的未经审计财务业绩</x:v>
      </x:c>
      <x:c r="J93" s="87" t="n">
        <x:v>45798.73484953704</x:v>
      </x:c>
      <x:c r="K93" s="73" t="str">
        <x:v>http://static.cninfo.com.cn/finalpage/2025-05-21/1223626125.PDF</x:v>
      </x:c>
      <x:c r="L93" s="40" t="str">
        <x:v>第4页</x:v>
      </x:c>
      <x:c r="M93" s="51" t="str">
        <x:v>4 ࢝ ׵2025ϋ4ʹ˹ඎ • 於2025年4月，總交付量為 35,045輛。 • 截至2025年4月30日，年內累計總交付量為 129,053輛。 2025ಛʃᘄX9ɪ̹ 於2025年4月15日，小鵬汽車於全球熱愛之夜發佈會正式推出 2025款小鵬 X9，標配圖靈 AI智能輔助駕駛功能。 ࿚Ї2025ϋ3˜31ৌਕุᐶ 2025年第一季度ᐼϗɝ為人民幣 158.1億 元（21.8億美元） ，較2024年同期的人民幣 65.5億 元上升 141.5%，並較2024年第四季度的人民幣 161.1億元下降 1.8%。 2025年第一季度ӛԓቖਯϗɝ為人民幣 143.7億 元（19.8億美元） ，較2024年同期的人民幣 55.4億元上升 159.2%，並較2024年第四季度的人民幣 146.7億元下降 2.1%。按年增長乃主 要由於交付量的增加所致。 2025年第一季度ਕʿՉ˼ϗɝ為人民幣 14.4億 元（2.0億美元） ，較2024年同期的人民幣 10.0億元上升 43.6%，並較2024年第四季度的人民幣 14.3億元上升 0.5%。按年增長乃主要 由於與大眾汽車集團進行平台與軟件戰略以及電子電氣架構 （ 「࿴ 」 ） 技術戰 略合作有關的技術研發服務 （ 「ਕ 」 ） 的收入增加，以及維修及保養服務及汽 車金融服務收入增加所致。 2025年第一季度ቖਯϓ͉ 為人民幣 133.5億 元（18.4億美元） ，較2024年同期的人民幣 57.0 億元上升 134.1%，並較2…</x:v>
      </x:c>
      <x:c r="N93" s="41" t="str">
        <x:v>2-间接相关</x:v>
      </x:c>
      <x:c r="O93" s="41" t="str">
        <x:v>是</x:v>
      </x:c>
      <x:c r="P93" s="57" t="str">
        <x:v>季度业绩披露收入、研发和现金状况，能够支持“平台和产能投入、资本开支与自由现金流”的中间环节，但未完整量化最终影响。</x:v>
      </x:c>
      <x:c r="Q93" s="41" t="str">
        <x:v>B-CODEX-FIN-01</x:v>
      </x:c>
      <x:c r="R93" s="80" t="inlineStr">
        <x:is>
          <x:t>2026-08-28T03:00:25+08:00</x:t>
        </x:is>
      </x:c>
    </x:row>
    <x:row r="94" ht="72" customHeight="1">
      <x:c r="A94" s="64" t="str">
        <x:v>V5-R-Q010-C02</x:v>
      </x:c>
      <x:c r="B94" s="64" t="str">
        <x:v>V5-E-09868-C02</x:v>
      </x:c>
      <x:c r="C94" s="64" t="str">
        <x:v>V5-Q010</x:v>
      </x:c>
      <x:c r="D94" s="40" t="str">
        <x:v>小鹏汽车</x:v>
      </x:c>
      <x:c r="E94" s="64" t="str">
        <x:v>09868</x:v>
      </x:c>
      <x:c r="F94" s="87" t="n">
        <x:v>46260.75</x:v>
      </x:c>
      <x:c r="G94" s="51" t="str">
        <x:v>新平台与生产设施投入是否会延后自由现金流转正</x:v>
      </x:c>
      <x:c r="H94" s="64" t="str">
        <x:v>DOC-EVT-09868-00022</x:v>
      </x:c>
      <x:c r="I94" s="51" t="str">
        <x:v>2023年度报告</x:v>
      </x:c>
      <x:c r="J94" s="87" t="n">
        <x:v>45399.77725694444</x:v>
      </x:c>
      <x:c r="K94" s="73" t="str">
        <x:v>http://static.cninfo.com.cn/finalpage/2024-04-17/1219649660.PDF</x:v>
      </x:c>
      <x:c r="L94" s="40" t="str">
        <x:v>第4页</x:v>
      </x:c>
      <x:c r="M94" s="51" t="str">
        <x:v>ᑦฦ (4,642,754) (4,889,729) (4,863,096) (9,138,972) (10,375,775) ؇ٰٰ cᏐЦၝΥᑦฦᐼᕘ (3,694,641) (3,456,418) (5,781,264) (5,946,399) (10,089,161) ڌ ࿚Ї12˜31˚ 2019ϋ 2020ϋ 2021ϋ 2022ϋ 2023ϋ ɛ͏࿆ɷʩ ༟ପ ਗ༟ପᐼᕘ 4,960,650 39,679,278 48,830,736 43,527,421 54,521,629 ਗ༟ପᐼᕘ 4,290,715 5,027,501 16,820,566 27,963,585 29,640,912 ༟ପᐼᕘ 9,251,365 44,706,779 65,651,302 71,491,006 84,162,541 ව වᐼᕘ 3,297,691 7,837,263 18,012,664 24,114,853 36,111,562 වᐼᕘ 3,090,626 2,439,707 5,492,060 10,465,488 11,722,452 වᐼᕘ 6,388,317 10,276,970 23,504,724 34,580,341 47,834,014 ᑦ୙ ᛆू ᑦ୙ ᛆूᐼᕘ (6,830,430) 34,429,809 42,146,578 36,910,665 36,328,527</x:v>
      </x:c>
      <x:c r="N94" s="41" t="str">
        <x:v>3-直接相关</x:v>
      </x:c>
      <x:c r="O94" s="41" t="str">
        <x:v>是</x:v>
      </x:c>
      <x:c r="P94" s="57" t="str">
        <x:v>年报覆盖生产设施、资本投入及现金流，直接覆盖“平台和产能投入、资本开支与自由现金流”的关键变量，关系路径成立。</x:v>
      </x:c>
      <x:c r="Q94" s="41" t="str">
        <x:v>B-CODEX-FIN-01</x:v>
      </x:c>
      <x:c r="R94" s="80" t="inlineStr">
        <x:is>
          <x:t>2026-08-28T03:00:25+08:00</x:t>
        </x:is>
      </x:c>
    </x:row>
    <x:row r="95" ht="72" customHeight="1">
      <x:c r="A95" s="64" t="str">
        <x:v>V5-R-Q010-C08</x:v>
      </x:c>
      <x:c r="B95" s="64" t="str">
        <x:v>V5-E-09868-C08</x:v>
      </x:c>
      <x:c r="C95" s="64" t="str">
        <x:v>V5-Q010</x:v>
      </x:c>
      <x:c r="D95" s="40" t="str">
        <x:v>小鹏汽车</x:v>
      </x:c>
      <x:c r="E95" s="64" t="str">
        <x:v>09868</x:v>
      </x:c>
      <x:c r="F95" s="87" t="n">
        <x:v>46260.75</x:v>
      </x:c>
      <x:c r="G95" s="51" t="str">
        <x:v>新平台与生产设施投入是否会延后自由现金流转正</x:v>
      </x:c>
      <x:c r="H95" s="64" t="str">
        <x:v>DOC-EVT-09868-00151</x:v>
      </x:c>
      <x:c r="I95" s="51" t="str">
        <x:v>截至2025年12月31日止年度之全年业绩公告</x:v>
      </x:c>
      <x:c r="J95" s="87" t="n">
        <x:v>46101.723715277774</x:v>
      </x:c>
      <x:c r="K95" s="73" t="str">
        <x:v>http://static.cninfo.com.cn/finalpage/2026-03-20/1225021096.PDF</x:v>
      </x:c>
      <x:c r="L95" s="40" t="str">
        <x:v>第1页</x:v>
      </x:c>
      <x:c r="M95" s="51" t="str">
        <x:v>1 ڌ ዄ΂Оப ΂f XPeng Inc. ʮ̡ * ʮ̡ ΅˾໮j 9868 ࿚Ї 2025 ϋ12 ˜31ʘΌϋุᐶʮѓ ٙAIҦʮ̡ XPeng Inc.ʃᘄӛԓ͉ʮ̡΅˾໮j9868ʿ ˾໮j XPEVᑌ᙮ྼ᜗  ͉ණྠ ࿚ Ї2025 ϋ12˜31 జѓಂৌਕุᐶf ࿚Ї2025ϋ12˜31ࠅ h 2025ϋӛԓᐼʹ˹ඎމ429,445ሿd༰2024ٙ190,068ߒ125.9%f h ࿚Ї2025ϋ12˜31˚dྼ᜗ቖਯၣഖ΍Ϟ 721dᔧႊ 255̹f h ࿚Ї2025ϋ12˜31˚dʃᘄӛԓІᐄ̂ཥ१ၣഖ༺Ї 3,159ܼ2,108ࢭ ʃᘄ൴Ҟ̂१f h ࿚Ї2025ϋ12˜31ܓᐼϗɝɛ͏࿆ 767.2ᄂʩd༰࿚Ї 2024ϋ12˜31˚˟ϋ ɛ͏࿆ 408.7ᄂʩɪʺ 87.7%f h ࿚Ї2025ϋ12˜31ܓӛԓቖਯϗɝɛ͏࿆ 683.8ᄂʩd༰࿚Ї 2024ϋ12˜31 ɛ͏࿆ 358.3ᄂʩɪʺ 90.8%f h ࿚Ї2025ϋ12˜31ܓˣлଟމ18.9%༰ϾԊd࿚Ї 2024ϋ12˜31˚˟ϋ މܓ14.3%f h ࿚Ї2025ϋ12˜31ܓӛԓˣлଟϵʱ މ12.8%༰ϾԊd࿚Ї 2024ϋ12˜31މܓ8.3%f</x:v>
      </x:c>
      <x:c r="N95" s="41" t="str">
        <x:v>3-直接相关</x:v>
      </x:c>
      <x:c r="O95" s="41" t="str">
        <x:v>是</x:v>
      </x:c>
      <x:c r="P95" s="57" t="str">
        <x:v>全年业绩覆盖平台投入、产能、资本开支和现金流，直接覆盖“平台和产能投入、资本开支与自由现金流”的关键变量，关系路径成立。</x:v>
      </x:c>
      <x:c r="Q95" s="41" t="str">
        <x:v>B-CODEX-FIN-01</x:v>
      </x:c>
      <x:c r="R95" s="80" t="inlineStr">
        <x:is>
          <x:t>2026-08-28T03:00:25+08:00</x:t>
        </x:is>
      </x:c>
    </x:row>
    <x:row r="96" ht="72" customHeight="1">
      <x:c r="A96" s="64" t="str">
        <x:v>V5-R-Q010-C03</x:v>
      </x:c>
      <x:c r="B96" s="64" t="str">
        <x:v>V5-E-09868-C03</x:v>
      </x:c>
      <x:c r="C96" s="64" t="str">
        <x:v>V5-Q010</x:v>
      </x:c>
      <x:c r="D96" s="40" t="str">
        <x:v>小鹏汽车</x:v>
      </x:c>
      <x:c r="E96" s="64" t="str">
        <x:v>09868</x:v>
      </x:c>
      <x:c r="F96" s="87" t="n">
        <x:v>46260.75</x:v>
      </x:c>
      <x:c r="G96" s="51" t="str">
        <x:v>新平台与生产设施投入是否会延后自由现金流转正</x:v>
      </x:c>
      <x:c r="H96" s="64" t="str">
        <x:v>DOC-EVT-09868-00069</x:v>
      </x:c>
      <x:c r="I96" s="51" t="str">
        <x:v>小鹏汽车发布2024 年第三季度的未经审计财务业绩</x:v>
      </x:c>
      <x:c r="J96" s="87" t="n">
        <x:v>45615.71127314815</x:v>
      </x:c>
      <x:c r="K96" s="73" t="str">
        <x:v>http://static.cninfo.com.cn/finalpage/2024-11-19/1221776759.PDF</x:v>
      </x:c>
      <x:c r="L96" s="40" t="str">
        <x:v>第1页</x:v>
      </x:c>
      <x:c r="M96" s="51" t="str">
        <x:v>1 ڌ ዄ΂Оப ΂f XPeng Inc. ʮ̡ * ʮ̡ ΅˾໮j 9868 ʃᘄӛԓ೯б 2024ৌਕุᐶ ୋ 13.09ኽᗇՎʿಂ஬ૢԷ Էୋ 571௝ ୋXIVA௅Ͼ̊೯f h ɛ͏࿆ 101.0ᄣ̋ 24.5% h މ15.3%d௴ዝ̦อ৷d༰ 2023ϋΝಂɪʺ 18.0ϵʱᓃ ʕ਷ᄿψd2024ϋ11˜19˚ { ౽ঐཥਗӛԓ  ౽ঐཥਗӛԓ ʮ ̡XPeng Inc.ʃᘄӛԓ͉ʮ̡˾໮jXPEV˾໮j 9868 ʦ˂ʮбՉ࿚Ї 2024ϋ9˜30ৌਕุᐶf ࿚Ї2024ϋ9˜30ࠅ 2024ϋ ܓ֙ 2024ϋ ܓ֙ 2024ϋ ܓ֙ 2023ϋ ܓ֙ 2023ϋ ܓ֙ 2023ϋ ܓ֙ ᐼʹ˹ඎ 46,533 30,207 21,821 60,158 40,008 23,205 h 2024ܓ֙ӛԓᐼʹ˹ඎމ46,533ሿd༰2023ٙ40,008ሿᄣ̋ 16.3%f h ࿚Ї2024ϋ9˜30˚dྼ᜗ቖਯၣഖ ΍Ϟ639dᔧႊ 206̹f h ࿚Ї2024ϋ9˜30˚dʃᘄӛԓІᐄ̂ཥ१ၣഖ༺Ї 1,557ܼ654ʃᘄ S4൴Ҟ̂१f h 2024ܓ֙ᐼϗɝɛ͏࿆ 101.0ᄂ ʩ14.4ʩ d༰2023ϋΝಂɪʺ 18.4%d Ԩ༰2024ɪʺ 24.5%f</x:v>
      </x:c>
      <x:c r="N96" s="41" t="str">
        <x:v>2-间接相关</x:v>
      </x:c>
      <x:c r="O96" s="41" t="str">
        <x:v>是</x:v>
      </x:c>
      <x:c r="P96" s="57" t="str">
        <x:v>季度业绩披露经营、现金及盈利变化，能够支持“平台和产能投入、资本开支与自由现金流”的中间环节，但未完整量化最终影响。</x:v>
      </x:c>
      <x:c r="Q96" s="41" t="str">
        <x:v>B-CODEX-FIN-01</x:v>
      </x:c>
      <x:c r="R96" s="80" t="inlineStr">
        <x:is>
          <x:t>2026-08-28T03:00:25+08:00</x:t>
        </x:is>
      </x:c>
    </x:row>
    <x:row r="97" ht="72" customHeight="1">
      <x:c r="A97" s="64" t="str">
        <x:v>V5-R-Q010-C04</x:v>
      </x:c>
      <x:c r="B97" s="64" t="str">
        <x:v>V5-E-09868-C04</x:v>
      </x:c>
      <x:c r="C97" s="64" t="str">
        <x:v>V5-Q010</x:v>
      </x:c>
      <x:c r="D97" s="40" t="str">
        <x:v>小鹏汽车</x:v>
      </x:c>
      <x:c r="E97" s="64" t="str">
        <x:v>09868</x:v>
      </x:c>
      <x:c r="F97" s="87" t="n">
        <x:v>46260.75</x:v>
      </x:c>
      <x:c r="G97" s="51" t="str">
        <x:v>新平台与生产设施投入是否会延后自由现金流转正</x:v>
      </x:c>
      <x:c r="H97" s="64" t="str">
        <x:v>DOC-EVT-09868-00167</x:v>
      </x:c>
      <x:c r="I97" s="51" t="str">
        <x:v>股东周年大会通告</x:v>
      </x:c>
      <x:c r="J97" s="87" t="n">
        <x:v>46153.79320601852</x:v>
      </x:c>
      <x:c r="K97" s="73" t="str">
        <x:v>http://static.cninfo.com.cn/finalpage/2026-05-11/1225292355.PDF</x:v>
      </x:c>
      <x:c r="L97" s="40" t="str">
        <x:v>第4页</x:v>
      </x:c>
      <x:c r="M97" s="51" t="str">
        <x:v>39875 \ (XPeng Inc_AGM) Notice_AGM_Chi \ 07/05/2026 \ M08 / Size (210x297) — 4 — ೮া˚ ໨ԫึʊਗ਼ 2026ϋ5˜14࠽ٰࠦ0.00001ٙAאBᗳ౷ ೮া˚  ΅೮া˚͉ʮ̡AאBٰࢩ ึɪҳୃf Ϟ͉ʮ̡ AאBٰ ׵ڭ2026ϋ5˜14˚ɨʹ 4ࣛ30කਟ໊ ΅ཀ˒೮াஈ Ascentium (Cayman) Limitedމ4th Floor, Harbour Place, 103 South Church Street, P.O. Box 10240, Grand Cayman KY 1-1002, Cayman IslandsϞ͉ʮ̡ A޴׵ڭ Νಂග у2026ϋ5˜14˚ɨʹ 4ࣛ30΅ཀ 䅳༸ 16ፄʕː 17ᅽf ࿚Ї2026ϋ5˜14ග  ೮া˚Ϟɛν૧БԴՉ ᗫAͪf ඄ϋɽึ ٙAאBจd ඄ϋ ˸౬՟ AdԨЪ̈τર ۃ ᗫ Af ೯৔ཥɿඉ΁Ї gm@x-peng.cn ཫ΋೮াf ٙ ஝ආБf f ͪ̔ ٙAאB਷πৄ ٙڌA࿩ ఱ AאB਷ ϞɛϾԊ  ͪ̔ŊஷՌf։ৄҳ ͉ʮ̡ၣ१ ir.xiaopeng.com ၣ१ www.hkexnews.hk ቡf</x:v>
      </x:c>
      <x:c r="N97" s="41" t="str">
        <x:v>0-无关</x:v>
      </x:c>
      <x:c r="O97" s="41" t="str">
        <x:v>否</x:v>
      </x:c>
      <x:c r="P97" s="57" t="str">
        <x:v>《股东周年大会通告》主要涉及治理、股权、会议、分红或其他事项，未披露“平台和产能投入、资本开支与自由现金流”相关实质证据。</x:v>
      </x:c>
      <x:c r="Q97" s="41" t="str">
        <x:v>B-CODEX-FIN-01</x:v>
      </x:c>
      <x:c r="R97" s="80" t="inlineStr">
        <x:is>
          <x:t>2026-08-28T03:00:25+08:00</x:t>
        </x:is>
      </x:c>
    </x:row>
    <x:row r="98" ht="72" customHeight="1">
      <x:c r="A98" s="64" t="str">
        <x:v>V5-R-Q010-C06</x:v>
      </x:c>
      <x:c r="B98" s="64" t="str">
        <x:v>V5-E-09868-C06</x:v>
      </x:c>
      <x:c r="C98" s="64" t="str">
        <x:v>V5-Q010</x:v>
      </x:c>
      <x:c r="D98" s="40" t="str">
        <x:v>小鹏汽车</x:v>
      </x:c>
      <x:c r="E98" s="64" t="str">
        <x:v>09868</x:v>
      </x:c>
      <x:c r="F98" s="87" t="n">
        <x:v>46260.75</x:v>
      </x:c>
      <x:c r="G98" s="51" t="str">
        <x:v>新平台与生产设施投入是否会延后自由现金流转正</x:v>
      </x:c>
      <x:c r="H98" s="64" t="str">
        <x:v>DOC-EVT-09868-00036</x:v>
      </x:c>
      <x:c r="I98" s="51" t="str">
        <x:v>小鹏汽车发布2024年第一季度的未经审计财务业绩</x:v>
      </x:c>
      <x:c r="J98" s="87" t="n">
        <x:v>45433.73625</x:v>
      </x:c>
      <x:c r="K98" s="73" t="str">
        <x:v>http://static.cninfo.com.cn/finalpage/2024-05-21/1220119935.PDF</x:v>
      </x:c>
      <x:c r="L98" s="40" t="str">
        <x:v>第2页</x:v>
      </x:c>
      <x:c r="M98" s="51" t="str">
        <x:v>2 h 2024ܓ֙ᐼϗɝɛ͏࿆ 65.5ᄂ ʩ9.1ʩ d༰2023ϋΝಂɪʺ 62.3%dԨ ༰2023ࠥ49.8%f h 2024ܓ֙ӛԓቖਯϗɝɛ͏࿆ 55.4ᄂ ʩ7.7ʩ d༰2023 ϋΝಂɪʺ 57.8%dԨ༰2023ࠥ54.7%f h 2024ܓ֙ˣлଟމ12.9%༰ϾԊd 2023މ1.7%dϾ2023ܓ֙ މ6.2%f h 2024ܓ֙ӛԓˣлଟމ 5.5%༰ϾԊd 2023ࠋމ2.5%dϾ2023މܓ֙4.1%f h 2024ܓ֙ଋᑦฦɛ͏࿆ 13.7ᄂ ʩ1.9༰ϾԊd2023ɛ ͏࿆23.4ᄂʩdϾ 2023ɛ͏࿆ 13.5ᑚཇක˕e ϗू̮d 2024ϋ ܓ֙ଋᑦฦɛ͏࿆ 14.1ᄂ ʩ2.0༰ϾԊd2023ϋ ɛ͏࿆ 22.1ᄂʩdϾ 2023ɛ͏࿆ 17.7ᄂʩf h 2024ܓ֙ᏐЦଋᑦฦɛ͏࿆ 13.7ᄂ ʩ1.9޴ ༰ϾԊd 2023ɛ͏࿆ 23.4ᄂʩdϾ 2023ɛ͏࿆ 13.5ᄂʩfৰ˸ ٙ ϗू̮d 2024ܓ֙ᏐЦଋᑦฦ ɛ͏࿆ 14.1ᄂ ʩ2.0༰ϾԊd2023ɛ͏࿆ 22.1ᄂʩdϾ 2023ϋ ɛ͏࿆ 17.7ᄂʩf h 2024ܓ֙ਿ͉ʿᛅᑛଋᑦฦɛ͏࿆ 1.45ʩ0.20ʩ d Ͼ ਿ͉ʿᛅᑛଋᑦฦɛ͏࿆ 0.73ʩ0.10ڌ ٰAf h 2024ܓ֙ਿ͉ʿᛅᑛଋᑦฦɛ͏࿆ 1.49 ʩ0.21ʩ d Ͼਿ͉ʿᛅᑛଋᑦฦɛ͏࿆ 0.75ʩ 0.10ʩ f h ࿚Ї2024ϋ3˜31˚…</x:v>
      </x:c>
      <x:c r="N98" s="41" t="str">
        <x:v>2-间接相关</x:v>
      </x:c>
      <x:c r="O98" s="41" t="str">
        <x:v>是</x:v>
      </x:c>
      <x:c r="P98" s="57" t="str">
        <x:v>季度业绩披露亏损、研发开支和现金状况，能够支持“平台和产能投入、资本开支与自由现金流”的中间环节，但未完整量化最终影响。</x:v>
      </x:c>
      <x:c r="Q98" s="41" t="str">
        <x:v>B-CODEX-FIN-01</x:v>
      </x:c>
      <x:c r="R98" s="80" t="inlineStr">
        <x:is>
          <x:t>2026-08-28T03:00:25+08:00</x:t>
        </x:is>
      </x:c>
    </x:row>
    <x:row r="99" ht="72" customHeight="1">
      <x:c r="A99" s="64" t="str">
        <x:v>V5-R-Q010-C01</x:v>
      </x:c>
      <x:c r="B99" s="64" t="str">
        <x:v>V5-E-09868-C01</x:v>
      </x:c>
      <x:c r="C99" s="64" t="str">
        <x:v>V5-Q010</x:v>
      </x:c>
      <x:c r="D99" s="40" t="str">
        <x:v>小鹏汽车</x:v>
      </x:c>
      <x:c r="E99" s="64" t="str">
        <x:v>09868</x:v>
      </x:c>
      <x:c r="F99" s="87" t="n">
        <x:v>46260.75</x:v>
      </x:c>
      <x:c r="G99" s="51" t="str">
        <x:v>新平台与生产设施投入是否会延后自由现金流转正</x:v>
      </x:c>
      <x:c r="H99" s="64" t="str">
        <x:v>DOC-EVT-09868-00140</x:v>
      </x:c>
      <x:c r="I99" s="51" t="str">
        <x:v>董事名单与其角色及职能</x:v>
      </x:c>
      <x:c r="J99" s="87" t="n">
        <x:v>46023.7778587963</x:v>
      </x:c>
      <x:c r="K99" s="73" t="str">
        <x:v>http://static.cninfo.com.cn/finalpage/2026-01-01/1224915702.PDF</x:v>
      </x:c>
      <x:c r="L99" s="40" t="str">
        <x:v>第1页</x:v>
      </x:c>
      <x:c r="M99" s="51" t="str">
        <x:v>1 XPeng Inc. 小鵬汽車有限公司 * （於開曼群島註冊成立以不同投票權控制的有限公司） （股份代號：9868） 董事名單與其角色及職能 XPeng Inc（. 「本公司 」）董事會（「董事會 」）成員載列如下。 執行董事： 何小鵬（董事長兼首席執行官） 非執行董事： 符績勳 獨立非執行董事： 楊東皓 瞿 芳 張宏江 陳玉東</x:v>
      </x:c>
      <x:c r="N99" s="41" t="str">
        <x:v>0-无关</x:v>
      </x:c>
      <x:c r="O99" s="41" t="str">
        <x:v>否</x:v>
      </x:c>
      <x:c r="P99" s="57" t="str">
        <x:v>《董事名单与其角色及职能》主要涉及治理、股权、会议、分红或其他事项，未披露“平台和产能投入、资本开支与自由现金流”相关实质证据。</x:v>
      </x:c>
      <x:c r="Q99" s="41" t="str">
        <x:v>B-CODEX-FIN-01</x:v>
      </x:c>
      <x:c r="R99" s="80" t="inlineStr">
        <x:is>
          <x:t>2026-08-28T03:00:25+08:00</x:t>
        </x:is>
      </x:c>
    </x:row>
    <x:row r="100" ht="72" customHeight="1">
      <x:c r="A100" s="64" t="str">
        <x:v>V5-R-Q010-C05</x:v>
      </x:c>
      <x:c r="B100" s="64" t="str">
        <x:v>V5-E-09868-C05</x:v>
      </x:c>
      <x:c r="C100" s="64" t="str">
        <x:v>V5-Q010</x:v>
      </x:c>
      <x:c r="D100" s="40" t="str">
        <x:v>小鹏汽车</x:v>
      </x:c>
      <x:c r="E100" s="64" t="str">
        <x:v>09868</x:v>
      </x:c>
      <x:c r="F100" s="87" t="n">
        <x:v>46260.75</x:v>
      </x:c>
      <x:c r="G100" s="51" t="str">
        <x:v>新平台与生产设施投入是否会延后自由现金流转正</x:v>
      </x:c>
      <x:c r="H100" s="64" t="str">
        <x:v>DOC-EVT-09868-00076</x:v>
      </x:c>
      <x:c r="I100" s="51" t="str">
        <x:v>变更香港主要营业地点</x:v>
      </x:c>
      <x:c r="J100" s="87" t="n">
        <x:v>45667.71543981481</x:v>
      </x:c>
      <x:c r="K100" s="73" t="str">
        <x:v>http://static.cninfo.com.cn/finalpage/2025-01-10/1222297866.PDF</x:v>
      </x:c>
      <x:c r="L100" s="40" t="str">
        <x:v>第1页</x:v>
      </x:c>
      <x:c r="M100" s="51" t="str">
        <x:v>1 香港交易及結算所有限公司及香港聯合交易所有限公司對本公告之內容概不負責，對其準確性或完整性亦 不發表聲明，並明確表示概不會就本公告全部或任何部分內容而產生或因依賴該等內容而引致之任何損失 承擔任何責任。 變更香港主要營業地點 XPeng Inc. （「本公司」）之董事會（「董事會」）宣佈，自 2025年1月10日起， 本公司之香港主要營業地點之地址將變更為香港銅鑼灣希慎道33號利園一期19 樓1918室。 承董事會命 XPeng Inc. 董事長 何小鵬 香港，2025年1月10日（星期五） 於本公告日期，本公司董事會由執行董事何小鵬先生，非執行董事符績勳先生，以及獨立 非執行董事楊東皓先生、瞿芳女士及張宏江先生組成。 * 僅供識別</x:v>
      </x:c>
      <x:c r="N100" s="41" t="str">
        <x:v>0-无关</x:v>
      </x:c>
      <x:c r="O100" s="41" t="str">
        <x:v>否</x:v>
      </x:c>
      <x:c r="P100" s="57" t="str">
        <x:v>《变更香港主要营业地点》主要涉及治理、股权、会议、分红或其他事项，未披露“平台和产能投入、资本开支与自由现金流”相关实质证据。</x:v>
      </x:c>
      <x:c r="Q100" s="41" t="str">
        <x:v>B-CODEX-FIN-01</x:v>
      </x:c>
      <x:c r="R100" s="80" t="inlineStr">
        <x:is>
          <x:t>2026-08-28T03:00:25+08:00</x:t>
        </x:is>
      </x:c>
    </x:row>
    <x:row r="101" ht="72" customHeight="1">
      <x:c r="A101" s="64" t="str">
        <x:v>V5-R-Q010-C10</x:v>
      </x:c>
      <x:c r="B101" s="64" t="str">
        <x:v>V5-E-09868-C10</x:v>
      </x:c>
      <x:c r="C101" s="64" t="str">
        <x:v>V5-Q010</x:v>
      </x:c>
      <x:c r="D101" s="40" t="str">
        <x:v>小鹏汽车</x:v>
      </x:c>
      <x:c r="E101" s="64" t="str">
        <x:v>09868</x:v>
      </x:c>
      <x:c r="F101" s="87" t="n">
        <x:v>46260.75</x:v>
      </x:c>
      <x:c r="G101" s="51" t="str">
        <x:v>新平台与生产设施投入是否会延后自由现金流转正</x:v>
      </x:c>
      <x:c r="H101" s="64" t="str">
        <x:v>DOC-EVT-09868-00184</x:v>
      </x:c>
      <x:c r="I101" s="51" t="str">
        <x:v>截至二零二六年七月三十一日止之股份发行人的证券变动月报表</x:v>
      </x:c>
      <x:c r="J101" s="87" t="n">
        <x:v>46240.747569444444</x:v>
      </x:c>
      <x:c r="K101" s="73" t="str">
        <x:v>http://static.cninfo.com.cn/finalpage/2026-08-06/1225462014.PDF</x:v>
      </x:c>
      <x:c r="L101" s="40" t="str">
        <x:v>第6页</x:v>
      </x:c>
      <x:c r="M101" s="51" t="str">
        <x:v>FF301 ∉  ௹⃴ ٳٺܢܢ⦁ "෮ഈ൧ 䩏 ൞ ⊈ಊսὂ ೂഈ൧  䪌ૼܢ 䪌ૼỌն὜๙Ἶರ௹ ೂℳႨ ଢ % ଢ % ܢ֥ ଢ  ῌ Ẫ໊ ୍ᄅರ      ῌ Ẫ໊ ୍ᄅರ      ῌ Ẫ໊ ୍ᄅರ      ῌ Ẫ໊ ୍ᄅರ       ῌ Ẫ໊ ୍ᄅರ      ῌ Ẫ໊ ୍ᄅರ       ῌ Ẫ໊ ୍ᄅರ       ῌ Ẫ໊ ୍ᄅರ       ῌ Ẫ໊đѩႿ୍ᄅರứྛ Ẫ໊ ୍ᄅರ       ῌ Ẫ໊ ୍ᄅರ       ῌ Ẫ໊ ୍ᄅರ      ῌ Ẫ໊ ୍ᄅರ       ῌ Ẫ໊ ୍ᄅರ       ῌ Ẫ໊ ୍ᄅರ       ῌ Ẫ໊ ୍ᄅರ       ῌ Ẫ໊ ୍ᄅರ       ܋ކ ܢ Ẫ໊ၘᧄ୍…</x:v>
      </x:c>
      <x:c r="N101" s="41" t="str">
        <x:v>0-无关</x:v>
      </x:c>
      <x:c r="O101" s="41" t="str">
        <x:v>否</x:v>
      </x:c>
      <x:c r="P101" s="57" t="str">
        <x:v>《截至二零二六年七月三十一日止之股份发行人的证券变动月报表》主要涉及治理、股权、会议、分红或其他事项，未披露“平台和产能投入、资本开支与自由现金流”相关实质证据。</x:v>
      </x:c>
      <x:c r="Q101" s="41" t="str">
        <x:v>B-CODEX-FIN-01</x:v>
      </x:c>
      <x:c r="R101" s="80" t="inlineStr">
        <x:is>
          <x:t>2026-08-28T03:00:25+08:00</x:t>
        </x:is>
      </x:c>
    </x:row>
    <x:row r="102" ht="72" customHeight="1">
      <x:c r="A102" s="64" t="str">
        <x:v>V5-R-Q011-C05</x:v>
      </x:c>
      <x:c r="B102" s="64" t="str">
        <x:v>V5-E-002371-C05</x:v>
      </x:c>
      <x:c r="C102" s="64" t="str">
        <x:v>V5-Q011</x:v>
      </x:c>
      <x:c r="D102" s="40" t="str">
        <x:v>北方华创</x:v>
      </x:c>
      <x:c r="E102" s="64" t="str">
        <x:v>002371</x:v>
      </x:c>
      <x:c r="F102" s="87" t="n">
        <x:v>46260.75</x:v>
      </x:c>
      <x:c r="G102" s="51" t="str">
        <x:v>客户验收周期变化是否会造成订单向收入转化波动</x:v>
      </x:c>
      <x:c r="H102" s="64" t="str">
        <x:v>DOC-EVT-002371-00133</x:v>
      </x:c>
      <x:c r="I102" s="51" t="str">
        <x:v>关于控股股东拟发生变更暨国有股权无偿划转的后续进展公告</x:v>
      </x:c>
      <x:c r="J102" s="87" t="n">
        <x:v>45573</x:v>
      </x:c>
      <x:c r="K102" s="73" t="str">
        <x:v>http://static.cninfo.com.cn/finalpage/2024-10-08/1221330086.PDF</x:v>
      </x:c>
      <x:c r="L102" s="40" t="str">
        <x:v>第3页</x:v>
      </x:c>
      <x:c r="M102" s="51" t="str">
        <x:v>控股股东拟发生变更暨国有股权无偿划转的后续进展公告》（2024-059）。 二、 本次无偿划转进展情况 根据《上市公司收购管理办法》第五十五条的相关规定：“收购人在收购报 告书公告后 30 日内仍未完成相关股份过户手续的，应当立即作出公告，说明理 由；在未完成相关股份过户期间，应当每隔 30 日内公告相关股份过户办理进展 情况。” 截至目前，本次无偿划转股份尚未完成过户，公司于2024 年 9 月 30 日收到 收购方北京电控出具的《关于无偿划转北方华创科技集团股份有限公司股权事项 进展说明的通知》，无偿划转事宜尚在推进过程中。 三、 本次无偿划转后续事项及风险提示 1．本次无偿划转的实施不会导致公司实际控制人发生变化，公司实际控制 人仍为北京电控。 2．本次无偿划转事项不涉及要约收购。本次无偿划转事项尚需在中国证券 登记结算有限责任公司深圳分公司办理过户登记手续， 能否最终实施完成及实施 结果尚存在不确定性。 3．公司将持续关注本次无偿划转的进展情况，及时履行信息披露义务。敬 请广大投资者理性投资，注意投资风险。 特此公告。 北方华创科技集团股份有限公司 董事会 2024 年 10 月 1 日</x:v>
      </x:c>
      <x:c r="N102" s="41" t="str">
        <x:v>0-无关</x:v>
      </x:c>
      <x:c r="O102" s="41" t="str">
        <x:v>否</x:v>
      </x:c>
      <x:c r="P102" s="57" t="str">
        <x:v>《关于控股股东拟发生变更暨国有股权无偿划转的后续进展公告》主要涉及治理、股权、会议、分红或其他事项，未披露“客户验收周期与订单转收入节奏”相关实质证据。</x:v>
      </x:c>
      <x:c r="Q102" s="41" t="str">
        <x:v>B-CODEX-FIN-01</x:v>
      </x:c>
      <x:c r="R102" s="80" t="inlineStr">
        <x:is>
          <x:t>2026-08-28T03:00:25+08:00</x:t>
        </x:is>
      </x:c>
    </x:row>
    <x:row r="103" ht="72" customHeight="1">
      <x:c r="A103" s="64" t="str">
        <x:v>V5-R-Q011-C04</x:v>
      </x:c>
      <x:c r="B103" s="64" t="str">
        <x:v>V5-E-002371-C04</x:v>
      </x:c>
      <x:c r="C103" s="64" t="str">
        <x:v>V5-Q011</x:v>
      </x:c>
      <x:c r="D103" s="40" t="str">
        <x:v>北方华创</x:v>
      </x:c>
      <x:c r="E103" s="64" t="str">
        <x:v>002371</x:v>
      </x:c>
      <x:c r="F103" s="87" t="n">
        <x:v>46260.75</x:v>
      </x:c>
      <x:c r="G103" s="51" t="str">
        <x:v>客户验收周期变化是否会造成订单向收入转化波动</x:v>
      </x:c>
      <x:c r="H103" s="64" t="str">
        <x:v>DOC-EVT-002371-00231</x:v>
      </x:c>
      <x:c r="I103" s="51" t="str">
        <x:v>关于协议受让沈阳先进制造技术产业有限公司所持沈阳芯源微电子设备股份有限公司9.48%股份完成过户登记的公告</x:v>
      </x:c>
      <x:c r="J103" s="87" t="n">
        <x:v>45811</x:v>
      </x:c>
      <x:c r="K103" s="73" t="str">
        <x:v>http://static.cninfo.com.cn/finalpage/2025-06-03/1223732332.PDF</x:v>
      </x:c>
      <x:c r="L103" s="40" t="str">
        <x:v>第1页</x:v>
      </x:c>
      <x:c r="M103" s="51" t="str">
        <x:v>证券代码：002371 证券简称：北方华创 公告编号：2025-039 北方华创科技集团股份有限公司 关于协议受让沈阳先进制造技术产业有限公司所持 沈阳芯源微电子设备股份有限公司9.48%股份 完成过户登记的公告 本公司及董事会全体成员保证信息披露的内容真实、准确、完整，没有虚 假记载、误导性陈述或者重大遗漏。 北方华创科技集团股份有限公司（以下简称“公司”）于 2025 年 3 月 10 日召开第八届董事会第二十次会议，审议通过了《关于协议受让沈阳芯源微电子 设备股份有限公司部分股份的议案》。同日，公司与沈阳先进制造技术产业有限 公司（以下简称“先进制造”）签署了股份转让协议，公司协议受让先进制造持 有的 19,064,915 股沈阳芯源微电子设备股份有限公司（股票代码 688037，以下 简称“芯源微”）股份。具体内容详见公司于2025 年 3 月 11日在指定信息披露 媒体 《中国证券报》 《证券时报》 《上海证券报》 及巨潮资讯网 （www.cninfo.com.cn） 披露的《第八届董事会第二十次会议决议公告》和《关于协议受让沈阳芯源微电 子设备股份有限公司部分股份的公告》。 2025年 5 月 30 日，公司收到中国证券登记结算有限责任公司出具的《证券 过户登记确认书》，获悉本次协议受让芯源微股份已完成股份过户登记手续，本 次股份过户日期为 2025 年 5 月 29 日，股份过户数量为19,064,915 股。本次过户 完成后，公司持有芯源微 19,064,9…</x:v>
      </x:c>
      <x:c r="N103" s="41" t="str">
        <x:v>0-无关</x:v>
      </x:c>
      <x:c r="O103" s="41" t="str">
        <x:v>否</x:v>
      </x:c>
      <x:c r="P103" s="57" t="str">
        <x:v>《关于协议受让沈阳先进制造技术产业有限公司所持沈阳芯源微电子设备股份有限公司9.48%股份完成过户登记的公告》主要涉及治理、股权、会议、分红或其他事项，未披露“客户验收周期与订单转收入节奏”相关实质证据。</x:v>
      </x:c>
      <x:c r="Q103" s="41" t="str">
        <x:v>B-CODEX-FIN-01</x:v>
      </x:c>
      <x:c r="R103" s="80" t="inlineStr">
        <x:is>
          <x:t>2026-08-28T03:00:25+08:00</x:t>
        </x:is>
      </x:c>
    </x:row>
    <x:row r="104" ht="72" customHeight="1">
      <x:c r="A104" s="64" t="str">
        <x:v>V5-R-Q011-C07</x:v>
      </x:c>
      <x:c r="B104" s="64" t="str">
        <x:v>V5-E-002371-C07</x:v>
      </x:c>
      <x:c r="C104" s="64" t="str">
        <x:v>V5-Q011</x:v>
      </x:c>
      <x:c r="D104" s="40" t="str">
        <x:v>北方华创</x:v>
      </x:c>
      <x:c r="E104" s="64" t="str">
        <x:v>002371</x:v>
      </x:c>
      <x:c r="F104" s="87" t="n">
        <x:v>46260.75</x:v>
      </x:c>
      <x:c r="G104" s="51" t="str">
        <x:v>客户验收周期变化是否会造成订单向收入转化波动</x:v>
      </x:c>
      <x:c r="H104" s="64" t="str">
        <x:v>DOC-EVT-002371-00369</x:v>
      </x:c>
      <x:c r="I104" s="51" t="str">
        <x:v>2025年年度报告</x:v>
      </x:c>
      <x:c r="J104" s="87" t="n">
        <x:v>46130</x:v>
      </x:c>
      <x:c r="K104" s="73" t="str">
        <x:v>http://static.cninfo.com.cn/finalpage/2026-04-18/1225122918.PDF</x:v>
      </x:c>
      <x:c r="L104" s="40" t="str">
        <x:v>第43页</x:v>
      </x:c>
      <x:c r="M104" s="51" t="str">
        <x:v>北方华创科技集团股份有限公司 2025年年度报告全文 43 4．以价值观为引领，铸就质量与创新的品牌双翼 质量是品牌的生命线，创新是品牌的成长线。公司始终坚守三大核心价值观，并将其贯穿于研发、生产、营销、服 务的全链条之中。我们以“成就客户，以质取胜”为质量方针，以“让北方华创成为值得信赖的高质量代名词”为质量 目标，推动质量管控与技术创新双向驱动、深度融合：通过技术创新不断突破质量的性能上限，通过扎实的质量体系确 保创新成果的稳定与可靠。在国产化浪潮与全球产业变革中，公司致力于以过硬的产品与可信赖的品牌，持续赢得客户 选择，逐步迈向世界一流集成电路装备企业。 （三）可能面对的风险 1．市场竞争与盈利压力风险 国内半导体装备国产化进程提速，市场竞争从“进口替代”转向“国内同业较量”，成熟制程设备出现同质化竞争 迹象，可能引发价格战。为抢占市场份额，设备售价或面临下调压力，可能压缩毛利率；同时，公司为维持技术领先地 位，需持续加大研发投入，高位研发费用率进一步增加盈利压力。 为应对市场竞争风险，公司的对策包括：一是聚焦差异化竞争，集中资源攻坚中高端制程设备等细分领域，打造技 术壁垒，提升产品溢价能力。二是优化成本管控体系，通过规模化生产、供应链集中采购等方式降低生产成本，对冲售 价压力；合理规划研发投入结构，聚焦核心技术攻关，提高研发资金使用效率。三是深化客户绑定，依托成套设备解决 方案与全生命周期服务，提升客户粘性，优先锁定头部晶圆厂长期订单，同时拓展新兴应用场景，拓宽收入…</x:v>
      </x:c>
      <x:c r="N104" s="41" t="str">
        <x:v>3-直接相关</x:v>
      </x:c>
      <x:c r="O104" s="41" t="str">
        <x:v>是</x:v>
      </x:c>
      <x:c r="P104" s="57" t="str">
        <x:v>年报包含客户验收、收入确认及订单执行风险信息，直接覆盖“客户验收周期与订单转收入节奏”的关键变量，关系路径成立。</x:v>
      </x:c>
      <x:c r="Q104" s="41" t="str">
        <x:v>B-CODEX-FIN-01</x:v>
      </x:c>
      <x:c r="R104" s="80" t="inlineStr">
        <x:is>
          <x:t>2026-08-28T03:00:25+08:00</x:t>
        </x:is>
      </x:c>
    </x:row>
    <x:row r="105" ht="72" customHeight="1">
      <x:c r="A105" s="64" t="str">
        <x:v>V5-R-Q011-C08</x:v>
      </x:c>
      <x:c r="B105" s="64" t="str">
        <x:v>V5-E-002371-C08</x:v>
      </x:c>
      <x:c r="C105" s="64" t="str">
        <x:v>V5-Q011</x:v>
      </x:c>
      <x:c r="D105" s="40" t="str">
        <x:v>北方华创</x:v>
      </x:c>
      <x:c r="E105" s="64" t="str">
        <x:v>002371</x:v>
      </x:c>
      <x:c r="F105" s="87" t="n">
        <x:v>46260.75</x:v>
      </x:c>
      <x:c r="G105" s="51" t="str">
        <x:v>客户验收周期变化是否会造成订单向收入转化波动</x:v>
      </x:c>
      <x:c r="H105" s="64" t="str">
        <x:v>DOC-EVT-002371-00189</x:v>
      </x:c>
      <x:c r="I105" s="51" t="str">
        <x:v>2025年第一季度业绩预告</x:v>
      </x:c>
      <x:c r="J105" s="87" t="n">
        <x:v>45755.36935185185</x:v>
      </x:c>
      <x:c r="K105" s="73" t="str">
        <x:v>http://static.cninfo.com.cn/finalpage/2025-04-08/1223023085.pdf</x:v>
      </x:c>
      <x:c r="L105" s="40" t="str">
        <x:v>第1页</x:v>
      </x:c>
      <x:c r="M105" s="51" t="str">
        <x:v>证券代码：002371 证券简称：北方华创 公告编号：2025-021 北方华创科技集团股份有限公司 2025年第一季度业绩预告 本公司及董事会全体成员保证信息披露的内容真实、准确、完整，没有虚假记载、 误导性陈述或者重大遗漏。 一、本期业绩预计情况 1.业绩预告期间：2025年1月1日—2025年3月31日 2.预计的经营业绩：□扭亏为盈 √同向上升 □同向下降 项目 本报告期 上年同期 营业收入 734,000万元-898,000万元 595,056.84万元 比上年同期增长23.35%-50.91% 归属于上市公司 股东的净利润 142,000万元-174,000万元 113,881.78万元 比上年同期增长24.69%-52.79% 扣除非经常性损 益后的净利润 140,000万元-172,000万元 108,475.91万元 比上年同期增长29.06%-58.56% 基本每股收益 盈利：2.6602元/股-3.2597元/股 2.1476元/股 二、与会计师事务所沟通情况 本次业绩预告未经会计师事务所审计。 三、业绩变动原因说明 报告期内，公司集成电路装备领域电容耦合等离子体刻蚀设备（CCP）、原子层沉 积设备（ALD）、高端单片清洗机等多款新产品实现关键技术突破，工艺覆盖度显著增 长，同时多款成熟产品市场占有率稳步提升。凭借优良的产品、技术和服务优势，公 司市场份额持续扩大，营业收入同比提升。 报告期内，随着公司营收规模的持续扩大，规模效应逐渐显现，成本费用率稳…</x:v>
      </x:c>
      <x:c r="N105" s="41" t="str">
        <x:v>2-间接相关</x:v>
      </x:c>
      <x:c r="O105" s="41" t="str">
        <x:v>是</x:v>
      </x:c>
      <x:c r="P105" s="57" t="str">
        <x:v>业绩预告披露收入增长及订单向业绩转化结果，能够支持“客户验收周期与订单转收入节奏”的中间环节，但未完整量化最终影响。</x:v>
      </x:c>
      <x:c r="Q105" s="41" t="str">
        <x:v>B-CODEX-FIN-01</x:v>
      </x:c>
      <x:c r="R105" s="80" t="inlineStr">
        <x:is>
          <x:t>2026-08-28T03:00:25+08:00</x:t>
        </x:is>
      </x:c>
    </x:row>
    <x:row r="106" ht="72" customHeight="1">
      <x:c r="A106" s="64" t="str">
        <x:v>V5-R-Q011-C10</x:v>
      </x:c>
      <x:c r="B106" s="64" t="str">
        <x:v>V5-E-002371-C10</x:v>
      </x:c>
      <x:c r="C106" s="64" t="str">
        <x:v>V5-Q011</x:v>
      </x:c>
      <x:c r="D106" s="40" t="str">
        <x:v>北方华创</x:v>
      </x:c>
      <x:c r="E106" s="64" t="str">
        <x:v>002371</x:v>
      </x:c>
      <x:c r="F106" s="87" t="n">
        <x:v>46260.75</x:v>
      </x:c>
      <x:c r="G106" s="51" t="str">
        <x:v>客户验收周期变化是否会造成订单向收入转化波动</x:v>
      </x:c>
      <x:c r="H106" s="64" t="str">
        <x:v>DOC-EVT-002371-00416</x:v>
      </x:c>
      <x:c r="I106" s="51" t="str">
        <x:v>关于2026年员工持股计划开户完成的公告</x:v>
      </x:c>
      <x:c r="J106" s="87" t="n">
        <x:v>46240</x:v>
      </x:c>
      <x:c r="K106" s="73" t="str">
        <x:v>http://static.cninfo.com.cn/finalpage/2026-08-06/1225458992.PDF</x:v>
      </x:c>
      <x:c r="L106" s="40" t="str">
        <x:v>第1页</x:v>
      </x:c>
      <x:c r="M106" s="51" t="str">
        <x:v>证券代码：002371 证券简称：北方华创 公告编号：2026-045 北方华创科技集团股份有限公司 关于2026 年员工持股计划开户完成的公告 本公司及董事会全体成员保证信息披露的内容真实、准确、完整，没有虚 假记载、误导性陈述或者重大遗漏。 北方华创科技集团股份有限公司（以下简称“公司”）于 2025 年 12 月 8 日召开 2025 年第三次临时股东大会，审议通过了《关于&lt;北方华创科技集团股份 有限公司 2025-2027 年员工持股计划（草案）&gt;及其摘要的议案》《关于&lt;北方华 创科技集团股份有限公司 2025-2027 年员工持股计划管理办法&gt;的议案》，公司 股东会授权董事会设立并实施每期员工持股计划。具体内容详见公司于 2025 年 12 月 9 日在《证券时报》《中国证券报》《上海证券报》及巨潮资讯网 （www.cninfo.com.cn）上披露的相关公告。 公司于 2026 年 7 月 21 日召开第九届董事会第四次会议，审议通过了《关于 &lt;北方华创科技集团股份有限公司 2026 年员工持股计划（草案）&gt;及其摘要的议 案》。具体内容详见公司于 2026 年 7 月 22 日在《证券时报》《中国证券报》《上 海证券报》及巨潮资讯网（www.cninfo.com.cn）上披露的相关公告。 根据中国证监会《关于上市公司实施员工持股计划试点的指导意见》及深圳 证券交易所《深圳证券交易所上市公司自律监管指引第 1 号——主板上市公司规 范运作》等相关规定，现将公司 2…</x:v>
      </x:c>
      <x:c r="N106" s="41" t="str">
        <x:v>0-无关</x:v>
      </x:c>
      <x:c r="O106" s="41" t="str">
        <x:v>否</x:v>
      </x:c>
      <x:c r="P106" s="57" t="str">
        <x:v>《关于2026年员工持股计划开户完成的公告》主要涉及治理、股权、会议、分红或其他事项，未披露“客户验收周期与订单转收入节奏”相关实质证据。</x:v>
      </x:c>
      <x:c r="Q106" s="41" t="str">
        <x:v>B-CODEX-FIN-01</x:v>
      </x:c>
      <x:c r="R106" s="80" t="inlineStr">
        <x:is>
          <x:t>2026-08-28T03:00:25+08:00</x:t>
        </x:is>
      </x:c>
    </x:row>
    <x:row r="107" ht="72" customHeight="1">
      <x:c r="A107" s="64" t="str">
        <x:v>V5-R-Q011-C02</x:v>
      </x:c>
      <x:c r="B107" s="64" t="str">
        <x:v>V5-E-002371-C02</x:v>
      </x:c>
      <x:c r="C107" s="64" t="str">
        <x:v>V5-Q011</x:v>
      </x:c>
      <x:c r="D107" s="40" t="str">
        <x:v>北方华创</x:v>
      </x:c>
      <x:c r="E107" s="64" t="str">
        <x:v>002371</x:v>
      </x:c>
      <x:c r="F107" s="87" t="n">
        <x:v>46260.75</x:v>
      </x:c>
      <x:c r="G107" s="51" t="str">
        <x:v>客户验收周期变化是否会造成订单向收入转化波动</x:v>
      </x:c>
      <x:c r="H107" s="64" t="str">
        <x:v>DOC-EVT-002371-00233</x:v>
      </x:c>
      <x:c r="I107" s="51" t="str">
        <x:v>关于协议受让沈阳中科天盛自动化技术有限公司所持沈阳芯源微电子设备股份有限公司8.40%股份完成过户登记暨取得控制权的公告</x:v>
      </x:c>
      <x:c r="J107" s="87" t="n">
        <x:v>45833</x:v>
      </x:c>
      <x:c r="K107" s="73" t="str">
        <x:v>http://static.cninfo.com.cn/finalpage/2025-06-25/1223974415.PDF</x:v>
      </x:c>
      <x:c r="L107" s="40" t="str">
        <x:v>第1页</x:v>
      </x:c>
      <x:c r="M107" s="51" t="str">
        <x:v>证券代码：002371 证券简称：北方华创 公告编号：2025-040 北方华创科技集团股份有限公司 关于协议受让沈阳中科天盛自动化技术有限公司所持 沈阳芯源微电子设备股份有限公司8.40%股份完成过户登记 暨取得控制权的公告 本公司及董事会全体成员保证信息披露的内容真实、准确、完整，没有虚假 记载、误导性陈述或者重大遗漏。 一、交易概述 北方华创科技集团股份有限公司（以下简称“公司”）于2025 年 3 月 10 日 召开第八届董事会第二十次会议，审议通过了《关于协议受让沈阳芯源微电子设 备股份有限公司部分股份的议案》。同日，公司与沈阳先进制造技术产业有限公 司（以下简称“先进制造”）签署了股份转让协议，公司协议受让先进制造持有 的 19,064,915 股沈阳芯源微电子设备股份有限公司（股票代码 688037，以下简 称“芯源微”）股份。公司于 2025 年 3 月 20 日召开第八届董事会第二十二次会 议，审议通过了《关于参与沈阳芯源微电子设备股份有限公司股份公开挂牌竞买 的议案》。2025 年 3 月 31 日，公司与沈阳中科天盛自动化技术有限公司（以下 简称“中科天盛”）签署了股份转让协议，公司 协议受让中科天盛持有的 16,899,750股芯源微股份。具体内容详见公司于2025 年 3 月 11日、3 月 21 日及 4 月1 日在指定信息披露媒体《中国证券报》《证券时报》《上海证券报》及巨 潮资讯网（www.cninfo.com.cn）披露的《第八届董事会第二…</x:v>
      </x:c>
      <x:c r="N107" s="41" t="str">
        <x:v>0-无关</x:v>
      </x:c>
      <x:c r="O107" s="41" t="str">
        <x:v>否</x:v>
      </x:c>
      <x:c r="P107" s="57" t="str">
        <x:v>《关于协议受让沈阳中科天盛自动化技术有限公司所持沈阳芯源微电子设备股份有限公司8.40%股份完成过户登记暨取得控制权的公告》主要涉及治理、股权、会议、分红或其他事项，未披露“客户验收周期与订单转收入节奏”相关实质证据。</x:v>
      </x:c>
      <x:c r="Q107" s="41" t="str">
        <x:v>B-CODEX-FIN-01</x:v>
      </x:c>
      <x:c r="R107" s="80" t="inlineStr">
        <x:is>
          <x:t>2026-08-28T03:00:25+08:00</x:t>
        </x:is>
      </x:c>
    </x:row>
    <x:row r="108" ht="72" customHeight="1">
      <x:c r="A108" s="64" t="str">
        <x:v>V5-R-Q011-C06</x:v>
      </x:c>
      <x:c r="B108" s="64" t="str">
        <x:v>V5-E-002371-C06</x:v>
      </x:c>
      <x:c r="C108" s="64" t="str">
        <x:v>V5-Q011</x:v>
      </x:c>
      <x:c r="D108" s="40" t="str">
        <x:v>北方华创</x:v>
      </x:c>
      <x:c r="E108" s="64" t="str">
        <x:v>002371</x:v>
      </x:c>
      <x:c r="F108" s="87" t="n">
        <x:v>46260.75</x:v>
      </x:c>
      <x:c r="G108" s="51" t="str">
        <x:v>客户验收周期变化是否会造成订单向收入转化波动</x:v>
      </x:c>
      <x:c r="H108" s="64" t="str">
        <x:v>DOC-EVT-002371-00331</x:v>
      </x:c>
      <x:c r="I108" s="51" t="str">
        <x:v>关于实际控制人协议转让股份的进展公告</x:v>
      </x:c>
      <x:c r="J108" s="87" t="n">
        <x:v>46029</x:v>
      </x:c>
      <x:c r="K108" s="73" t="str">
        <x:v>http://static.cninfo.com.cn/finalpage/2026-01-07/1224921433.PDF</x:v>
      </x:c>
      <x:c r="L108" s="40" t="str">
        <x:v>第1页</x:v>
      </x:c>
      <x:c r="M108" s="51" t="str">
        <x:v>证券代码：002371 证券简称：北方华创 公告编号：2026-001 北方华创科技集团股份有限公司 关于实际控制人协议转让股份的进展公告 本公司及董事会全体成员保证信息披露的内容真实、准确、完整，没有虚 假记载、误导性陈述或者重大遗漏。 一、本次转让的基本情况 2025 年 12 月 15 日，北方华创科技集团股份有限公司（以下简称“公司”） 实际控制人北京电子控股有限责任公司（以下简称“北京电控”）与国新投资有 限公司（以下简称“国新投资”）签署了《北京电子控股有限责任公司与国新投 资有限公司关于北方华创科技集团股份有限公司之股份转让协议》（以下简称 “《股份转让协议》”），北京电控拟通过非公开协议转让方式向国新投资转让 持有的公司 14,481,773 股无限售流通普通股股份，占公司总股本的 2.00%，每股 转让价格为人民币 426.39 元，股份转让总价款为 6,174,883,189.47 元。国新投资 是国务院国资委监管的中央企业——中国国新控股有限责任公司（以下简称“中 国国新”）开展国有资本运营的专业化、市场化股权运作平台，本次转让旨在加 强北京电控与国新投资战略合作，充分发挥双方资源优势，助力构建“资本合作 带动产业赋能”的合作模式，更好服务国家集成电路产业发展，不会导致公司实 际控制人变更。基于对公司未来发展前景的信心和长期投资价值的认可，国新投 资承诺在本次股份转让过户完成之日起 12 个月内不转让所受让的公司股份。具 体内容详见公司于2025 年1…</x:v>
      </x:c>
      <x:c r="N108" s="41" t="str">
        <x:v>0-无关</x:v>
      </x:c>
      <x:c r="O108" s="41" t="str">
        <x:v>否</x:v>
      </x:c>
      <x:c r="P108" s="57" t="str">
        <x:v>《关于实际控制人协议转让股份的进展公告》主要涉及治理、股权、会议、分红或其他事项，未披露“客户验收周期与订单转收入节奏”相关实质证据。</x:v>
      </x:c>
      <x:c r="Q108" s="41" t="str">
        <x:v>B-CODEX-FIN-01</x:v>
      </x:c>
      <x:c r="R108" s="80" t="inlineStr">
        <x:is>
          <x:t>2026-08-28T03:00:25+08:00</x:t>
        </x:is>
      </x:c>
    </x:row>
    <x:row r="109" ht="72" customHeight="1">
      <x:c r="A109" s="64" t="str">
        <x:v>V5-R-Q011-C01</x:v>
      </x:c>
      <x:c r="B109" s="64" t="str">
        <x:v>V5-E-002371-C01</x:v>
      </x:c>
      <x:c r="C109" s="64" t="str">
        <x:v>V5-Q011</x:v>
      </x:c>
      <x:c r="D109" s="40" t="str">
        <x:v>北方华创</x:v>
      </x:c>
      <x:c r="E109" s="64" t="str">
        <x:v>002371</x:v>
      </x:c>
      <x:c r="F109" s="87" t="n">
        <x:v>46260.75</x:v>
      </x:c>
      <x:c r="G109" s="51" t="str">
        <x:v>客户验收周期变化是否会造成订单向收入转化波动</x:v>
      </x:c>
      <x:c r="H109" s="64" t="str">
        <x:v>DOC-EVT-002371-00257</x:v>
      </x:c>
      <x:c r="I109" s="51" t="str">
        <x:v>简式权益变动报告书</x:v>
      </x:c>
      <x:c r="J109" s="87" t="n">
        <x:v>45917</x:v>
      </x:c>
      <x:c r="K109" s="73" t="str">
        <x:v>http://static.cninfo.com.cn/finalpage/2025-09-17/1224664908.PDF</x:v>
      </x:c>
      <x:c r="L109" s="40" t="str">
        <x:v>第16页</x:v>
      </x:c>
      <x:c r="M109" s="51" t="str">
        <x:v>北方华创科技集团股份有限公司简式权益变动报告书 16 附表：简式权益变动报告书 基本情况 上市公司名称 北方华创科技集团股 份有限公司 上市公司所 在地 北京市朝阳区酒仙桥东 路1 号 股票简称 北方华创 股票代码 002371 信息披露义务人名称 国家集成电路产业投 资基金股份有限公司 信息披露义 务人注册地 北京市北京经济技术开 发区景园北街2 号52 幢 7 层718 室 拥有权益的股份数量 变化 增加  减少  不变，但持股人发生 变化 □ 有无一致行 动人 有 □ 无  信息披露义务人是否 为上市公司第一大股 东 是 □ 否  信息披露义 务人是否为 上市公司实 际控制人 是 □ 否  权益变动方式（可多 选） 通过证券交易所的集中交易  协议转让  国有股行政划转或变更 □ 间接方式转让 □ 取得上市公司发行的新股 □ 执行法院裁定 □ 继承 □ 赠与 □ 其他  (受上市公司实施股权激励计划影响，持股比例被动 稀释) 信息披露义务人披露 前拥有权益的股份数 量及占上市公司已发 行股份比例 股票种类：A 股普通股股票 持股数量：38,795,795 股（因实施2024 年度权益分派，国家集 成电路基金持股数量由28,737,626 股增加至38,795,795 股） 持股比例：5.420722% 本次权益变动后，信 息披露义务人拥有权 益的股份数量及变动 比例 股票种类：A 股普通股股票 持股数量：36,203,942 股 持股比例：4.9999…</x:v>
      </x:c>
      <x:c r="N109" s="41" t="str">
        <x:v>0-无关</x:v>
      </x:c>
      <x:c r="O109" s="41" t="str">
        <x:v>否</x:v>
      </x:c>
      <x:c r="P109" s="57" t="str">
        <x:v>《简式权益变动报告书》主要涉及治理、股权、会议、分红或其他事项，未披露“客户验收周期与订单转收入节奏”相关实质证据。</x:v>
      </x:c>
      <x:c r="Q109" s="41" t="str">
        <x:v>B-CODEX-FIN-01</x:v>
      </x:c>
      <x:c r="R109" s="80" t="inlineStr">
        <x:is>
          <x:t>2026-08-28T03:00:25+08:00</x:t>
        </x:is>
      </x:c>
    </x:row>
    <x:row r="110" ht="72" customHeight="1">
      <x:c r="A110" s="64" t="str">
        <x:v>V5-R-Q011-C03</x:v>
      </x:c>
      <x:c r="B110" s="64" t="str">
        <x:v>V5-E-002371-C03</x:v>
      </x:c>
      <x:c r="C110" s="64" t="str">
        <x:v>V5-Q011</x:v>
      </x:c>
      <x:c r="D110" s="40" t="str">
        <x:v>北方华创</x:v>
      </x:c>
      <x:c r="E110" s="64" t="str">
        <x:v>002371</x:v>
      </x:c>
      <x:c r="F110" s="87" t="n">
        <x:v>46260.75</x:v>
      </x:c>
      <x:c r="G110" s="51" t="str">
        <x:v>客户验收周期变化是否会造成订单向收入转化波动</x:v>
      </x:c>
      <x:c r="H110" s="64" t="str">
        <x:v>DOC-EVT-002371-00386</x:v>
      </x:c>
      <x:c r="I110" s="51" t="str">
        <x:v>2026年一季度报告</x:v>
      </x:c>
      <x:c r="J110" s="87" t="n">
        <x:v>46142</x:v>
      </x:c>
      <x:c r="K110" s="73" t="str">
        <x:v>http://static.cninfo.com.cn/finalpage/2026-04-30/1225259650.PDF</x:v>
      </x:c>
      <x:c r="L110" s="40" t="str">
        <x:v>第1页</x:v>
      </x:c>
      <x:c r="M110" s="51" t="str">
        <x:v>北方华创科技集团股份有限公司 2026年第一季度报告 1 证券代码：002371 证券简称：北方华创 公告编号：2026-024 北方华创科技集团股份有限公司 2026 年第一季度报告 本公司及董事会全体成员保证信息披露的内容真实、准确、完整，没有虚假记载、误 导性陈述或者重大遗漏。 重要内容提示： 1.董事会及董事、高级管理人员保证季度报告的真实、准确、完整，不存在虚假记载、误导性陈述或重大遗漏，并承担 个别和连带的法律责任。 2.公司负责人、主管会计工作负责人及会计机构负责人（会计主管人员）声明：保证季度报告中财务信息的真实、准确、 完整。 3.第一季度财务会计报告是否经审计 □是 否 一、主要财务数据 （一） 主要会计数据和财务指标 公司是否需追溯调整或重述以前年度会计数据 □是 否 本报告期 上年同期 本报告期比上年同期增减 （%） 营业收入（元） 10,322,863,908.82 8,206,029,208.83 25.80% 归属于上市公司股东的净利 润（元） 1,634,739,048.68 1,580,707,286.38 3.42% 归属于上市公司股东的扣除 非经常性损益的净利润 （元） 1,626,678,172.85 1,570,173,959.13 3.60% 经营活动产生的现金流量净 额（元） 748,055,666.52 -1,728,688,646.61 143.27% 基本每股收益（元/股） 2.2556 2.1935 2.83% 稀释…</x:v>
      </x:c>
      <x:c r="N110" s="41" t="str">
        <x:v>2-间接相关</x:v>
      </x:c>
      <x:c r="O110" s="41" t="str">
        <x:v>是</x:v>
      </x:c>
      <x:c r="P110" s="57" t="str">
        <x:v>一季报披露收入、资产负债和经营现金流，能够支持“客户验收周期与订单转收入节奏”的中间环节，但未完整量化最终影响。</x:v>
      </x:c>
      <x:c r="Q110" s="41" t="str">
        <x:v>B-CODEX-FIN-01</x:v>
      </x:c>
      <x:c r="R110" s="80" t="inlineStr">
        <x:is>
          <x:t>2026-08-28T03:00:25+08:00</x:t>
        </x:is>
      </x:c>
    </x:row>
    <x:row r="111" ht="72" customHeight="1">
      <x:c r="A111" s="64" t="str">
        <x:v>V5-R-Q011-C09</x:v>
      </x:c>
      <x:c r="B111" s="64" t="str">
        <x:v>V5-E-002371-C09</x:v>
      </x:c>
      <x:c r="C111" s="64" t="str">
        <x:v>V5-Q011</x:v>
      </x:c>
      <x:c r="D111" s="40" t="str">
        <x:v>北方华创</x:v>
      </x:c>
      <x:c r="E111" s="64" t="str">
        <x:v>002371</x:v>
      </x:c>
      <x:c r="F111" s="87" t="n">
        <x:v>46260.75</x:v>
      </x:c>
      <x:c r="G111" s="51" t="str">
        <x:v>客户验收周期变化是否会造成订单向收入转化波动</x:v>
      </x:c>
      <x:c r="H111" s="64" t="str">
        <x:v>DOC-EVT-002371-00128</x:v>
      </x:c>
      <x:c r="I111" s="51" t="str">
        <x:v>关于控股股东拟发生变更暨国有股权无偿划转的后续进展公告</x:v>
      </x:c>
      <x:c r="J111" s="87" t="n">
        <x:v>45540</x:v>
      </x:c>
      <x:c r="K111" s="73" t="str">
        <x:v>http://static.cninfo.com.cn/finalpage/2024-09-05/1221138479.PDF</x:v>
      </x:c>
      <x:c r="L111" s="40" t="str">
        <x:v>第1页</x:v>
      </x:c>
      <x:c r="M111" s="51" t="str">
        <x:v>证券代码：002371 证券简称：北方华创 公告编号：2024-059 北方华创科技集团股份有限公司 关于控股股东拟发生变更暨国有股权无偿划转的 后续进展公告 本公司及董事会全体成员保证信息披露的内容真实、准确、完整，没有虚 假记载、误导性陈述或者重大遗漏。 一、 本次无偿划转基本情况 北方华创科技集团股份有限公司（以下简称“公司”或“北方华创”）于2023 年11月16 日收到公司实际控制人北京电子控股有限责任公司（以下简称“北京 电控”）出具的《关于无偿划转北方华创科技集团股份有限公司股权事项的通知》 ， 拟将北京七星华电科技集团有限责任公司（以下简称“七星集团”）持有的北方 华创33.61%的股权（对应 178,175,721 股）无偿划转至北京电控。本次无偿划转 完成后，北京电控将成为公司的控股股东，七星集团不再持有公司股份，公司的 实际控制人仍为北京电控。具体详见公司于 2023 年 11月 17 日披露的《关于控 股股东拟发生变更暨国有股权无偿划转的提示性公告》 （2023-057）。 2024 年 1 月 10 日，公司收到北京电控出具的《关于无偿划转北方华创科技 集团股份有限公司股权事项进展的通知》，北京电控与七星集团签署了《北京七 星华电科技集团有限责任公司与北京电子控股有限责任公司关于北方华创科技 集团股份有限公司全部股权的无偿划转协议》。具体详见公司于 2024 年 1 月 11 日披露的《关于控股股东拟发生变更暨国有股权无偿划转的进展公告 》（202…</x:v>
      </x:c>
      <x:c r="N111" s="41" t="str">
        <x:v>0-无关</x:v>
      </x:c>
      <x:c r="O111" s="41" t="str">
        <x:v>否</x:v>
      </x:c>
      <x:c r="P111" s="57" t="str">
        <x:v>《关于控股股东拟发生变更暨国有股权无偿划转的后续进展公告》主要涉及治理、股权、会议、分红或其他事项，未披露“客户验收周期与订单转收入节奏”相关实质证据。</x:v>
      </x:c>
      <x:c r="Q111" s="41" t="str">
        <x:v>B-CODEX-FIN-01</x:v>
      </x:c>
      <x:c r="R111" s="80" t="inlineStr">
        <x:is>
          <x:t>2026-08-28T03:00:25+08:00</x:t>
        </x:is>
      </x:c>
    </x:row>
    <x:row r="112" ht="72" customHeight="1">
      <x:c r="A112" s="64" t="str">
        <x:v>V5-R-Q012-C03</x:v>
      </x:c>
      <x:c r="B112" s="64" t="str">
        <x:v>V5-E-002371-C03</x:v>
      </x:c>
      <x:c r="C112" s="64" t="str">
        <x:v>V5-Q012</x:v>
      </x:c>
      <x:c r="D112" s="40" t="str">
        <x:v>北方华创</x:v>
      </x:c>
      <x:c r="E112" s="64" t="str">
        <x:v>002371</x:v>
      </x:c>
      <x:c r="F112" s="87" t="n">
        <x:v>46260.75</x:v>
      </x:c>
      <x:c r="G112" s="51" t="str">
        <x:v>先进制程设备研发能否扩大高价值产品收入占比</x:v>
      </x:c>
      <x:c r="H112" s="64" t="str">
        <x:v>DOC-EVT-002371-00386</x:v>
      </x:c>
      <x:c r="I112" s="51" t="str">
        <x:v>2026年一季度报告</x:v>
      </x:c>
      <x:c r="J112" s="87" t="n">
        <x:v>46142</x:v>
      </x:c>
      <x:c r="K112" s="73" t="str">
        <x:v>http://static.cninfo.com.cn/finalpage/2026-04-30/1225259650.PDF</x:v>
      </x:c>
      <x:c r="L112" s="40" t="str">
        <x:v>第7页</x:v>
      </x:c>
      <x:c r="M112" s="51" t="str">
        <x:v>北方华创科技集团股份有限公司 2026年第一季度报告 7 保单红利支出 分保费用 税金及附加 60,127,753.54 47,972,562.38 销售费用 420,590,286.16 294,671,758.72 管理费用 772,644,997.79 473,564,028.52 研发费用 1,402,436,311.27 1,026,367,769.50 财务费用 70,874,255.93 43,269,184.91 其中：利息费用 92,475,506.26 40,390,815.50 利息收入 18,301,912.23 28,721,037.93 加：其他收益 376,941,641.24 214,933,647.31 投资收益（损失以“－”号填 列） -22,863,003.25 1,012,916.22 其中：对联营企业和合营 企业的投资收益 1,125,931.50 1,012,876.22 以摊余成本计量的 金融资产终止确认收益 -25,148,317.45 汇兑收益（损失以“-”号填 列） 净敞口套期收益（损失以 “－”号填列） 公允价值变动收益（损失以 “－”号填列） -2,446,492.62 信用减值损失（损失以“-”号 填列） -56,422,656.75 -51,016,139.01 资产减值损失（损失以“-”号 填列） 17,024,467.36 -3,751,365.18 资产处置收益（损失以“-”号 填列） 429,353.48…</x:v>
      </x:c>
      <x:c r="N112" s="41" t="str">
        <x:v>2-间接相关</x:v>
      </x:c>
      <x:c r="O112" s="41" t="str">
        <x:v>是</x:v>
      </x:c>
      <x:c r="P112" s="57" t="str">
        <x:v>一季报披露研发费用显著增长，能够支持“先进制程设备研发与高价值产品收入占比”的中间环节，但未完整量化最终影响。</x:v>
      </x:c>
      <x:c r="Q112" s="41" t="str">
        <x:v>B-CODEX-FIN-01</x:v>
      </x:c>
      <x:c r="R112" s="80" t="inlineStr">
        <x:is>
          <x:t>2026-08-28T03:00:25+08:00</x:t>
        </x:is>
      </x:c>
    </x:row>
    <x:row r="113" ht="72" customHeight="1">
      <x:c r="A113" s="64" t="str">
        <x:v>V5-R-Q012-C09</x:v>
      </x:c>
      <x:c r="B113" s="64" t="str">
        <x:v>V5-E-002371-C09</x:v>
      </x:c>
      <x:c r="C113" s="64" t="str">
        <x:v>V5-Q012</x:v>
      </x:c>
      <x:c r="D113" s="40" t="str">
        <x:v>北方华创</x:v>
      </x:c>
      <x:c r="E113" s="64" t="str">
        <x:v>002371</x:v>
      </x:c>
      <x:c r="F113" s="87" t="n">
        <x:v>46260.75</x:v>
      </x:c>
      <x:c r="G113" s="51" t="str">
        <x:v>先进制程设备研发能否扩大高价值产品收入占比</x:v>
      </x:c>
      <x:c r="H113" s="64" t="str">
        <x:v>DOC-EVT-002371-00128</x:v>
      </x:c>
      <x:c r="I113" s="51" t="str">
        <x:v>关于控股股东拟发生变更暨国有股权无偿划转的后续进展公告</x:v>
      </x:c>
      <x:c r="J113" s="87" t="n">
        <x:v>45540</x:v>
      </x:c>
      <x:c r="K113" s="73" t="str">
        <x:v>http://static.cninfo.com.cn/finalpage/2024-09-05/1221138479.PDF</x:v>
      </x:c>
      <x:c r="L113" s="40" t="str">
        <x:v>第1页</x:v>
      </x:c>
      <x:c r="M113" s="51" t="str">
        <x:v>证券代码：002371 证券简称：北方华创 公告编号：2024-059 北方华创科技集团股份有限公司 关于控股股东拟发生变更暨国有股权无偿划转的 后续进展公告 本公司及董事会全体成员保证信息披露的内容真实、准确、完整，没有虚 假记载、误导性陈述或者重大遗漏。 一、 本次无偿划转基本情况 北方华创科技集团股份有限公司（以下简称“公司”或“北方华创”）于2023 年11月16 日收到公司实际控制人北京电子控股有限责任公司（以下简称“北京 电控”）出具的《关于无偿划转北方华创科技集团股份有限公司股权事项的通知》 ， 拟将北京七星华电科技集团有限责任公司（以下简称“七星集团”）持有的北方 华创33.61%的股权（对应 178,175,721 股）无偿划转至北京电控。本次无偿划转 完成后，北京电控将成为公司的控股股东，七星集团不再持有公司股份，公司的 实际控制人仍为北京电控。具体详见公司于 2023 年 11月 17 日披露的《关于控 股股东拟发生变更暨国有股权无偿划转的提示性公告》 （2023-057）。 2024 年 1 月 10 日，公司收到北京电控出具的《关于无偿划转北方华创科技 集团股份有限公司股权事项进展的通知》，北京电控与七星集团签署了《北京七 星华电科技集团有限责任公司与北京电子控股有限责任公司关于北方华创科技 集团股份有限公司全部股权的无偿划转协议》。具体详见公司于 2024 年 1 月 11 日披露的《关于控股股东拟发生变更暨国有股权无偿划转的进展公告 》（202…</x:v>
      </x:c>
      <x:c r="N113" s="41" t="str">
        <x:v>0-无关</x:v>
      </x:c>
      <x:c r="O113" s="41" t="str">
        <x:v>否</x:v>
      </x:c>
      <x:c r="P113" s="57" t="str">
        <x:v>《关于控股股东拟发生变更暨国有股权无偿划转的后续进展公告》主要涉及治理、股权、会议、分红或其他事项，未披露“先进制程设备研发与高价值产品收入占比”相关实质证据。</x:v>
      </x:c>
      <x:c r="Q113" s="41" t="str">
        <x:v>B-CODEX-FIN-01</x:v>
      </x:c>
      <x:c r="R113" s="80" t="inlineStr">
        <x:is>
          <x:t>2026-08-28T03:00:25+08:00</x:t>
        </x:is>
      </x:c>
    </x:row>
    <x:row r="114" ht="72" customHeight="1">
      <x:c r="A114" s="64" t="str">
        <x:v>V5-R-Q012-C06</x:v>
      </x:c>
      <x:c r="B114" s="64" t="str">
        <x:v>V5-E-002371-C06</x:v>
      </x:c>
      <x:c r="C114" s="64" t="str">
        <x:v>V5-Q012</x:v>
      </x:c>
      <x:c r="D114" s="40" t="str">
        <x:v>北方华创</x:v>
      </x:c>
      <x:c r="E114" s="64" t="str">
        <x:v>002371</x:v>
      </x:c>
      <x:c r="F114" s="87" t="n">
        <x:v>46260.75</x:v>
      </x:c>
      <x:c r="G114" s="51" t="str">
        <x:v>先进制程设备研发能否扩大高价值产品收入占比</x:v>
      </x:c>
      <x:c r="H114" s="64" t="str">
        <x:v>DOC-EVT-002371-00331</x:v>
      </x:c>
      <x:c r="I114" s="51" t="str">
        <x:v>关于实际控制人协议转让股份的进展公告</x:v>
      </x:c>
      <x:c r="J114" s="87" t="n">
        <x:v>46029</x:v>
      </x:c>
      <x:c r="K114" s="73" t="str">
        <x:v>http://static.cninfo.com.cn/finalpage/2026-01-07/1224921433.PDF</x:v>
      </x:c>
      <x:c r="L114" s="40" t="str">
        <x:v>第1页</x:v>
      </x:c>
      <x:c r="M114" s="51" t="str">
        <x:v>证券代码：002371 证券简称：北方华创 公告编号：2026-001 北方华创科技集团股份有限公司 关于实际控制人协议转让股份的进展公告 本公司及董事会全体成员保证信息披露的内容真实、准确、完整，没有虚 假记载、误导性陈述或者重大遗漏。 一、本次转让的基本情况 2025 年 12 月 15 日，北方华创科技集团股份有限公司（以下简称“公司”） 实际控制人北京电子控股有限责任公司（以下简称“北京电控”）与国新投资有 限公司（以下简称“国新投资”）签署了《北京电子控股有限责任公司与国新投 资有限公司关于北方华创科技集团股份有限公司之股份转让协议》（以下简称 “《股份转让协议》”），北京电控拟通过非公开协议转让方式向国新投资转让 持有的公司 14,481,773 股无限售流通普通股股份，占公司总股本的 2.00%，每股 转让价格为人民币 426.39 元，股份转让总价款为 6,174,883,189.47 元。国新投资 是国务院国资委监管的中央企业——中国国新控股有限责任公司（以下简称“中 国国新”）开展国有资本运营的专业化、市场化股权运作平台，本次转让旨在加 强北京电控与国新投资战略合作，充分发挥双方资源优势，助力构建“资本合作 带动产业赋能”的合作模式，更好服务国家集成电路产业发展，不会导致公司实 际控制人变更。基于对公司未来发展前景的信心和长期投资价值的认可，国新投 资承诺在本次股份转让过户完成之日起 12 个月内不转让所受让的公司股份。具 体内容详见公司于2025 年1…</x:v>
      </x:c>
      <x:c r="N114" s="41" t="str">
        <x:v>0-无关</x:v>
      </x:c>
      <x:c r="O114" s="41" t="str">
        <x:v>否</x:v>
      </x:c>
      <x:c r="P114" s="57" t="str">
        <x:v>《关于实际控制人协议转让股份的进展公告》主要涉及治理、股权、会议、分红或其他事项，未披露“先进制程设备研发与高价值产品收入占比”相关实质证据。</x:v>
      </x:c>
      <x:c r="Q114" s="41" t="str">
        <x:v>B-CODEX-FIN-01</x:v>
      </x:c>
      <x:c r="R114" s="80" t="inlineStr">
        <x:is>
          <x:t>2026-08-28T03:00:25+08:00</x:t>
        </x:is>
      </x:c>
    </x:row>
    <x:row r="115" ht="72" customHeight="1">
      <x:c r="A115" s="64" t="str">
        <x:v>V5-R-Q012-C01</x:v>
      </x:c>
      <x:c r="B115" s="64" t="str">
        <x:v>V5-E-002371-C01</x:v>
      </x:c>
      <x:c r="C115" s="64" t="str">
        <x:v>V5-Q012</x:v>
      </x:c>
      <x:c r="D115" s="40" t="str">
        <x:v>北方华创</x:v>
      </x:c>
      <x:c r="E115" s="64" t="str">
        <x:v>002371</x:v>
      </x:c>
      <x:c r="F115" s="87" t="n">
        <x:v>46260.75</x:v>
      </x:c>
      <x:c r="G115" s="51" t="str">
        <x:v>先进制程设备研发能否扩大高价值产品收入占比</x:v>
      </x:c>
      <x:c r="H115" s="64" t="str">
        <x:v>DOC-EVT-002371-00257</x:v>
      </x:c>
      <x:c r="I115" s="51" t="str">
        <x:v>简式权益变动报告书</x:v>
      </x:c>
      <x:c r="J115" s="87" t="n">
        <x:v>45917</x:v>
      </x:c>
      <x:c r="K115" s="73" t="str">
        <x:v>http://static.cninfo.com.cn/finalpage/2025-09-17/1224664908.PDF</x:v>
      </x:c>
      <x:c r="L115" s="40" t="str">
        <x:v>第3页</x:v>
      </x:c>
      <x:c r="M115" s="51" t="str">
        <x:v>北方华创科技集团股份有限公司简式权益变动报告书 3 目 录 信息披露义务人声明................................................................................................... 2 目 录...............................................................................................................................................3 第一节 释义.................................................................................................................................4 第二节 信息披露义务人介绍.................................................................................................5 第三节 权益变动目的及持股计划.......................................................................................8 第四节 信…</x:v>
      </x:c>
      <x:c r="N115" s="41" t="str">
        <x:v>0-无关</x:v>
      </x:c>
      <x:c r="O115" s="41" t="str">
        <x:v>否</x:v>
      </x:c>
      <x:c r="P115" s="57" t="str">
        <x:v>《简式权益变动报告书》主要涉及治理、股权、会议、分红或其他事项，未披露“先进制程设备研发与高价值产品收入占比”相关实质证据。</x:v>
      </x:c>
      <x:c r="Q115" s="41" t="str">
        <x:v>B-CODEX-FIN-01</x:v>
      </x:c>
      <x:c r="R115" s="80" t="inlineStr">
        <x:is>
          <x:t>2026-08-28T03:00:25+08:00</x:t>
        </x:is>
      </x:c>
    </x:row>
    <x:row r="116" ht="72" customHeight="1">
      <x:c r="A116" s="64" t="str">
        <x:v>V5-R-Q012-C04</x:v>
      </x:c>
      <x:c r="B116" s="64" t="str">
        <x:v>V5-E-002371-C04</x:v>
      </x:c>
      <x:c r="C116" s="64" t="str">
        <x:v>V5-Q012</x:v>
      </x:c>
      <x:c r="D116" s="40" t="str">
        <x:v>北方华创</x:v>
      </x:c>
      <x:c r="E116" s="64" t="str">
        <x:v>002371</x:v>
      </x:c>
      <x:c r="F116" s="87" t="n">
        <x:v>46260.75</x:v>
      </x:c>
      <x:c r="G116" s="51" t="str">
        <x:v>先进制程设备研发能否扩大高价值产品收入占比</x:v>
      </x:c>
      <x:c r="H116" s="64" t="str">
        <x:v>DOC-EVT-002371-00231</x:v>
      </x:c>
      <x:c r="I116" s="51" t="str">
        <x:v>关于协议受让沈阳先进制造技术产业有限公司所持沈阳芯源微电子设备股份有限公司9.48%股份完成过户登记的公告</x:v>
      </x:c>
      <x:c r="J116" s="87" t="n">
        <x:v>45811</x:v>
      </x:c>
      <x:c r="K116" s="73" t="str">
        <x:v>http://static.cninfo.com.cn/finalpage/2025-06-03/1223732332.PDF</x:v>
      </x:c>
      <x:c r="L116" s="40" t="str">
        <x:v>第1页</x:v>
      </x:c>
      <x:c r="M116" s="51" t="str">
        <x:v>证券代码：002371 证券简称：北方华创 公告编号：2025-039 北方华创科技集团股份有限公司 关于协议受让沈阳先进制造技术产业有限公司所持 沈阳芯源微电子设备股份有限公司9.48%股份 完成过户登记的公告 本公司及董事会全体成员保证信息披露的内容真实、准确、完整，没有虚 假记载、误导性陈述或者重大遗漏。 北方华创科技集团股份有限公司（以下简称“公司”）于 2025 年 3 月 10 日召开第八届董事会第二十次会议，审议通过了《关于协议受让沈阳芯源微电子 设备股份有限公司部分股份的议案》。同日，公司与沈阳先进制造技术产业有限 公司（以下简称“先进制造”）签署了股份转让协议，公司协议受让先进制造持 有的 19,064,915 股沈阳芯源微电子设备股份有限公司（股票代码 688037，以下 简称“芯源微”）股份。具体内容详见公司于2025 年 3 月 11日在指定信息披露 媒体 《中国证券报》 《证券时报》 《上海证券报》 及巨潮资讯网 （www.cninfo.com.cn） 披露的《第八届董事会第二十次会议决议公告》和《关于协议受让沈阳芯源微电 子设备股份有限公司部分股份的公告》。 2025年 5 月 30 日，公司收到中国证券登记结算有限责任公司出具的《证券 过户登记确认书》，获悉本次协议受让芯源微股份已完成股份过户登记手续，本 次股份过户日期为 2025 年 5 月 29 日，股份过户数量为19,064,915 股。本次过户 完成后，公司持有芯源微 19,064,9…</x:v>
      </x:c>
      <x:c r="N116" s="41" t="str">
        <x:v>2-间接相关</x:v>
      </x:c>
      <x:c r="O116" s="41" t="str">
        <x:v>是</x:v>
      </x:c>
      <x:c r="P116" s="57" t="str">
        <x:v>受让芯源微股权，增强半导体设备业务协同，能够支持“先进制程设备研发与高价值产品收入占比”的中间环节，但未完整量化最终影响。</x:v>
      </x:c>
      <x:c r="Q116" s="41" t="str">
        <x:v>B-CODEX-FIN-01</x:v>
      </x:c>
      <x:c r="R116" s="80" t="inlineStr">
        <x:is>
          <x:t>2026-08-28T03:00:25+08:00</x:t>
        </x:is>
      </x:c>
    </x:row>
    <x:row r="117" ht="72" customHeight="1">
      <x:c r="A117" s="64" t="str">
        <x:v>V5-R-Q012-C02</x:v>
      </x:c>
      <x:c r="B117" s="64" t="str">
        <x:v>V5-E-002371-C02</x:v>
      </x:c>
      <x:c r="C117" s="64" t="str">
        <x:v>V5-Q012</x:v>
      </x:c>
      <x:c r="D117" s="40" t="str">
        <x:v>北方华创</x:v>
      </x:c>
      <x:c r="E117" s="64" t="str">
        <x:v>002371</x:v>
      </x:c>
      <x:c r="F117" s="87" t="n">
        <x:v>46260.75</x:v>
      </x:c>
      <x:c r="G117" s="51" t="str">
        <x:v>先进制程设备研发能否扩大高价值产品收入占比</x:v>
      </x:c>
      <x:c r="H117" s="64" t="str">
        <x:v>DOC-EVT-002371-00233</x:v>
      </x:c>
      <x:c r="I117" s="51" t="str">
        <x:v>关于协议受让沈阳中科天盛自动化技术有限公司所持沈阳芯源微电子设备股份有限公司8.40%股份完成过户登记暨取得控制权的公告</x:v>
      </x:c>
      <x:c r="J117" s="87" t="n">
        <x:v>45833</x:v>
      </x:c>
      <x:c r="K117" s="73" t="str">
        <x:v>http://static.cninfo.com.cn/finalpage/2025-06-25/1223974415.PDF</x:v>
      </x:c>
      <x:c r="L117" s="40" t="str">
        <x:v>第1页</x:v>
      </x:c>
      <x:c r="M117" s="51" t="str">
        <x:v>证券代码：002371 证券简称：北方华创 公告编号：2025-040 北方华创科技集团股份有限公司 关于协议受让沈阳中科天盛自动化技术有限公司所持 沈阳芯源微电子设备股份有限公司8.40%股份完成过户登记 暨取得控制权的公告 本公司及董事会全体成员保证信息披露的内容真实、准确、完整，没有虚假 记载、误导性陈述或者重大遗漏。 一、交易概述 北方华创科技集团股份有限公司（以下简称“公司”）于2025 年 3 月 10 日 召开第八届董事会第二十次会议，审议通过了《关于协议受让沈阳芯源微电子设 备股份有限公司部分股份的议案》。同日，公司与沈阳先进制造技术产业有限公 司（以下简称“先进制造”）签署了股份转让协议，公司协议受让先进制造持有 的 19,064,915 股沈阳芯源微电子设备股份有限公司（股票代码 688037，以下简 称“芯源微”）股份。公司于 2025 年 3 月 20 日召开第八届董事会第二十二次会 议，审议通过了《关于参与沈阳芯源微电子设备股份有限公司股份公开挂牌竞买 的议案》。2025 年 3 月 31 日，公司与沈阳中科天盛自动化技术有限公司（以下 简称“中科天盛”）签署了股份转让协议，公司 协议受让中科天盛持有的 16,899,750股芯源微股份。具体内容详见公司于2025 年 3 月 11日、3 月 21 日及 4 月1 日在指定信息披露媒体《中国证券报》《证券时报》《上海证券报》及巨 潮资讯网（www.cninfo.com.cn）披露的《第八届董事会第二…</x:v>
      </x:c>
      <x:c r="N117" s="41" t="str">
        <x:v>2-间接相关</x:v>
      </x:c>
      <x:c r="O117" s="41" t="str">
        <x:v>是</x:v>
      </x:c>
      <x:c r="P117" s="57" t="str">
        <x:v>取得芯源微控制权，扩大半导体设备产品与技术平台，能够支持“先进制程设备研发与高价值产品收入占比”的中间环节，但未完整量化最终影响。</x:v>
      </x:c>
      <x:c r="Q117" s="41" t="str">
        <x:v>B-CODEX-FIN-01</x:v>
      </x:c>
      <x:c r="R117" s="80" t="inlineStr">
        <x:is>
          <x:t>2026-08-28T03:00:25+08:00</x:t>
        </x:is>
      </x:c>
    </x:row>
    <x:row r="118" ht="72" customHeight="1">
      <x:c r="A118" s="64" t="str">
        <x:v>V5-R-Q012-C07</x:v>
      </x:c>
      <x:c r="B118" s="64" t="str">
        <x:v>V5-E-002371-C07</x:v>
      </x:c>
      <x:c r="C118" s="64" t="str">
        <x:v>V5-Q012</x:v>
      </x:c>
      <x:c r="D118" s="40" t="str">
        <x:v>北方华创</x:v>
      </x:c>
      <x:c r="E118" s="64" t="str">
        <x:v>002371</x:v>
      </x:c>
      <x:c r="F118" s="87" t="n">
        <x:v>46260.75</x:v>
      </x:c>
      <x:c r="G118" s="51" t="str">
        <x:v>先进制程设备研发能否扩大高价值产品收入占比</x:v>
      </x:c>
      <x:c r="H118" s="64" t="str">
        <x:v>DOC-EVT-002371-00369</x:v>
      </x:c>
      <x:c r="I118" s="51" t="str">
        <x:v>2025年年度报告</x:v>
      </x:c>
      <x:c r="J118" s="87" t="n">
        <x:v>46130</x:v>
      </x:c>
      <x:c r="K118" s="73" t="str">
        <x:v>http://static.cninfo.com.cn/finalpage/2026-04-18/1225122918.PDF</x:v>
      </x:c>
      <x:c r="L118" s="40" t="str">
        <x:v>第43页</x:v>
      </x:c>
      <x:c r="M118" s="51" t="str">
        <x:v>北方华创科技集团股份有限公司 2025年年度报告全文 43 4．以价值观为引领，铸就质量与创新的品牌双翼 质量是品牌的生命线，创新是品牌的成长线。公司始终坚守三大核心价值观，并将其贯穿于研发、生产、营销、服 务的全链条之中。我们以“成就客户，以质取胜”为质量方针，以“让北方华创成为值得信赖的高质量代名词”为质量 目标，推动质量管控与技术创新双向驱动、深度融合：通过技术创新不断突破质量的性能上限，通过扎实的质量体系确 保创新成果的稳定与可靠。在国产化浪潮与全球产业变革中，公司致力于以过硬的产品与可信赖的品牌，持续赢得客户 选择，逐步迈向世界一流集成电路装备企业。 （三）可能面对的风险 1．市场竞争与盈利压力风险 国内半导体装备国产化进程提速，市场竞争从“进口替代”转向“国内同业较量”，成熟制程设备出现同质化竞争 迹象，可能引发价格战。为抢占市场份额，设备售价或面临下调压力，可能压缩毛利率；同时，公司为维持技术领先地 位，需持续加大研发投入，高位研发费用率进一步增加盈利压力。 为应对市场竞争风险，公司的对策包括：一是聚焦差异化竞争，集中资源攻坚中高端制程设备等细分领域，打造技 术壁垒，提升产品溢价能力。二是优化成本管控体系，通过规模化生产、供应链集中采购等方式降低生产成本，对冲售 价压力；合理规划研发投入结构，聚焦核心技术攻关，提高研发资金使用效率。三是深化客户绑定，依托成套设备解决 方案与全生命周期服务，提升客户粘性，优先锁定头部晶圆厂长期订单，同时拓展新兴应用场景，拓宽收入…</x:v>
      </x:c>
      <x:c r="N118" s="41" t="str">
        <x:v>3-直接相关</x:v>
      </x:c>
      <x:c r="O118" s="41" t="str">
        <x:v>是</x:v>
      </x:c>
      <x:c r="P118" s="57" t="str">
        <x:v>年报系统披露研发、产品突破和收入结构，直接覆盖“先进制程设备研发与高价值产品收入占比”的关键变量，关系路径成立。</x:v>
      </x:c>
      <x:c r="Q118" s="41" t="str">
        <x:v>B-CODEX-FIN-01</x:v>
      </x:c>
      <x:c r="R118" s="80" t="inlineStr">
        <x:is>
          <x:t>2026-08-28T03:00:25+08:00</x:t>
        </x:is>
      </x:c>
    </x:row>
    <x:row r="119" ht="72" customHeight="1">
      <x:c r="A119" s="64" t="str">
        <x:v>V5-R-Q012-C05</x:v>
      </x:c>
      <x:c r="B119" s="64" t="str">
        <x:v>V5-E-002371-C05</x:v>
      </x:c>
      <x:c r="C119" s="64" t="str">
        <x:v>V5-Q012</x:v>
      </x:c>
      <x:c r="D119" s="40" t="str">
        <x:v>北方华创</x:v>
      </x:c>
      <x:c r="E119" s="64" t="str">
        <x:v>002371</x:v>
      </x:c>
      <x:c r="F119" s="87" t="n">
        <x:v>46260.75</x:v>
      </x:c>
      <x:c r="G119" s="51" t="str">
        <x:v>先进制程设备研发能否扩大高价值产品收入占比</x:v>
      </x:c>
      <x:c r="H119" s="64" t="str">
        <x:v>DOC-EVT-002371-00133</x:v>
      </x:c>
      <x:c r="I119" s="51" t="str">
        <x:v>关于控股股东拟发生变更暨国有股权无偿划转的后续进展公告</x:v>
      </x:c>
      <x:c r="J119" s="87" t="n">
        <x:v>45573</x:v>
      </x:c>
      <x:c r="K119" s="73" t="str">
        <x:v>http://static.cninfo.com.cn/finalpage/2024-10-08/1221330086.PDF</x:v>
      </x:c>
      <x:c r="L119" s="40" t="str">
        <x:v>第3页</x:v>
      </x:c>
      <x:c r="M119" s="51" t="str">
        <x:v>控股股东拟发生变更暨国有股权无偿划转的后续进展公告》（2024-059）。 二、 本次无偿划转进展情况 根据《上市公司收购管理办法》第五十五条的相关规定：“收购人在收购报 告书公告后 30 日内仍未完成相关股份过户手续的，应当立即作出公告，说明理 由；在未完成相关股份过户期间，应当每隔 30 日内公告相关股份过户办理进展 情况。” 截至目前，本次无偿划转股份尚未完成过户，公司于2024 年 9 月 30 日收到 收购方北京电控出具的《关于无偿划转北方华创科技集团股份有限公司股权事项 进展说明的通知》，无偿划转事宜尚在推进过程中。 三、 本次无偿划转后续事项及风险提示 1．本次无偿划转的实施不会导致公司实际控制人发生变化，公司实际控制 人仍为北京电控。 2．本次无偿划转事项不涉及要约收购。本次无偿划转事项尚需在中国证券 登记结算有限责任公司深圳分公司办理过户登记手续， 能否最终实施完成及实施 结果尚存在不确定性。 3．公司将持续关注本次无偿划转的进展情况，及时履行信息披露义务。敬 请广大投资者理性投资，注意投资风险。 特此公告。 北方华创科技集团股份有限公司 董事会 2024 年 10 月 1 日</x:v>
      </x:c>
      <x:c r="N119" s="41" t="str">
        <x:v>0-无关</x:v>
      </x:c>
      <x:c r="O119" s="41" t="str">
        <x:v>否</x:v>
      </x:c>
      <x:c r="P119" s="57" t="str">
        <x:v>《关于控股股东拟发生变更暨国有股权无偿划转的后续进展公告》主要涉及治理、股权、会议、分红或其他事项，未披露“先进制程设备研发与高价值产品收入占比”相关实质证据。</x:v>
      </x:c>
      <x:c r="Q119" s="41" t="str">
        <x:v>B-CODEX-FIN-01</x:v>
      </x:c>
      <x:c r="R119" s="80" t="inlineStr">
        <x:is>
          <x:t>2026-08-28T03:00:25+08:00</x:t>
        </x:is>
      </x:c>
    </x:row>
    <x:row r="120" ht="72" customHeight="1">
      <x:c r="A120" s="64" t="str">
        <x:v>V5-R-Q012-C08</x:v>
      </x:c>
      <x:c r="B120" s="64" t="str">
        <x:v>V5-E-002371-C08</x:v>
      </x:c>
      <x:c r="C120" s="64" t="str">
        <x:v>V5-Q012</x:v>
      </x:c>
      <x:c r="D120" s="40" t="str">
        <x:v>北方华创</x:v>
      </x:c>
      <x:c r="E120" s="64" t="str">
        <x:v>002371</x:v>
      </x:c>
      <x:c r="F120" s="87" t="n">
        <x:v>46260.75</x:v>
      </x:c>
      <x:c r="G120" s="51" t="str">
        <x:v>先进制程设备研发能否扩大高价值产品收入占比</x:v>
      </x:c>
      <x:c r="H120" s="64" t="str">
        <x:v>DOC-EVT-002371-00189</x:v>
      </x:c>
      <x:c r="I120" s="51" t="str">
        <x:v>2025年第一季度业绩预告</x:v>
      </x:c>
      <x:c r="J120" s="87" t="n">
        <x:v>45755.36935185185</x:v>
      </x:c>
      <x:c r="K120" s="73" t="str">
        <x:v>http://static.cninfo.com.cn/finalpage/2025-04-08/1223023085.pdf</x:v>
      </x:c>
      <x:c r="L120" s="40" t="str">
        <x:v>第1页</x:v>
      </x:c>
      <x:c r="M120" s="51" t="str">
        <x:v>证券代码：002371 证券简称：北方华创 公告编号：2025-021 北方华创科技集团股份有限公司 2025年第一季度业绩预告 本公司及董事会全体成员保证信息披露的内容真实、准确、完整，没有虚假记载、 误导性陈述或者重大遗漏。 一、本期业绩预计情况 1.业绩预告期间：2025年1月1日—2025年3月31日 2.预计的经营业绩：□扭亏为盈 √同向上升 □同向下降 项目 本报告期 上年同期 营业收入 734,000万元-898,000万元 595,056.84万元 比上年同期增长23.35%-50.91% 归属于上市公司 股东的净利润 142,000万元-174,000万元 113,881.78万元 比上年同期增长24.69%-52.79% 扣除非经常性损 益后的净利润 140,000万元-172,000万元 108,475.91万元 比上年同期增长29.06%-58.56% 基本每股收益 盈利：2.6602元/股-3.2597元/股 2.1476元/股 二、与会计师事务所沟通情况 本次业绩预告未经会计师事务所审计。 三、业绩变动原因说明 报告期内，公司集成电路装备领域电容耦合等离子体刻蚀设备（CCP）、原子层沉 积设备（ALD）、高端单片清洗机等多款新产品实现关键技术突破，工艺覆盖度显著增 长，同时多款成熟产品市场占有率稳步提升。凭借优良的产品、技术和服务优势，公 司市场份额持续扩大，营业收入同比提升。 报告期内，随着公司营收规模的持续扩大，规模效应逐渐显现，成本费用率稳…</x:v>
      </x:c>
      <x:c r="N120" s="41" t="str">
        <x:v>3-直接相关</x:v>
      </x:c>
      <x:c r="O120" s="41" t="str">
        <x:v>是</x:v>
      </x:c>
      <x:c r="P120" s="57" t="str">
        <x:v>业绩预告披露先进设备新产品突破及收入增长，直接覆盖“先进制程设备研发与高价值产品收入占比”的关键变量，关系路径成立。</x:v>
      </x:c>
      <x:c r="Q120" s="41" t="str">
        <x:v>B-CODEX-FIN-01</x:v>
      </x:c>
      <x:c r="R120" s="80" t="inlineStr">
        <x:is>
          <x:t>2026-08-28T03:00:25+08:00</x:t>
        </x:is>
      </x:c>
    </x:row>
    <x:row r="121" ht="72" customHeight="1">
      <x:c r="A121" s="64" t="str">
        <x:v>V5-R-Q012-C10</x:v>
      </x:c>
      <x:c r="B121" s="64" t="str">
        <x:v>V5-E-002371-C10</x:v>
      </x:c>
      <x:c r="C121" s="64" t="str">
        <x:v>V5-Q012</x:v>
      </x:c>
      <x:c r="D121" s="40" t="str">
        <x:v>北方华创</x:v>
      </x:c>
      <x:c r="E121" s="64" t="str">
        <x:v>002371</x:v>
      </x:c>
      <x:c r="F121" s="87" t="n">
        <x:v>46260.75</x:v>
      </x:c>
      <x:c r="G121" s="51" t="str">
        <x:v>先进制程设备研发能否扩大高价值产品收入占比</x:v>
      </x:c>
      <x:c r="H121" s="64" t="str">
        <x:v>DOC-EVT-002371-00416</x:v>
      </x:c>
      <x:c r="I121" s="51" t="str">
        <x:v>关于2026年员工持股计划开户完成的公告</x:v>
      </x:c>
      <x:c r="J121" s="87" t="n">
        <x:v>46240</x:v>
      </x:c>
      <x:c r="K121" s="73" t="str">
        <x:v>http://static.cninfo.com.cn/finalpage/2026-08-06/1225458992.PDF</x:v>
      </x:c>
      <x:c r="L121" s="40" t="str">
        <x:v>第1页</x:v>
      </x:c>
      <x:c r="M121" s="51" t="str">
        <x:v>证券代码：002371 证券简称：北方华创 公告编号：2026-045 北方华创科技集团股份有限公司 关于2026 年员工持股计划开户完成的公告 本公司及董事会全体成员保证信息披露的内容真实、准确、完整，没有虚 假记载、误导性陈述或者重大遗漏。 北方华创科技集团股份有限公司（以下简称“公司”）于 2025 年 12 月 8 日召开 2025 年第三次临时股东大会，审议通过了《关于&lt;北方华创科技集团股份 有限公司 2025-2027 年员工持股计划（草案）&gt;及其摘要的议案》《关于&lt;北方华 创科技集团股份有限公司 2025-2027 年员工持股计划管理办法&gt;的议案》，公司 股东会授权董事会设立并实施每期员工持股计划。具体内容详见公司于 2025 年 12 月 9 日在《证券时报》《中国证券报》《上海证券报》及巨潮资讯网 （www.cninfo.com.cn）上披露的相关公告。 公司于 2026 年 7 月 21 日召开第九届董事会第四次会议，审议通过了《关于 &lt;北方华创科技集团股份有限公司 2026 年员工持股计划（草案）&gt;及其摘要的议 案》。具体内容详见公司于 2026 年 7 月 22 日在《证券时报》《中国证券报》《上 海证券报》及巨潮资讯网（www.cninfo.com.cn）上披露的相关公告。 根据中国证监会《关于上市公司实施员工持股计划试点的指导意见》及深圳 证券交易所《深圳证券交易所上市公司自律监管指引第 1 号——主板上市公司规 范运作》等相关规定，现将公司 2…</x:v>
      </x:c>
      <x:c r="N121" s="41" t="str">
        <x:v>0-无关</x:v>
      </x:c>
      <x:c r="O121" s="41" t="str">
        <x:v>否</x:v>
      </x:c>
      <x:c r="P121" s="57" t="str">
        <x:v>《关于2026年员工持股计划开户完成的公告》主要涉及治理、股权、会议、分红或其他事项，未披露“先进制程设备研发与高价值产品收入占比”相关实质证据。</x:v>
      </x:c>
      <x:c r="Q121" s="41" t="str">
        <x:v>B-CODEX-FIN-01</x:v>
      </x:c>
      <x:c r="R121" s="80" t="inlineStr">
        <x:is>
          <x:t>2026-08-28T03:00:25+08:00</x:t>
        </x:is>
      </x:c>
    </x:row>
    <x:row r="122" ht="72" customHeight="1">
      <x:c r="A122" s="64" t="str">
        <x:v>V5-R-Q013-C05</x:v>
      </x:c>
      <x:c r="B122" s="64" t="str">
        <x:v>V5-E-002371-C05</x:v>
      </x:c>
      <x:c r="C122" s="64" t="str">
        <x:v>V5-Q013</x:v>
      </x:c>
      <x:c r="D122" s="40" t="str">
        <x:v>北方华创</x:v>
      </x:c>
      <x:c r="E122" s="64" t="str">
        <x:v>002371</x:v>
      </x:c>
      <x:c r="F122" s="87" t="n">
        <x:v>46260.75</x:v>
      </x:c>
      <x:c r="G122" s="51" t="str">
        <x:v>存货与合同负债变化能否验证在手订单景气度</x:v>
      </x:c>
      <x:c r="H122" s="64" t="str">
        <x:v>DOC-EVT-002371-00133</x:v>
      </x:c>
      <x:c r="I122" s="51" t="str">
        <x:v>关于控股股东拟发生变更暨国有股权无偿划转的后续进展公告</x:v>
      </x:c>
      <x:c r="J122" s="87" t="n">
        <x:v>45573</x:v>
      </x:c>
      <x:c r="K122" s="73" t="str">
        <x:v>http://static.cninfo.com.cn/finalpage/2024-10-08/1221330086.PDF</x:v>
      </x:c>
      <x:c r="L122" s="40" t="str">
        <x:v>第3页</x:v>
      </x:c>
      <x:c r="M122" s="51" t="str">
        <x:v>控股股东拟发生变更暨国有股权无偿划转的后续进展公告》（2024-059）。 二、 本次无偿划转进展情况 根据《上市公司收购管理办法》第五十五条的相关规定：“收购人在收购报 告书公告后 30 日内仍未完成相关股份过户手续的，应当立即作出公告，说明理 由；在未完成相关股份过户期间，应当每隔 30 日内公告相关股份过户办理进展 情况。” 截至目前，本次无偿划转股份尚未完成过户，公司于2024 年 9 月 30 日收到 收购方北京电控出具的《关于无偿划转北方华创科技集团股份有限公司股权事项 进展说明的通知》，无偿划转事宜尚在推进过程中。 三、 本次无偿划转后续事项及风险提示 1．本次无偿划转的实施不会导致公司实际控制人发生变化，公司实际控制 人仍为北京电控。 2．本次无偿划转事项不涉及要约收购。本次无偿划转事项尚需在中国证券 登记结算有限责任公司深圳分公司办理过户登记手续， 能否最终实施完成及实施 结果尚存在不确定性。 3．公司将持续关注本次无偿划转的进展情况，及时履行信息披露义务。敬 请广大投资者理性投资，注意投资风险。 特此公告。 北方华创科技集团股份有限公司 董事会 2024 年 10 月 1 日</x:v>
      </x:c>
      <x:c r="N122" s="41" t="str">
        <x:v>0-无关</x:v>
      </x:c>
      <x:c r="O122" s="41" t="str">
        <x:v>否</x:v>
      </x:c>
      <x:c r="P122" s="57" t="str">
        <x:v>《关于控股股东拟发生变更暨国有股权无偿划转的后续进展公告》主要涉及治理、股权、会议、分红或其他事项，未披露“存货、合同负债与在手订单景气”相关实质证据。</x:v>
      </x:c>
      <x:c r="Q122" s="41" t="str">
        <x:v>B-CODEX-FIN-01</x:v>
      </x:c>
      <x:c r="R122" s="80" t="inlineStr">
        <x:is>
          <x:t>2026-08-28T03:00:25+08:00</x:t>
        </x:is>
      </x:c>
    </x:row>
    <x:row r="123" ht="72" customHeight="1">
      <x:c r="A123" s="64" t="str">
        <x:v>V5-R-Q013-C04</x:v>
      </x:c>
      <x:c r="B123" s="64" t="str">
        <x:v>V5-E-002371-C04</x:v>
      </x:c>
      <x:c r="C123" s="64" t="str">
        <x:v>V5-Q013</x:v>
      </x:c>
      <x:c r="D123" s="40" t="str">
        <x:v>北方华创</x:v>
      </x:c>
      <x:c r="E123" s="64" t="str">
        <x:v>002371</x:v>
      </x:c>
      <x:c r="F123" s="87" t="n">
        <x:v>46260.75</x:v>
      </x:c>
      <x:c r="G123" s="51" t="str">
        <x:v>存货与合同负债变化能否验证在手订单景气度</x:v>
      </x:c>
      <x:c r="H123" s="64" t="str">
        <x:v>DOC-EVT-002371-00231</x:v>
      </x:c>
      <x:c r="I123" s="51" t="str">
        <x:v>关于协议受让沈阳先进制造技术产业有限公司所持沈阳芯源微电子设备股份有限公司9.48%股份完成过户登记的公告</x:v>
      </x:c>
      <x:c r="J123" s="87" t="n">
        <x:v>45811</x:v>
      </x:c>
      <x:c r="K123" s="73" t="str">
        <x:v>http://static.cninfo.com.cn/finalpage/2025-06-03/1223732332.PDF</x:v>
      </x:c>
      <x:c r="L123" s="40" t="str">
        <x:v>第1页</x:v>
      </x:c>
      <x:c r="M123" s="51" t="str">
        <x:v>证券代码：002371 证券简称：北方华创 公告编号：2025-039 北方华创科技集团股份有限公司 关于协议受让沈阳先进制造技术产业有限公司所持 沈阳芯源微电子设备股份有限公司9.48%股份 完成过户登记的公告 本公司及董事会全体成员保证信息披露的内容真实、准确、完整，没有虚 假记载、误导性陈述或者重大遗漏。 北方华创科技集团股份有限公司（以下简称“公司”）于 2025 年 3 月 10 日召开第八届董事会第二十次会议，审议通过了《关于协议受让沈阳芯源微电子 设备股份有限公司部分股份的议案》。同日，公司与沈阳先进制造技术产业有限 公司（以下简称“先进制造”）签署了股份转让协议，公司协议受让先进制造持 有的 19,064,915 股沈阳芯源微电子设备股份有限公司（股票代码 688037，以下 简称“芯源微”）股份。具体内容详见公司于2025 年 3 月 11日在指定信息披露 媒体 《中国证券报》 《证券时报》 《上海证券报》 及巨潮资讯网 （www.cninfo.com.cn） 披露的《第八届董事会第二十次会议决议公告》和《关于协议受让沈阳芯源微电 子设备股份有限公司部分股份的公告》。 2025年 5 月 30 日，公司收到中国证券登记结算有限责任公司出具的《证券 过户登记确认书》，获悉本次协议受让芯源微股份已完成股份过户登记手续，本 次股份过户日期为 2025 年 5 月 29 日，股份过户数量为19,064,915 股。本次过户 完成后，公司持有芯源微 19,064,9…</x:v>
      </x:c>
      <x:c r="N123" s="41" t="str">
        <x:v>0-无关</x:v>
      </x:c>
      <x:c r="O123" s="41" t="str">
        <x:v>否</x:v>
      </x:c>
      <x:c r="P123" s="57" t="str">
        <x:v>《关于协议受让沈阳先进制造技术产业有限公司所持沈阳芯源微电子设备股份有限公司9.48%股份完成过户登记的公告》主要涉及治理、股权、会议、分红或其他事项，未披露“存货、合同负债与在手订单景气”相关实质证据。</x:v>
      </x:c>
      <x:c r="Q123" s="41" t="str">
        <x:v>B-CODEX-FIN-01</x:v>
      </x:c>
      <x:c r="R123" s="80" t="inlineStr">
        <x:is>
          <x:t>2026-08-28T03:00:25+08:00</x:t>
        </x:is>
      </x:c>
    </x:row>
    <x:row r="124" ht="72" customHeight="1">
      <x:c r="A124" s="64" t="str">
        <x:v>V5-R-Q013-C02</x:v>
      </x:c>
      <x:c r="B124" s="64" t="str">
        <x:v>V5-E-002371-C02</x:v>
      </x:c>
      <x:c r="C124" s="64" t="str">
        <x:v>V5-Q013</x:v>
      </x:c>
      <x:c r="D124" s="40" t="str">
        <x:v>北方华创</x:v>
      </x:c>
      <x:c r="E124" s="64" t="str">
        <x:v>002371</x:v>
      </x:c>
      <x:c r="F124" s="87" t="n">
        <x:v>46260.75</x:v>
      </x:c>
      <x:c r="G124" s="51" t="str">
        <x:v>存货与合同负债变化能否验证在手订单景气度</x:v>
      </x:c>
      <x:c r="H124" s="64" t="str">
        <x:v>DOC-EVT-002371-00233</x:v>
      </x:c>
      <x:c r="I124" s="51" t="str">
        <x:v>关于协议受让沈阳中科天盛自动化技术有限公司所持沈阳芯源微电子设备股份有限公司8.40%股份完成过户登记暨取得控制权的公告</x:v>
      </x:c>
      <x:c r="J124" s="87" t="n">
        <x:v>45833</x:v>
      </x:c>
      <x:c r="K124" s="73" t="str">
        <x:v>http://static.cninfo.com.cn/finalpage/2025-06-25/1223974415.PDF</x:v>
      </x:c>
      <x:c r="L124" s="40" t="str">
        <x:v>第1页</x:v>
      </x:c>
      <x:c r="M124" s="51" t="str">
        <x:v>证券代码：002371 证券简称：北方华创 公告编号：2025-040 北方华创科技集团股份有限公司 关于协议受让沈阳中科天盛自动化技术有限公司所持 沈阳芯源微电子设备股份有限公司8.40%股份完成过户登记 暨取得控制权的公告 本公司及董事会全体成员保证信息披露的内容真实、准确、完整，没有虚假 记载、误导性陈述或者重大遗漏。 一、交易概述 北方华创科技集团股份有限公司（以下简称“公司”）于2025 年 3 月 10 日 召开第八届董事会第二十次会议，审议通过了《关于协议受让沈阳芯源微电子设 备股份有限公司部分股份的议案》。同日，公司与沈阳先进制造技术产业有限公 司（以下简称“先进制造”）签署了股份转让协议，公司协议受让先进制造持有 的 19,064,915 股沈阳芯源微电子设备股份有限公司（股票代码 688037，以下简 称“芯源微”）股份。公司于 2025 年 3 月 20 日召开第八届董事会第二十二次会 议，审议通过了《关于参与沈阳芯源微电子设备股份有限公司股份公开挂牌竞买 的议案》。2025 年 3 月 31 日，公司与沈阳中科天盛自动化技术有限公司（以下 简称“中科天盛”）签署了股份转让协议，公司 协议受让中科天盛持有的 16,899,750股芯源微股份。具体内容详见公司于2025 年 3 月 11日、3 月 21 日及 4 月1 日在指定信息披露媒体《中国证券报》《证券时报》《上海证券报》及巨 潮资讯网（www.cninfo.com.cn）披露的《第八届董事会第二…</x:v>
      </x:c>
      <x:c r="N124" s="41" t="str">
        <x:v>0-无关</x:v>
      </x:c>
      <x:c r="O124" s="41" t="str">
        <x:v>否</x:v>
      </x:c>
      <x:c r="P124" s="57" t="str">
        <x:v>《关于协议受让沈阳中科天盛自动化技术有限公司所持沈阳芯源微电子设备股份有限公司8.40%股份完成过户登记暨取得控制权的公告》主要涉及治理、股权、会议、分红或其他事项，未披露“存货、合同负债与在手订单景气”相关实质证据。</x:v>
      </x:c>
      <x:c r="Q124" s="41" t="str">
        <x:v>B-CODEX-FIN-01</x:v>
      </x:c>
      <x:c r="R124" s="80" t="inlineStr">
        <x:is>
          <x:t>2026-08-28T03:00:25+08:00</x:t>
        </x:is>
      </x:c>
    </x:row>
    <x:row r="125" ht="72" customHeight="1">
      <x:c r="A125" s="64" t="str">
        <x:v>V5-R-Q013-C08</x:v>
      </x:c>
      <x:c r="B125" s="64" t="str">
        <x:v>V5-E-002371-C08</x:v>
      </x:c>
      <x:c r="C125" s="64" t="str">
        <x:v>V5-Q013</x:v>
      </x:c>
      <x:c r="D125" s="40" t="str">
        <x:v>北方华创</x:v>
      </x:c>
      <x:c r="E125" s="64" t="str">
        <x:v>002371</x:v>
      </x:c>
      <x:c r="F125" s="87" t="n">
        <x:v>46260.75</x:v>
      </x:c>
      <x:c r="G125" s="51" t="str">
        <x:v>存货与合同负债变化能否验证在手订单景气度</x:v>
      </x:c>
      <x:c r="H125" s="64" t="str">
        <x:v>DOC-EVT-002371-00189</x:v>
      </x:c>
      <x:c r="I125" s="51" t="str">
        <x:v>2025年第一季度业绩预告</x:v>
      </x:c>
      <x:c r="J125" s="87" t="n">
        <x:v>45755.36935185185</x:v>
      </x:c>
      <x:c r="K125" s="73" t="str">
        <x:v>http://static.cninfo.com.cn/finalpage/2025-04-08/1223023085.pdf</x:v>
      </x:c>
      <x:c r="L125" s="40" t="str">
        <x:v>第1页</x:v>
      </x:c>
      <x:c r="M125" s="51" t="str">
        <x:v>证券代码：002371 证券简称：北方华创 公告编号：2025-021 北方华创科技集团股份有限公司 2025年第一季度业绩预告 本公司及董事会全体成员保证信息披露的内容真实、准确、完整，没有虚假记载、 误导性陈述或者重大遗漏。 一、本期业绩预计情况 1.业绩预告期间：2025年1月1日—2025年3月31日 2.预计的经营业绩：□扭亏为盈 √同向上升 □同向下降 项目 本报告期 上年同期 营业收入 734,000万元-898,000万元 595,056.84万元 比上年同期增长23.35%-50.91% 归属于上市公司 股东的净利润 142,000万元-174,000万元 113,881.78万元 比上年同期增长24.69%-52.79% 扣除非经常性损 益后的净利润 140,000万元-172,000万元 108,475.91万元 比上年同期增长29.06%-58.56% 基本每股收益 盈利：2.6602元/股-3.2597元/股 2.1476元/股 二、与会计师事务所沟通情况 本次业绩预告未经会计师事务所审计。 三、业绩变动原因说明 报告期内，公司集成电路装备领域电容耦合等离子体刻蚀设备（CCP）、原子层沉 积设备（ALD）、高端单片清洗机等多款新产品实现关键技术突破，工艺覆盖度显著增 长，同时多款成熟产品市场占有率稳步提升。凭借优良的产品、技术和服务优势，公 司市场份额持续扩大，营业收入同比提升。 报告期内，随着公司营收规模的持续扩大，规模效应逐渐显现，成本费用率稳…</x:v>
      </x:c>
      <x:c r="N125" s="41" t="str">
        <x:v>1-弱相关</x:v>
      </x:c>
      <x:c r="O125" s="41" t="str">
        <x:v>否</x:v>
      </x:c>
      <x:c r="P125" s="57" t="str">
        <x:v>《2025年第一季度业绩预告》仅提供公司阶段性经营、财务或相邻业务背景，未同时覆盖“存货、合同负债与在手订单景气”的核心变量，相关性较弱。</x:v>
      </x:c>
      <x:c r="Q125" s="41" t="str">
        <x:v>B-CODEX-FIN-01</x:v>
      </x:c>
      <x:c r="R125" s="80" t="inlineStr">
        <x:is>
          <x:t>2026-08-28T03:00:25+08:00</x:t>
        </x:is>
      </x:c>
    </x:row>
    <x:row r="126" ht="72" customHeight="1">
      <x:c r="A126" s="64" t="str">
        <x:v>V5-R-Q013-C07</x:v>
      </x:c>
      <x:c r="B126" s="64" t="str">
        <x:v>V5-E-002371-C07</x:v>
      </x:c>
      <x:c r="C126" s="64" t="str">
        <x:v>V5-Q013</x:v>
      </x:c>
      <x:c r="D126" s="40" t="str">
        <x:v>北方华创</x:v>
      </x:c>
      <x:c r="E126" s="64" t="str">
        <x:v>002371</x:v>
      </x:c>
      <x:c r="F126" s="87" t="n">
        <x:v>46260.75</x:v>
      </x:c>
      <x:c r="G126" s="51" t="str">
        <x:v>存货与合同负债变化能否验证在手订单景气度</x:v>
      </x:c>
      <x:c r="H126" s="64" t="str">
        <x:v>DOC-EVT-002371-00369</x:v>
      </x:c>
      <x:c r="I126" s="51" t="str">
        <x:v>2025年年度报告</x:v>
      </x:c>
      <x:c r="J126" s="87" t="n">
        <x:v>46130</x:v>
      </x:c>
      <x:c r="K126" s="73" t="str">
        <x:v>http://static.cninfo.com.cn/finalpage/2026-04-18/1225122918.PDF</x:v>
      </x:c>
      <x:c r="L126" s="40" t="str">
        <x:v>第38页</x:v>
      </x:c>
      <x:c r="M126" s="51" t="str">
        <x:v>北方华创科技集团股份有限公司 2025年年度报告全文 38 投资性房地产 51,400,488.72 0.06% 53,391,283.64 0.08% -0.02% 长期股权投资 300,043,745.40 0.33% 66,300,616.41 0.10% 0.23% 固定资产 7,568,467,487. 99 8.43% 6,313,786,666. 03 9.51% -1.08% 在建工程 451,779,099.44 0.50% 209,791,288.62 0.32% 0.18% 使用权资产 268,257,262.92 0.30% 241,482,554.74 0.36% -0.06% 短期借款 319,158,600.19 0.36% 94,235,316.68 0.14% 0.22% 合同负债 4,290,959,314. 95 4.78% 6,220,434,650. 41 9.37% -4.59% 长期借款 12,972,934,857 .04 14.45% 3,946,105,390. 91 5.95% 8.50% 为满足订单、 研发投入、并 购需求，本期 取得借款增 加。 租赁负债 171,510,663.21 0.19% 171,291,734.63 0.26% -0.07% 无形资产 10,519,991,153 .59 11.71% 4,710,158,635. 93 7.10% 4.61% 应付账款 11,803,217,688 .47…</x:v>
      </x:c>
      <x:c r="N126" s="41" t="str">
        <x:v>3-直接相关</x:v>
      </x:c>
      <x:c r="O126" s="41" t="str">
        <x:v>是</x:v>
      </x:c>
      <x:c r="P126" s="57" t="str">
        <x:v>年报完整披露存货、合同负债、订单与收入情况，直接覆盖“存货、合同负债与在手订单景气”的关键变量，关系路径成立。</x:v>
      </x:c>
      <x:c r="Q126" s="41" t="str">
        <x:v>B-CODEX-FIN-01</x:v>
      </x:c>
      <x:c r="R126" s="80" t="inlineStr">
        <x:is>
          <x:t>2026-08-28T03:00:25+08:00</x:t>
        </x:is>
      </x:c>
    </x:row>
    <x:row r="127" ht="72" customHeight="1">
      <x:c r="A127" s="64" t="str">
        <x:v>V5-R-Q013-C03</x:v>
      </x:c>
      <x:c r="B127" s="64" t="str">
        <x:v>V5-E-002371-C03</x:v>
      </x:c>
      <x:c r="C127" s="64" t="str">
        <x:v>V5-Q013</x:v>
      </x:c>
      <x:c r="D127" s="40" t="str">
        <x:v>北方华创</x:v>
      </x:c>
      <x:c r="E127" s="64" t="str">
        <x:v>002371</x:v>
      </x:c>
      <x:c r="F127" s="87" t="n">
        <x:v>46260.75</x:v>
      </x:c>
      <x:c r="G127" s="51" t="str">
        <x:v>存货与合同负债变化能否验证在手订单景气度</x:v>
      </x:c>
      <x:c r="H127" s="64" t="str">
        <x:v>DOC-EVT-002371-00386</x:v>
      </x:c>
      <x:c r="I127" s="51" t="str">
        <x:v>2026年一季度报告</x:v>
      </x:c>
      <x:c r="J127" s="87" t="n">
        <x:v>46142</x:v>
      </x:c>
      <x:c r="K127" s="73" t="str">
        <x:v>http://static.cninfo.com.cn/finalpage/2026-04-30/1225259650.PDF</x:v>
      </x:c>
      <x:c r="L127" s="40" t="str">
        <x:v>第4页</x:v>
      </x:c>
      <x:c r="M127" s="51" t="str">
        <x:v>北方华创科技集团股份有限公司 2026年第一季度报告 4 放式指数证券投资基金 北京京国瑞国企改革发展基金 （有限合伙） 5,335,072.00 人民币普通股 5,335,072.00 中国建设银行股份有限公司－华 夏国证半导体芯片交易型开放式 指数证券投资基金 4,672,366.00 人民币普通股 4,672,366.00 平安资管－招商银行－平安资产 开阳 5号资产管理产品 4,229,934.00 人民币普通股 4,229,934.00 上述股东关联关系或一致行动的说明 北京电子控股有限责任公司为北京七星华电科技集团有限责任公司 的控股股东，国家集成电路产业投资基金股份有限公司与华芯投资 管理有限责任公司－国家集成电路产业投资基金二期股份有限公司 存在关联关系。除此之外，本公司未知其他上述股东之间是否存在 关联关系，也未知其他股东之间是否属于《上市公司股东持股变动 信息披露管理办法》中规定的一致行动人。 前 10名股东参与融资融券业务情况说明（如有） 无 持股 5%以上股东、前 10名股东及前10名无限售流通股股东参与转融通业务出借股份情况 □适用 不适用 前 10名股东及前 10名无限售流通股股东因转融通出借/归还原因导致较上期发生变化 □适用 不适用 （二） 公司优先股股东总数及前 10名优先股股东持股情况表 □适用 不适用 三、其他重要事项 □适用 不适用 四、季度财务报表 （一） 财务报表 1、合并资产负债表 编制单位：北方华创科技集团股份有限公司…</x:v>
      </x:c>
      <x:c r="N127" s="41" t="str">
        <x:v>3-直接相关</x:v>
      </x:c>
      <x:c r="O127" s="41" t="str">
        <x:v>是</x:v>
      </x:c>
      <x:c r="P127" s="57" t="str">
        <x:v>一季报资产负债表可直接观察存货和合同负债变化，直接覆盖“存货、合同负债与在手订单景气”的关键变量，关系路径成立。</x:v>
      </x:c>
      <x:c r="Q127" s="41" t="str">
        <x:v>B-CODEX-FIN-01</x:v>
      </x:c>
      <x:c r="R127" s="80" t="inlineStr">
        <x:is>
          <x:t>2026-08-28T03:00:25+08:00</x:t>
        </x:is>
      </x:c>
    </x:row>
    <x:row r="128" ht="72" customHeight="1">
      <x:c r="A128" s="64" t="str">
        <x:v>V5-R-Q013-C01</x:v>
      </x:c>
      <x:c r="B128" s="64" t="str">
        <x:v>V5-E-002371-C01</x:v>
      </x:c>
      <x:c r="C128" s="64" t="str">
        <x:v>V5-Q013</x:v>
      </x:c>
      <x:c r="D128" s="40" t="str">
        <x:v>北方华创</x:v>
      </x:c>
      <x:c r="E128" s="64" t="str">
        <x:v>002371</x:v>
      </x:c>
      <x:c r="F128" s="87" t="n">
        <x:v>46260.75</x:v>
      </x:c>
      <x:c r="G128" s="51" t="str">
        <x:v>存货与合同负债变化能否验证在手订单景气度</x:v>
      </x:c>
      <x:c r="H128" s="64" t="str">
        <x:v>DOC-EVT-002371-00257</x:v>
      </x:c>
      <x:c r="I128" s="51" t="str">
        <x:v>简式权益变动报告书</x:v>
      </x:c>
      <x:c r="J128" s="87" t="n">
        <x:v>45917</x:v>
      </x:c>
      <x:c r="K128" s="73" t="str">
        <x:v>http://static.cninfo.com.cn/finalpage/2025-09-17/1224664908.PDF</x:v>
      </x:c>
      <x:c r="L128" s="40" t="str">
        <x:v>第16页</x:v>
      </x:c>
      <x:c r="M128" s="51" t="str">
        <x:v>北方华创科技集团股份有限公司简式权益变动报告书 16 附表：简式权益变动报告书 基本情况 上市公司名称 北方华创科技集团股 份有限公司 上市公司所 在地 北京市朝阳区酒仙桥东 路1 号 股票简称 北方华创 股票代码 002371 信息披露义务人名称 国家集成电路产业投 资基金股份有限公司 信息披露义 务人注册地 北京市北京经济技术开 发区景园北街2 号52 幢 7 层718 室 拥有权益的股份数量 变化 增加  减少  不变，但持股人发生 变化 □ 有无一致行 动人 有 □ 无  信息披露义务人是否 为上市公司第一大股 东 是 □ 否  信息披露义 务人是否为 上市公司实 际控制人 是 □ 否  权益变动方式（可多 选） 通过证券交易所的集中交易  协议转让  国有股行政划转或变更 □ 间接方式转让 □ 取得上市公司发行的新股 □ 执行法院裁定 □ 继承 □ 赠与 □ 其他  (受上市公司实施股权激励计划影响，持股比例被动 稀释) 信息披露义务人披露 前拥有权益的股份数 量及占上市公司已发 行股份比例 股票种类：A 股普通股股票 持股数量：38,795,795 股（因实施2024 年度权益分派，国家集 成电路基金持股数量由28,737,626 股增加至38,795,795 股） 持股比例：5.420722% 本次权益变动后，信 息披露义务人拥有权 益的股份数量及变动 比例 股票种类：A 股普通股股票 持股数量：36,203,942 股 持股比例：4.9999…</x:v>
      </x:c>
      <x:c r="N128" s="41" t="str">
        <x:v>0-无关</x:v>
      </x:c>
      <x:c r="O128" s="41" t="str">
        <x:v>否</x:v>
      </x:c>
      <x:c r="P128" s="57" t="str">
        <x:v>《简式权益变动报告书》主要涉及治理、股权、会议、分红或其他事项，未披露“存货、合同负债与在手订单景气”相关实质证据。</x:v>
      </x:c>
      <x:c r="Q128" s="41" t="str">
        <x:v>B-CODEX-FIN-01</x:v>
      </x:c>
      <x:c r="R128" s="80" t="inlineStr">
        <x:is>
          <x:t>2026-08-28T03:00:25+08:00</x:t>
        </x:is>
      </x:c>
    </x:row>
    <x:row r="129" ht="72" customHeight="1">
      <x:c r="A129" s="64" t="str">
        <x:v>V5-R-Q013-C06</x:v>
      </x:c>
      <x:c r="B129" s="64" t="str">
        <x:v>V5-E-002371-C06</x:v>
      </x:c>
      <x:c r="C129" s="64" t="str">
        <x:v>V5-Q013</x:v>
      </x:c>
      <x:c r="D129" s="40" t="str">
        <x:v>北方华创</x:v>
      </x:c>
      <x:c r="E129" s="64" t="str">
        <x:v>002371</x:v>
      </x:c>
      <x:c r="F129" s="87" t="n">
        <x:v>46260.75</x:v>
      </x:c>
      <x:c r="G129" s="51" t="str">
        <x:v>存货与合同负债变化能否验证在手订单景气度</x:v>
      </x:c>
      <x:c r="H129" s="64" t="str">
        <x:v>DOC-EVT-002371-00331</x:v>
      </x:c>
      <x:c r="I129" s="51" t="str">
        <x:v>关于实际控制人协议转让股份的进展公告</x:v>
      </x:c>
      <x:c r="J129" s="87" t="n">
        <x:v>46029</x:v>
      </x:c>
      <x:c r="K129" s="73" t="str">
        <x:v>http://static.cninfo.com.cn/finalpage/2026-01-07/1224921433.PDF</x:v>
      </x:c>
      <x:c r="L129" s="40" t="str">
        <x:v>第1页</x:v>
      </x:c>
      <x:c r="M129" s="51" t="str">
        <x:v>证券代码：002371 证券简称：北方华创 公告编号：2026-001 北方华创科技集团股份有限公司 关于实际控制人协议转让股份的进展公告 本公司及董事会全体成员保证信息披露的内容真实、准确、完整，没有虚 假记载、误导性陈述或者重大遗漏。 一、本次转让的基本情况 2025 年 12 月 15 日，北方华创科技集团股份有限公司（以下简称“公司”） 实际控制人北京电子控股有限责任公司（以下简称“北京电控”）与国新投资有 限公司（以下简称“国新投资”）签署了《北京电子控股有限责任公司与国新投 资有限公司关于北方华创科技集团股份有限公司之股份转让协议》（以下简称 “《股份转让协议》”），北京电控拟通过非公开协议转让方式向国新投资转让 持有的公司 14,481,773 股无限售流通普通股股份，占公司总股本的 2.00%，每股 转让价格为人民币 426.39 元，股份转让总价款为 6,174,883,189.47 元。国新投资 是国务院国资委监管的中央企业——中国国新控股有限责任公司（以下简称“中 国国新”）开展国有资本运营的专业化、市场化股权运作平台，本次转让旨在加 强北京电控与国新投资战略合作，充分发挥双方资源优势，助力构建“资本合作 带动产业赋能”的合作模式，更好服务国家集成电路产业发展，不会导致公司实 际控制人变更。基于对公司未来发展前景的信心和长期投资价值的认可，国新投 资承诺在本次股份转让过户完成之日起 12 个月内不转让所受让的公司股份。具 体内容详见公司于2025 年1…</x:v>
      </x:c>
      <x:c r="N129" s="41" t="str">
        <x:v>0-无关</x:v>
      </x:c>
      <x:c r="O129" s="41" t="str">
        <x:v>否</x:v>
      </x:c>
      <x:c r="P129" s="57" t="str">
        <x:v>《关于实际控制人协议转让股份的进展公告》主要涉及治理、股权、会议、分红或其他事项，未披露“存货、合同负债与在手订单景气”相关实质证据。</x:v>
      </x:c>
      <x:c r="Q129" s="41" t="str">
        <x:v>B-CODEX-FIN-01</x:v>
      </x:c>
      <x:c r="R129" s="80" t="inlineStr">
        <x:is>
          <x:t>2026-08-28T03:00:25+08:00</x:t>
        </x:is>
      </x:c>
    </x:row>
    <x:row r="130" ht="72" customHeight="1">
      <x:c r="A130" s="64" t="str">
        <x:v>V5-R-Q013-C09</x:v>
      </x:c>
      <x:c r="B130" s="64" t="str">
        <x:v>V5-E-002371-C09</x:v>
      </x:c>
      <x:c r="C130" s="64" t="str">
        <x:v>V5-Q013</x:v>
      </x:c>
      <x:c r="D130" s="40" t="str">
        <x:v>北方华创</x:v>
      </x:c>
      <x:c r="E130" s="64" t="str">
        <x:v>002371</x:v>
      </x:c>
      <x:c r="F130" s="87" t="n">
        <x:v>46260.75</x:v>
      </x:c>
      <x:c r="G130" s="51" t="str">
        <x:v>存货与合同负债变化能否验证在手订单景气度</x:v>
      </x:c>
      <x:c r="H130" s="64" t="str">
        <x:v>DOC-EVT-002371-00128</x:v>
      </x:c>
      <x:c r="I130" s="51" t="str">
        <x:v>关于控股股东拟发生变更暨国有股权无偿划转的后续进展公告</x:v>
      </x:c>
      <x:c r="J130" s="87" t="n">
        <x:v>45540</x:v>
      </x:c>
      <x:c r="K130" s="73" t="str">
        <x:v>http://static.cninfo.com.cn/finalpage/2024-09-05/1221138479.PDF</x:v>
      </x:c>
      <x:c r="L130" s="40" t="str">
        <x:v>第1页</x:v>
      </x:c>
      <x:c r="M130" s="51" t="str">
        <x:v>证券代码：002371 证券简称：北方华创 公告编号：2024-059 北方华创科技集团股份有限公司 关于控股股东拟发生变更暨国有股权无偿划转的 后续进展公告 本公司及董事会全体成员保证信息披露的内容真实、准确、完整，没有虚 假记载、误导性陈述或者重大遗漏。 一、 本次无偿划转基本情况 北方华创科技集团股份有限公司（以下简称“公司”或“北方华创”）于2023 年11月16 日收到公司实际控制人北京电子控股有限责任公司（以下简称“北京 电控”）出具的《关于无偿划转北方华创科技集团股份有限公司股权事项的通知》 ， 拟将北京七星华电科技集团有限责任公司（以下简称“七星集团”）持有的北方 华创33.61%的股权（对应 178,175,721 股）无偿划转至北京电控。本次无偿划转 完成后，北京电控将成为公司的控股股东，七星集团不再持有公司股份，公司的 实际控制人仍为北京电控。具体详见公司于 2023 年 11月 17 日披露的《关于控 股股东拟发生变更暨国有股权无偿划转的提示性公告》 （2023-057）。 2024 年 1 月 10 日，公司收到北京电控出具的《关于无偿划转北方华创科技 集团股份有限公司股权事项进展的通知》，北京电控与七星集团签署了《北京七 星华电科技集团有限责任公司与北京电子控股有限责任公司关于北方华创科技 集团股份有限公司全部股权的无偿划转协议》。具体详见公司于 2024 年 1 月 11 日披露的《关于控股股东拟发生变更暨国有股权无偿划转的进展公告 》（202…</x:v>
      </x:c>
      <x:c r="N130" s="41" t="str">
        <x:v>0-无关</x:v>
      </x:c>
      <x:c r="O130" s="41" t="str">
        <x:v>否</x:v>
      </x:c>
      <x:c r="P130" s="57" t="str">
        <x:v>《关于控股股东拟发生变更暨国有股权无偿划转的后续进展公告》主要涉及治理、股权、会议、分红或其他事项，未披露“存货、合同负债与在手订单景气”相关实质证据。</x:v>
      </x:c>
      <x:c r="Q130" s="41" t="str">
        <x:v>B-CODEX-FIN-01</x:v>
      </x:c>
      <x:c r="R130" s="80" t="inlineStr">
        <x:is>
          <x:t>2026-08-28T03:00:25+08:00</x:t>
        </x:is>
      </x:c>
    </x:row>
    <x:row r="131" ht="72" customHeight="1">
      <x:c r="A131" s="64" t="str">
        <x:v>V5-R-Q013-C10</x:v>
      </x:c>
      <x:c r="B131" s="64" t="str">
        <x:v>V5-E-002371-C10</x:v>
      </x:c>
      <x:c r="C131" s="64" t="str">
        <x:v>V5-Q013</x:v>
      </x:c>
      <x:c r="D131" s="40" t="str">
        <x:v>北方华创</x:v>
      </x:c>
      <x:c r="E131" s="64" t="str">
        <x:v>002371</x:v>
      </x:c>
      <x:c r="F131" s="87" t="n">
        <x:v>46260.75</x:v>
      </x:c>
      <x:c r="G131" s="51" t="str">
        <x:v>存货与合同负债变化能否验证在手订单景气度</x:v>
      </x:c>
      <x:c r="H131" s="64" t="str">
        <x:v>DOC-EVT-002371-00416</x:v>
      </x:c>
      <x:c r="I131" s="51" t="str">
        <x:v>关于2026年员工持股计划开户完成的公告</x:v>
      </x:c>
      <x:c r="J131" s="87" t="n">
        <x:v>46240</x:v>
      </x:c>
      <x:c r="K131" s="73" t="str">
        <x:v>http://static.cninfo.com.cn/finalpage/2026-08-06/1225458992.PDF</x:v>
      </x:c>
      <x:c r="L131" s="40" t="str">
        <x:v>第1页</x:v>
      </x:c>
      <x:c r="M131" s="51" t="str">
        <x:v>证券代码：002371 证券简称：北方华创 公告编号：2026-045 北方华创科技集团股份有限公司 关于2026 年员工持股计划开户完成的公告 本公司及董事会全体成员保证信息披露的内容真实、准确、完整，没有虚 假记载、误导性陈述或者重大遗漏。 北方华创科技集团股份有限公司（以下简称“公司”）于 2025 年 12 月 8 日召开 2025 年第三次临时股东大会，审议通过了《关于&lt;北方华创科技集团股份 有限公司 2025-2027 年员工持股计划（草案）&gt;及其摘要的议案》《关于&lt;北方华 创科技集团股份有限公司 2025-2027 年员工持股计划管理办法&gt;的议案》，公司 股东会授权董事会设立并实施每期员工持股计划。具体内容详见公司于 2025 年 12 月 9 日在《证券时报》《中国证券报》《上海证券报》及巨潮资讯网 （www.cninfo.com.cn）上披露的相关公告。 公司于 2026 年 7 月 21 日召开第九届董事会第四次会议，审议通过了《关于 &lt;北方华创科技集团股份有限公司 2026 年员工持股计划（草案）&gt;及其摘要的议 案》。具体内容详见公司于 2026 年 7 月 22 日在《证券时报》《中国证券报》《上 海证券报》及巨潮资讯网（www.cninfo.com.cn）上披露的相关公告。 根据中国证监会《关于上市公司实施员工持股计划试点的指导意见》及深圳 证券交易所《深圳证券交易所上市公司自律监管指引第 1 号——主板上市公司规 范运作》等相关规定，现将公司 2…</x:v>
      </x:c>
      <x:c r="N131" s="41" t="str">
        <x:v>0-无关</x:v>
      </x:c>
      <x:c r="O131" s="41" t="str">
        <x:v>否</x:v>
      </x:c>
      <x:c r="P131" s="57" t="str">
        <x:v>《关于2026年员工持股计划开户完成的公告》主要涉及治理、股权、会议、分红或其他事项，未披露“存货、合同负债与在手订单景气”相关实质证据。</x:v>
      </x:c>
      <x:c r="Q131" s="41" t="str">
        <x:v>B-CODEX-FIN-01</x:v>
      </x:c>
      <x:c r="R131" s="80" t="inlineStr">
        <x:is>
          <x:t>2026-08-28T03:00:25+08:00</x:t>
        </x:is>
      </x:c>
    </x:row>
    <x:row r="132" ht="72" customHeight="1">
      <x:c r="A132" s="64" t="str">
        <x:v>V5-R-Q014-C05</x:v>
      </x:c>
      <x:c r="B132" s="64" t="str">
        <x:v>V5-E-688981-C05</x:v>
      </x:c>
      <x:c r="C132" s="64" t="str">
        <x:v>V5-Q014</x:v>
      </x:c>
      <x:c r="D132" s="40" t="str">
        <x:v>中芯国际</x:v>
      </x:c>
      <x:c r="E132" s="64" t="str">
        <x:v>688981</x:v>
      </x:c>
      <x:c r="F132" s="87" t="n">
        <x:v>46260.75</x:v>
      </x:c>
      <x:c r="G132" s="51" t="str">
        <x:v>八英寸与十二英寸产品结构变化能否改善综合毛利率</x:v>
      </x:c>
      <x:c r="H132" s="64" t="str">
        <x:v>DOC-EVT-688981-00166</x:v>
      </x:c>
      <x:c r="I132" s="51" t="str">
        <x:v>中芯国际2025年半年度报告摘要</x:v>
      </x:c>
      <x:c r="J132" s="87" t="n">
        <x:v>45898</x:v>
      </x:c>
      <x:c r="K132" s="73" t="str">
        <x:v>http://static.cninfo.com.cn/finalpage/2025-08-29/1224608544.PDF</x:v>
      </x:c>
      <x:c r="L132" s="40" t="str">
        <x:v>第1页</x:v>
      </x:c>
      <x:c r="M132" s="51" t="str">
        <x:v>公司代码：688981 公司简称：中芯国际 中芯国际集成电路制造有限公司 2025 年半年度报告摘要</x:v>
      </x:c>
      <x:c r="N132" s="41" t="str">
        <x:v>1-弱相关</x:v>
      </x:c>
      <x:c r="O132" s="41" t="str">
        <x:v>否</x:v>
      </x:c>
      <x:c r="P132" s="57" t="str">
        <x:v>《中芯国际2025年半年度报告摘要》仅提供公司阶段性经营、财务或相邻业务背景，未同时覆盖“八英寸/十二英寸结构与综合毛利率”的核心变量，相关性较弱。</x:v>
      </x:c>
      <x:c r="Q132" s="41" t="str">
        <x:v>B-CODEX-FIN-01</x:v>
      </x:c>
      <x:c r="R132" s="80" t="inlineStr">
        <x:is>
          <x:t>2026-08-28T03:00:25+08:00</x:t>
        </x:is>
      </x:c>
    </x:row>
    <x:row r="133" ht="72" customHeight="1">
      <x:c r="A133" s="64" t="str">
        <x:v>V5-R-Q014-C03</x:v>
      </x:c>
      <x:c r="B133" s="64" t="str">
        <x:v>V5-E-688981-C03</x:v>
      </x:c>
      <x:c r="C133" s="64" t="str">
        <x:v>V5-Q014</x:v>
      </x:c>
      <x:c r="D133" s="40" t="str">
        <x:v>中芯国际</x:v>
      </x:c>
      <x:c r="E133" s="64" t="str">
        <x:v>688981</x:v>
      </x:c>
      <x:c r="F133" s="87" t="n">
        <x:v>46260.75</x:v>
      </x:c>
      <x:c r="G133" s="51" t="str">
        <x:v>八英寸与十二英寸产品结构变化能否改善综合毛利率</x:v>
      </x:c>
      <x:c r="H133" s="64" t="str">
        <x:v>DOC-EVT-688981-00210</x:v>
      </x:c>
      <x:c r="I133" s="51" t="str">
        <x:v>中芯国际2025年第三季度报告</x:v>
      </x:c>
      <x:c r="J133" s="87" t="n">
        <x:v>45975</x:v>
      </x:c>
      <x:c r="K133" s="73" t="str">
        <x:v>http://static.cninfo.com.cn/finalpage/2025-11-14/1224804086.PDF</x:v>
      </x:c>
      <x:c r="L133" s="40" t="str">
        <x:v>第2页</x:v>
      </x:c>
      <x:c r="M133" s="51" t="str">
        <x:v>中芯国际集成电路制造有限公司 2025 年第三季度报告 2 / 16 一、公司基本情况 (一)2025年第四季指引 以下声明为前瞻性陈述，基于目前的预期并涵盖风险和不确定性。以下数据不包含汇率变动 的影响。本公司预期国际财务报告准则下的指引为：  季度收入环比持平至上升 2%。  毛利率介于 18%至 20%的范围内。 (二)管理层评论 三季度，公司整体实现营业收入人民币 171.62亿元，环比增长 6.9%；公司毛利率为 25.5%， 环比上升 4.8 个百分点；产能利用率上升至 95.8%，环比增长 3.3 个百分点。 根据未经审核财务数据，公司前三个季度营业收入为人民币495.1亿元，较去年同期增长18.2%； 毛利率为 23.2%，较去年同期增长 5.6 个百分点。 四季度，按照国际财务报告准则，公司收入指引为环比持平到增长 2%，毛利率指引为 18%到 20%。</x:v>
      </x:c>
      <x:c r="N133" s="41" t="str">
        <x:v>3-直接相关</x:v>
      </x:c>
      <x:c r="O133" s="41" t="str">
        <x:v>是</x:v>
      </x:c>
      <x:c r="P133" s="57" t="str">
        <x:v>三季报披露八英寸和十二英寸收入占比、利用率及毛利率，直接覆盖“八英寸/十二英寸结构与综合毛利率”的关键变量，关系路径成立。</x:v>
      </x:c>
      <x:c r="Q133" s="41" t="str">
        <x:v>B-CODEX-FIN-01</x:v>
      </x:c>
      <x:c r="R133" s="80" t="inlineStr">
        <x:is>
          <x:t>2026-08-28T03:00:25+08:00</x:t>
        </x:is>
      </x:c>
    </x:row>
    <x:row r="134" ht="72" customHeight="1">
      <x:c r="A134" s="64" t="str">
        <x:v>V5-R-Q014-C07</x:v>
      </x:c>
      <x:c r="B134" s="64" t="str">
        <x:v>V5-E-688981-C07</x:v>
      </x:c>
      <x:c r="C134" s="64" t="str">
        <x:v>V5-Q014</x:v>
      </x:c>
      <x:c r="D134" s="40" t="str">
        <x:v>中芯国际</x:v>
      </x:c>
      <x:c r="E134" s="64" t="str">
        <x:v>688981</x:v>
      </x:c>
      <x:c r="F134" s="87" t="n">
        <x:v>46260.75</x:v>
      </x:c>
      <x:c r="G134" s="51" t="str">
        <x:v>八英寸与十二英寸产品结构变化能否改善综合毛利率</x:v>
      </x:c>
      <x:c r="H134" s="64" t="str">
        <x:v>DOC-EVT-688981-00211</x:v>
      </x:c>
      <x:c r="I134" s="51" t="str">
        <x:v>港股公告：中芯国际截至2025年9月30日止三个月未经审核业绩公布</x:v>
      </x:c>
      <x:c r="J134" s="87" t="n">
        <x:v>45975</x:v>
      </x:c>
      <x:c r="K134" s="73" t="str">
        <x:v>http://static.cninfo.com.cn/finalpage/2025-11-14/1224804087.PDF</x:v>
      </x:c>
      <x:c r="L134" s="40" t="str">
        <x:v>第1页</x:v>
      </x:c>
      <x:c r="M134" s="51" t="str">
        <x:v>-1- 香港交易及結算所有限公司及香港聯合交易所有限公司對本公告的內容概不負責，對其準確性或完整性 亦不發表任何聲明，並明確表示，概不對因本文檔全部或任何部份內容而産生或因倚賴該等內容而引致 的任何損失承擔任何責任。 SEMICONDUCTOR MANUFACTURING INTERNATIONAL CORPORATIO N 中芯國際集成電路製造有限公司 * (於開曼群島注冊成立之有限公司) (股份代號：0098 1) 中芯國際截至 202 5年9月30 日止三個月未經審核業績公佈 除非以下額外說明，本合併財務信息係依國際財務報告準則編製且表達。  2025 年第三季的銷售收入為 2,381.8 百萬美元，2025 年第二季的銷售收入為 2,209.1 百萬美元， 2024 年第三季的銷售收入為 2,171.2 百萬美元。  2025 年第三季毛利為 522.8 百萬美元，2025 年第二季毛利為 449.8 百萬美元，2024 年第三季毛 利為 444.2 百萬美元。  2025 年第三季毛利率為 22.0%，2025 年第二季毛利率為 20.4%，2024 年第三季毛利率為 20.5%。 以下爲本公司及其子公司(「本集團」)於 2025 年 11 月 13 日就截至 2025 年 9 月 30 日止三個月的未經 審核業績公佈全文。 除非特別指明，所有貨幣以美元列賬。 中國上海─ 2025 年 11 月 13 日─ 國際主要半導體代工製造商中芯國際集成電路製造有限公…</x:v>
      </x:c>
      <x:c r="N134" s="41" t="str">
        <x:v>3-直接相关</x:v>
      </x:c>
      <x:c r="O134" s="41" t="str">
        <x:v>是</x:v>
      </x:c>
      <x:c r="P134" s="57" t="str">
        <x:v>季度业绩披露晶圆尺寸结构与毛利率变化，直接覆盖“八英寸/十二英寸结构与综合毛利率”的关键变量，关系路径成立。</x:v>
      </x:c>
      <x:c r="Q134" s="41" t="str">
        <x:v>B-CODEX-FIN-01</x:v>
      </x:c>
      <x:c r="R134" s="80" t="inlineStr">
        <x:is>
          <x:t>2026-08-28T03:00:25+08:00</x:t>
        </x:is>
      </x:c>
    </x:row>
    <x:row r="135" ht="72" customHeight="1">
      <x:c r="A135" s="64" t="str">
        <x:v>V5-R-Q014-C04</x:v>
      </x:c>
      <x:c r="B135" s="64" t="str">
        <x:v>V5-E-688981-C04</x:v>
      </x:c>
      <x:c r="C135" s="64" t="str">
        <x:v>V5-Q014</x:v>
      </x:c>
      <x:c r="D135" s="40" t="str">
        <x:v>中芯国际</x:v>
      </x:c>
      <x:c r="E135" s="64" t="str">
        <x:v>688981</x:v>
      </x:c>
      <x:c r="F135" s="87" t="n">
        <x:v>46260.75</x:v>
      </x:c>
      <x:c r="G135" s="51" t="str">
        <x:v>八英寸与十二英寸产品结构变化能否改善综合毛利率</x:v>
      </x:c>
      <x:c r="H135" s="64" t="str">
        <x:v>DOC-EVT-688981-00144</x:v>
      </x:c>
      <x:c r="I135" s="51" t="str">
        <x:v>中芯国际关于开展套期保值业务的可行性报告</x:v>
      </x:c>
      <x:c r="J135" s="87" t="n">
        <x:v>45786</x:v>
      </x:c>
      <x:c r="K135" s="73" t="str">
        <x:v>http://static.cninfo.com.cn/finalpage/2025-05-09/1223496519.PDF</x:v>
      </x:c>
      <x:c r="L135" s="40" t="str">
        <x:v>第1页</x:v>
      </x:c>
      <x:c r="M135" s="51" t="str">
        <x:v>1 中芯国际集成电路制造有限公司 关于开展套期保值业务的可行性报告 一、开展套期保值业务情况概述 1. 交易目的 为防范公司及下属全资或控股子公司外汇汇率与利率风险，进一步提高应 对外汇、利率波动风险的能力，增强财务稳健性，公司及子公司通过金融衍生 工具开展外汇与利率相关的套期保值工作。 2. 交易规模 公司及下属全资或控股子公司存量金融衍生品的名义总金额在任何时间点 最高不超过公司 2024 年度经审计净资产的 50%。套期保值业务有关授信额度 或保证金占用规模根据公司实际业务的需要确定。 3. 资金来源 开展套期保值业务资金来源为自有资金、债务融资以及公司通过法律法规 允许的其他方式筹集的资金。 4. 交易方式 拟开展套期保值业务所涉及的币种只限于公司及下属子公司生产经营所使 用的主要结算货币，包括但不限于人民币、美元、日元、欧元等。 拟开展套期保值业务的具体方式或产品主要包括但不限于：远期结售汇、 外汇掉期、外汇期权、 交叉货币掉期 、利率掉期、利率期权等产品或上述产品 的组合。 5. 授权及期限 授权管理层在额度范围和有效期内开展套期保值业务并签署相关文件。授 权期限为 2025 年股东周年大会审议通过之日起至 2026 年股东周年大会日止， 在该期限内可循环滚动使用交易额度。</x:v>
      </x:c>
      <x:c r="N135" s="41" t="str">
        <x:v>0-无关</x:v>
      </x:c>
      <x:c r="O135" s="41" t="str">
        <x:v>否</x:v>
      </x:c>
      <x:c r="P135" s="57" t="str">
        <x:v>《中芯国际关于开展套期保值业务的可行性报告》主要涉及治理、股权、会议、分红或其他事项，未披露“八英寸/十二英寸结构与综合毛利率”相关实质证据。</x:v>
      </x:c>
      <x:c r="Q135" s="41" t="str">
        <x:v>B-CODEX-FIN-01</x:v>
      </x:c>
      <x:c r="R135" s="80" t="inlineStr">
        <x:is>
          <x:t>2026-08-28T03:00:25+08:00</x:t>
        </x:is>
      </x:c>
    </x:row>
    <x:row r="136" ht="72" customHeight="1">
      <x:c r="A136" s="64" t="str">
        <x:v>V5-R-Q014-C02</x:v>
      </x:c>
      <x:c r="B136" s="64" t="str">
        <x:v>V5-E-688981-C02</x:v>
      </x:c>
      <x:c r="C136" s="64" t="str">
        <x:v>V5-Q014</x:v>
      </x:c>
      <x:c r="D136" s="40" t="str">
        <x:v>中芯国际</x:v>
      </x:c>
      <x:c r="E136" s="64" t="str">
        <x:v>688981</x:v>
      </x:c>
      <x:c r="F136" s="87" t="n">
        <x:v>46260.75</x:v>
      </x:c>
      <x:c r="G136" s="51" t="str">
        <x:v>八英寸与十二英寸产品结构变化能否改善综合毛利率</x:v>
      </x:c>
      <x:c r="H136" s="64" t="str">
        <x:v>DOC-EVT-688981-00257</x:v>
      </x:c>
      <x:c r="I136" s="51" t="str">
        <x:v>国泰海通证券股份有限公司关于中芯国际集成电路制造有限公司本次交易前十二个月内购买、出售资产情况的核查意见</x:v>
      </x:c>
      <x:c r="J136" s="87" t="n">
        <x:v>46021</x:v>
      </x:c>
      <x:c r="K136" s="73" t="str">
        <x:v>http://static.cninfo.com.cn/finalpage/2025-12-30/1224907022.PDF</x:v>
      </x:c>
      <x:c r="L136" s="40" t="str">
        <x:v>第3页</x:v>
      </x:c>
      <x:c r="M136" s="51" t="str">
        <x:v>（本页无正文，为《国泰海通证券股份有限公司关于中芯国际集成电路制造有限 公司本次交易前十二个月内购买、出售资产情况的核查意见》之签章页） 独立财务顾问主办人： 徐亦潇 苏冬夷 国泰海通证券股份有限公司 年 月 日</x:v>
      </x:c>
      <x:c r="N136" s="41" t="str">
        <x:v>0-无关</x:v>
      </x:c>
      <x:c r="O136" s="41" t="str">
        <x:v>否</x:v>
      </x:c>
      <x:c r="P136" s="57" t="str">
        <x:v>《国泰海通证券股份有限公司关于中芯国际集成电路制造有限公司本次交易前十二个月内购买、出售资产情况的核查意见》主要涉及治理、股权、会议、分红或其他事项，未披露“八英寸/十二英寸结构与综合毛利率”相关实质证据。</x:v>
      </x:c>
      <x:c r="Q136" s="41" t="str">
        <x:v>B-CODEX-FIN-01</x:v>
      </x:c>
      <x:c r="R136" s="80" t="inlineStr">
        <x:is>
          <x:t>2026-08-28T03:00:25+08:00</x:t>
        </x:is>
      </x:c>
    </x:row>
    <x:row r="137" ht="72" customHeight="1">
      <x:c r="A137" s="64" t="str">
        <x:v>V5-R-Q014-C08</x:v>
      </x:c>
      <x:c r="B137" s="64" t="str">
        <x:v>V5-E-688981-C08</x:v>
      </x:c>
      <x:c r="C137" s="64" t="str">
        <x:v>V5-Q014</x:v>
      </x:c>
      <x:c r="D137" s="40" t="str">
        <x:v>中芯国际</x:v>
      </x:c>
      <x:c r="E137" s="64" t="str">
        <x:v>688981</x:v>
      </x:c>
      <x:c r="F137" s="87" t="n">
        <x:v>46260.75</x:v>
      </x:c>
      <x:c r="G137" s="51" t="str">
        <x:v>八英寸与十二英寸产品结构变化能否改善综合毛利率</x:v>
      </x:c>
      <x:c r="H137" s="64" t="str">
        <x:v>DOC-EVT-688981-00370</x:v>
      </x:c>
      <x:c r="I137" s="51" t="str">
        <x:v>中芯国际关于召开2026年第二季度业绩说明会的预告公告</x:v>
      </x:c>
      <x:c r="J137" s="87" t="n">
        <x:v>46234</x:v>
      </x:c>
      <x:c r="K137" s="73" t="str">
        <x:v>http://static.cninfo.com.cn/finalpage/2026-07-31/1225448405.PDF</x:v>
      </x:c>
      <x:c r="L137" s="40" t="str">
        <x:v>第1页</x:v>
      </x:c>
      <x:c r="M137" s="51" t="str">
        <x:v>1 A股代码：688981 A股简称：中芯国际 公告编号：2026-031 港股代码：00981 港股简称：中芯国际 中芯国际集成电路制造有限公司 关于召开2026年第二季度业绩说明会的预告公告 本公司董事会及全体董事保证本公告内容不存在任何虚假记载、误导性陈 述或者重大遗漏，并对其内容的真实性、准确性和完整性依法承担法律责任。 重要事项提示：  会议召开时间：2026年8月14日（星期五）上午8:30-9:30  会议召开方式：网络/电话会议 一、说明会类型 中芯国际集成电路制造有限公司（以下简称“公司”）将于2026年8月13日 交易时段后披露公司2026年第二季度业绩，相关内容请详见上海证券交易所网 站（http://www.sse.com.cn/）及香港交易所网站（https://www.hkex.com.hk/）。 为方便广大投资者更全面深入了解公司经营业绩的具体情况，公司拟于 2026年8月14日举行“2026年第二季度业绩说明会”。 二、说明会召开的时间、地点 说明会将于2026年8月14日（星期五）上午8:30-9:30通过网络/电话会议方 式举行。 三、参加人员 公司管理层 四、投资者参加方式</x:v>
      </x:c>
      <x:c r="N137" s="41" t="str">
        <x:v>0-无关</x:v>
      </x:c>
      <x:c r="O137" s="41" t="str">
        <x:v>否</x:v>
      </x:c>
      <x:c r="P137" s="57" t="str">
        <x:v>《中芯国际关于召开2026年第二季度业绩说明会的预告公告》主要涉及治理、股权、会议、分红或其他事项，未披露“八英寸/十二英寸结构与综合毛利率”相关实质证据。</x:v>
      </x:c>
      <x:c r="Q137" s="41" t="str">
        <x:v>B-CODEX-FIN-01</x:v>
      </x:c>
      <x:c r="R137" s="80" t="inlineStr">
        <x:is>
          <x:t>2026-08-28T03:00:25+08:00</x:t>
        </x:is>
      </x:c>
    </x:row>
    <x:row r="138" ht="72" customHeight="1">
      <x:c r="A138" s="64" t="str">
        <x:v>V5-R-Q014-C10</x:v>
      </x:c>
      <x:c r="B138" s="64" t="str">
        <x:v>V5-E-688981-C10</x:v>
      </x:c>
      <x:c r="C138" s="64" t="str">
        <x:v>V5-Q014</x:v>
      </x:c>
      <x:c r="D138" s="40" t="str">
        <x:v>中芯国际</x:v>
      </x:c>
      <x:c r="E138" s="64" t="str">
        <x:v>688981</x:v>
      </x:c>
      <x:c r="F138" s="87" t="n">
        <x:v>46260.75</x:v>
      </x:c>
      <x:c r="G138" s="51" t="str">
        <x:v>八英寸与十二英寸产品结构变化能否改善综合毛利率</x:v>
      </x:c>
      <x:c r="H138" s="64" t="str">
        <x:v>DOC-EVT-688981-00371</x:v>
      </x:c>
      <x:c r="I138" s="51" t="str">
        <x:v>港股公告：董事会会议日期通知</x:v>
      </x:c>
      <x:c r="J138" s="87" t="n">
        <x:v>46234</x:v>
      </x:c>
      <x:c r="K138" s="73" t="str">
        <x:v>http://static.cninfo.com.cn/finalpage/2026-07-31/1225448181.PDF</x:v>
      </x:c>
      <x:c r="L138" s="40" t="str">
        <x:v>第1页</x:v>
      </x:c>
      <x:c r="M138" s="51" t="str">
        <x:v>香港交易及結算所有限公司及香港聯合交易所有限公司對本公告的內容概不負責，對其準確性或完整 性亦不發表任何聲明，並明確表示，概不對因本公告全部或任何部份內容而產生或因倚賴該等內容而 引致的任何損失承擔任何責任。 SEMICONDUCTOR MANUFACTURING INTERNATIONAL CORPORATION 中 芯 國 際 集 成 電 路 製 造 有 限 公 司 * （於開曼群島註冊成立之有限公司） （股份代號：00981） 董事會會議日期通知 根據香港聯合交易所有限公司證券上市規則第13.43條，中芯國際集成電路製造有限公司 （ 「本 公司」）特此通知，本公司謹訂於2026年8月13日（星期四）舉行董事會會議，旨在批准刊發 本公司截至2026年6月30日止三個月未經審計業績公告。 承董事會命 中芯國際集成電路製造有限公司 公司秘書 / 董事會秘書 郭光莉 中國上海，2026 年 7 月 30 日 於本公告日期，本公司董事分別為： 執行董事 劉訓峰 非執行董事 魯國慶 陳山枝 楊魯閩 黃登山 獨立非執行董事 范仁達 劉明 吳漢明 陳信元 * 僅供識別</x:v>
      </x:c>
      <x:c r="N138" s="41" t="str">
        <x:v>0-无关</x:v>
      </x:c>
      <x:c r="O138" s="41" t="str">
        <x:v>否</x:v>
      </x:c>
      <x:c r="P138" s="57" t="str">
        <x:v>《港股公告：董事会会议日期通知》主要涉及治理、股权、会议、分红或其他事项，未披露“八英寸/十二英寸结构与综合毛利率”相关实质证据。</x:v>
      </x:c>
      <x:c r="Q138" s="41" t="str">
        <x:v>B-CODEX-FIN-01</x:v>
      </x:c>
      <x:c r="R138" s="80" t="inlineStr">
        <x:is>
          <x:t>2026-08-28T03:00:25+08:00</x:t>
        </x:is>
      </x:c>
    </x:row>
    <x:row r="139" ht="72" customHeight="1">
      <x:c r="A139" s="64" t="str">
        <x:v>V5-R-Q014-C01</x:v>
      </x:c>
      <x:c r="B139" s="64" t="str">
        <x:v>V5-E-688981-C01</x:v>
      </x:c>
      <x:c r="C139" s="64" t="str">
        <x:v>V5-Q014</x:v>
      </x:c>
      <x:c r="D139" s="40" t="str">
        <x:v>中芯国际</x:v>
      </x:c>
      <x:c r="E139" s="64" t="str">
        <x:v>688981</x:v>
      </x:c>
      <x:c r="F139" s="87" t="n">
        <x:v>46260.75</x:v>
      </x:c>
      <x:c r="G139" s="51" t="str">
        <x:v>八英寸与十二英寸产品结构变化能否改善综合毛利率</x:v>
      </x:c>
      <x:c r="H139" s="64" t="str">
        <x:v>DOC-EVT-688981-00335</x:v>
      </x:c>
      <x:c r="I139" s="51" t="str">
        <x:v>中芯国际关于开展套期保值业务的可行性报告</x:v>
      </x:c>
      <x:c r="J139" s="87" t="n">
        <x:v>46157</x:v>
      </x:c>
      <x:c r="K139" s="73" t="str">
        <x:v>http://static.cninfo.com.cn/finalpage/2026-05-15/1225307107.PDF</x:v>
      </x:c>
      <x:c r="L139" s="40" t="str">
        <x:v>第1页</x:v>
      </x:c>
      <x:c r="M139" s="51" t="str">
        <x:v>1 中芯国际集成电路制造有限公司 关于开展套期保值业务的可行性报告 一、开展套期保值业务情况概述 1. 交易目的 为防范公司及下属全资或控股子公司外汇汇率与利率风险，进一步提高应 对外汇、利率波动风险的能力，增强财务稳健性，公司及子公司通过金融衍生 工具开展外汇与利率相关的套期保值工作。 2. 交易规模 公司及下属全资或控股子公司存量金融衍生品的名义总金额在任何时间点 最高不超过公司 2025 年度经审计净资产的 50%。套期保值业务有关授信额度 或保证金占用规模根据公司实际业务的需要确定。 3. 资金来源 开展套期保值业务资金来源为自有资金、债务融资以及公司通过法律法规 允许的其他方式筹集的资金。 4. 交易方式 拟开展套期保值业务所涉及的币种只限于公司及下属子公司生产经营所使 用的主要结算货币，包括但不限于人民币、美元、日元、欧元、港币等。 拟开展套期保值业务的具体方式或产品主要包括但不限于：远期结售汇、 外汇掉期、外汇期权、 交叉货币掉期 、利率掉期、利率期权等产品或上述产品 的组合。 5. 授权及期限 授权管理层在额度范围和有效期内开展套期保值业务并签署相关文件。授 权期限为 2026 年度股东会审议通过之日起至 2027 年度股东会日止，在该期限 内可循环滚动使用交易额度。</x:v>
      </x:c>
      <x:c r="N139" s="41" t="str">
        <x:v>0-无关</x:v>
      </x:c>
      <x:c r="O139" s="41" t="str">
        <x:v>否</x:v>
      </x:c>
      <x:c r="P139" s="57" t="str">
        <x:v>《中芯国际关于开展套期保值业务的可行性报告》主要涉及治理、股权、会议、分红或其他事项，未披露“八英寸/十二英寸结构与综合毛利率”相关实质证据。</x:v>
      </x:c>
      <x:c r="Q139" s="41" t="str">
        <x:v>B-CODEX-FIN-01</x:v>
      </x:c>
      <x:c r="R139" s="80" t="inlineStr">
        <x:is>
          <x:t>2026-08-28T03:00:25+08:00</x:t>
        </x:is>
      </x:c>
    </x:row>
    <x:row r="140" ht="72" customHeight="1">
      <x:c r="A140" s="64" t="str">
        <x:v>V5-R-Q014-C06</x:v>
      </x:c>
      <x:c r="B140" s="64" t="str">
        <x:v>V5-E-688981-C06</x:v>
      </x:c>
      <x:c r="C140" s="64" t="str">
        <x:v>V5-Q014</x:v>
      </x:c>
      <x:c r="D140" s="40" t="str">
        <x:v>中芯国际</x:v>
      </x:c>
      <x:c r="E140" s="64" t="str">
        <x:v>688981</x:v>
      </x:c>
      <x:c r="F140" s="87" t="n">
        <x:v>46260.75</x:v>
      </x:c>
      <x:c r="G140" s="51" t="str">
        <x:v>八英寸与十二英寸产品结构变化能否改善综合毛利率</x:v>
      </x:c>
      <x:c r="H140" s="64" t="str">
        <x:v>DOC-EVT-688981-00035</x:v>
      </x:c>
      <x:c r="I140" s="51" t="str">
        <x:v>海通证券股份有限公司、中国国际金融股份有限公司关于中芯国际首次公开发行A股股票并在科创板上市之保荐总结报告书</x:v>
      </x:c>
      <x:c r="J140" s="87" t="n">
        <x:v>45385</x:v>
      </x:c>
      <x:c r="K140" s="73" t="str">
        <x:v>http://static.cninfo.com.cn/finalpage/2024-04-03/1219505689.PDF</x:v>
      </x:c>
      <x:c r="L140" s="40" t="str">
        <x:v>第1页</x:v>
      </x:c>
      <x:c r="M140" s="51" t="str">
        <x:v>1 海通证券股份有限公司、中国国际金融股份有限公司 关于中芯国际集成电路制造有限公司 首次公开发行 A 股股票并在科创板上市 之保荐总结报告书 保荐机构名称： 海通证券股份有限公司、中国国际金融股份有限公司 保荐机构编号： Z22531000、Y00111000 经中国证券监督管理委员会《关于同意中芯国际集成电路制造有限公司首次公 开发行股票注册的批复》（证监许可[2020]1278 号）批复，中芯国际集成电路制造 有限公司（以下简称“上市公司”、“公司”或“发行人”）首次公开发行 A 股股票 193,846.30 万股（含超额配售选择权），每股面值0.004 美元，每股发行价格人民币 27.46 元，募集资金总额为人民币5,323,019.40 万元，扣除发行费用后，实际募集资 金净额为人民币 5,253,820.15 万元。本次发行证券已于 2020 年 7 月 16 日在上海证 券交易所科创板上市。海通证券股份有限公司（以下简称“联合保荐机构”或“海 通证券”）、中国国际金融股份有限公司（以下简称“联合保荐机构”、“中金公 司”）担任其持续督导联合保荐机构，持续督导期间为2020 年 7 月 16 日至 2023 年 12 月 31 日。 2023 年 12 月 31 日，持续督导期已届满，海通证券、中金公司根据《证券发行 上市保荐业务管理办法》《上海证券交易所科创板股票上市规则》 《上海证券交易所 科创板上市公司自律监管指引第 1 号——规范运作》等法规、 规范性文…</x:v>
      </x:c>
      <x:c r="N140" s="41" t="str">
        <x:v>0-无关</x:v>
      </x:c>
      <x:c r="O140" s="41" t="str">
        <x:v>否</x:v>
      </x:c>
      <x:c r="P140" s="57" t="str">
        <x:v>《海通证券股份有限公司、中国国际金融股份有限公司关于中芯国际首次公开发行A股股票并在科创板上市之保荐总结报告书》主要涉及治理、股权、会议、分红或其他事项，未披露“八英寸/十二英寸结构与综合毛利率”相关实质证据。</x:v>
      </x:c>
      <x:c r="Q140" s="41" t="str">
        <x:v>B-CODEX-FIN-01</x:v>
      </x:c>
      <x:c r="R140" s="80" t="inlineStr">
        <x:is>
          <x:t>2026-08-28T03:00:25+08:00</x:t>
        </x:is>
      </x:c>
    </x:row>
    <x:row r="141" ht="72" customHeight="1">
      <x:c r="A141" s="64" t="str">
        <x:v>V5-R-Q014-C09</x:v>
      </x:c>
      <x:c r="B141" s="64" t="str">
        <x:v>V5-E-688981-C09</x:v>
      </x:c>
      <x:c r="C141" s="64" t="str">
        <x:v>V5-Q014</x:v>
      </x:c>
      <x:c r="D141" s="40" t="str">
        <x:v>中芯国际</x:v>
      </x:c>
      <x:c r="E141" s="64" t="str">
        <x:v>688981</x:v>
      </x:c>
      <x:c r="F141" s="87" t="n">
        <x:v>46260.75</x:v>
      </x:c>
      <x:c r="G141" s="51" t="str">
        <x:v>八英寸与十二英寸产品结构变化能否改善综合毛利率</x:v>
      </x:c>
      <x:c r="H141" s="64" t="str">
        <x:v>DOC-EVT-688981-00372</x:v>
      </x:c>
      <x:c r="I141" s="51" t="str">
        <x:v>港股公告：证券变动月报表</x:v>
      </x:c>
      <x:c r="J141" s="87" t="n">
        <x:v>46240</x:v>
      </x:c>
      <x:c r="K141" s="73" t="str">
        <x:v>http://static.cninfo.com.cn/finalpage/2026-08-06/1225459009.PDF</x:v>
      </x:c>
      <x:c r="L141" s="40" t="str">
        <x:v>第1页</x:v>
      </x:c>
      <x:c r="M141" s="51" t="str">
        <x:v>FF301 ∉  ⊈ಊṉọᄅḸі ٺ୍ᄅರ ⊯Ⅲࢌ ඳ ඳ଀Ẁඳ ರ௹ ୍ᄅರ Чṉọ ٳٺܢܢ⦁ ҂ℳႨ෮ഈ൧ 䩏 ൞ ⊈ಊսὂ ೂഈ൧  䪌ૼ ↥ ଢ ૫ᆴЧ ᾵թ     64%  64%    㦆ഒ   64% ᾵թ     64%  64%    ٳٺܢܢ⦁ ҂ℳႨ෮ഈ൧ 䩏 ڎ ⊈ಊսὂ ೂഈ൧ /" 䪌ૼ ↥ ଢ ૫ᆴЧ ᾵թ    64%  64%    㦆ഒ  64% ᾵թ    64%  64%    Ч⊺ỡğ 64%   </x:v>
      </x:c>
      <x:c r="N141" s="41" t="str">
        <x:v>0-无关</x:v>
      </x:c>
      <x:c r="O141" s="41" t="str">
        <x:v>否</x:v>
      </x:c>
      <x:c r="P141" s="57" t="str">
        <x:v>《港股公告：证券变动月报表》主要涉及治理、股权、会议、分红或其他事项，未披露“八英寸/十二英寸结构与综合毛利率”相关实质证据。</x:v>
      </x:c>
      <x:c r="Q141" s="41" t="str">
        <x:v>B-CODEX-FIN-01</x:v>
      </x:c>
      <x:c r="R141" s="80" t="inlineStr">
        <x:is>
          <x:t>2026-08-28T03:00:25+08:00</x:t>
        </x:is>
      </x:c>
    </x:row>
    <x:row r="142" ht="72" customHeight="1">
      <x:c r="A142" s="64" t="str">
        <x:v>V5-R-Q015-C01</x:v>
      </x:c>
      <x:c r="B142" s="64" t="str">
        <x:v>V5-E-688981-C01</x:v>
      </x:c>
      <x:c r="C142" s="64" t="str">
        <x:v>V5-Q015</x:v>
      </x:c>
      <x:c r="D142" s="40" t="str">
        <x:v>中芯国际</x:v>
      </x:c>
      <x:c r="E142" s="64" t="str">
        <x:v>688981</x:v>
      </x:c>
      <x:c r="F142" s="87" t="n">
        <x:v>46260.75</x:v>
      </x:c>
      <x:c r="G142" s="51" t="str">
        <x:v>设备采购与建设周期是否会降低新增资本开支效率</x:v>
      </x:c>
      <x:c r="H142" s="64" t="str">
        <x:v>DOC-EVT-688981-00335</x:v>
      </x:c>
      <x:c r="I142" s="51" t="str">
        <x:v>中芯国际关于开展套期保值业务的可行性报告</x:v>
      </x:c>
      <x:c r="J142" s="87" t="n">
        <x:v>46157</x:v>
      </x:c>
      <x:c r="K142" s="73" t="str">
        <x:v>http://static.cninfo.com.cn/finalpage/2026-05-15/1225307107.PDF</x:v>
      </x:c>
      <x:c r="L142" s="40" t="str">
        <x:v>第1页</x:v>
      </x:c>
      <x:c r="M142" s="51" t="str">
        <x:v>1 中芯国际集成电路制造有限公司 关于开展套期保值业务的可行性报告 一、开展套期保值业务情况概述 1. 交易目的 为防范公司及下属全资或控股子公司外汇汇率与利率风险，进一步提高应 对外汇、利率波动风险的能力，增强财务稳健性，公司及子公司通过金融衍生 工具开展外汇与利率相关的套期保值工作。 2. 交易规模 公司及下属全资或控股子公司存量金融衍生品的名义总金额在任何时间点 最高不超过公司 2025 年度经审计净资产的 50%。套期保值业务有关授信额度 或保证金占用规模根据公司实际业务的需要确定。 3. 资金来源 开展套期保值业务资金来源为自有资金、债务融资以及公司通过法律法规 允许的其他方式筹集的资金。 4. 交易方式 拟开展套期保值业务所涉及的币种只限于公司及下属子公司生产经营所使 用的主要结算货币，包括但不限于人民币、美元、日元、欧元、港币等。 拟开展套期保值业务的具体方式或产品主要包括但不限于：远期结售汇、 外汇掉期、外汇期权、 交叉货币掉期 、利率掉期、利率期权等产品或上述产品 的组合。 5. 授权及期限 授权管理层在额度范围和有效期内开展套期保值业务并签署相关文件。授 权期限为 2026 年度股东会审议通过之日起至 2027 年度股东会日止，在该期限 内可循环滚动使用交易额度。</x:v>
      </x:c>
      <x:c r="N142" s="41" t="str">
        <x:v>0-无关</x:v>
      </x:c>
      <x:c r="O142" s="41" t="str">
        <x:v>否</x:v>
      </x:c>
      <x:c r="P142" s="57" t="str">
        <x:v>《中芯国际关于开展套期保值业务的可行性报告》主要涉及治理、股权、会议、分红或其他事项，未披露“设备采购建设周期与资本开支效率”相关实质证据。</x:v>
      </x:c>
      <x:c r="Q142" s="41" t="str">
        <x:v>B-CODEX-FIN-01</x:v>
      </x:c>
      <x:c r="R142" s="80" t="inlineStr">
        <x:is>
          <x:t>2026-08-28T03:00:25+08:00</x:t>
        </x:is>
      </x:c>
    </x:row>
    <x:row r="143" ht="72" customHeight="1">
      <x:c r="A143" s="64" t="str">
        <x:v>V5-R-Q015-C05</x:v>
      </x:c>
      <x:c r="B143" s="64" t="str">
        <x:v>V5-E-688981-C05</x:v>
      </x:c>
      <x:c r="C143" s="64" t="str">
        <x:v>V5-Q015</x:v>
      </x:c>
      <x:c r="D143" s="40" t="str">
        <x:v>中芯国际</x:v>
      </x:c>
      <x:c r="E143" s="64" t="str">
        <x:v>688981</x:v>
      </x:c>
      <x:c r="F143" s="87" t="n">
        <x:v>46260.75</x:v>
      </x:c>
      <x:c r="G143" s="51" t="str">
        <x:v>设备采购与建设周期是否会降低新增资本开支效率</x:v>
      </x:c>
      <x:c r="H143" s="64" t="str">
        <x:v>DOC-EVT-688981-00166</x:v>
      </x:c>
      <x:c r="I143" s="51" t="str">
        <x:v>中芯国际2025年半年度报告摘要</x:v>
      </x:c>
      <x:c r="J143" s="87" t="n">
        <x:v>45898</x:v>
      </x:c>
      <x:c r="K143" s="73" t="str">
        <x:v>http://static.cninfo.com.cn/finalpage/2025-08-29/1224608544.PDF</x:v>
      </x:c>
      <x:c r="L143" s="40" t="str">
        <x:v>第1页</x:v>
      </x:c>
      <x:c r="M143" s="51" t="str">
        <x:v>公司代码：688981 公司简称：中芯国际 中芯国际集成电路制造有限公司 2025 年半年度报告摘要</x:v>
      </x:c>
      <x:c r="N143" s="41" t="str">
        <x:v>2-间接相关</x:v>
      </x:c>
      <x:c r="O143" s="41" t="str">
        <x:v>是</x:v>
      </x:c>
      <x:c r="P143" s="57" t="str">
        <x:v>半年报摘要提供资本开支与建设进度的阶段性财务信息，能够支持“设备采购建设周期与资本开支效率”的中间环节，但未完整量化最终影响。</x:v>
      </x:c>
      <x:c r="Q143" s="41" t="str">
        <x:v>B-CODEX-FIN-01</x:v>
      </x:c>
      <x:c r="R143" s="80" t="inlineStr">
        <x:is>
          <x:t>2026-08-28T03:00:25+08:00</x:t>
        </x:is>
      </x:c>
    </x:row>
    <x:row r="144" ht="72" customHeight="1">
      <x:c r="A144" s="64" t="str">
        <x:v>V5-R-Q015-C04</x:v>
      </x:c>
      <x:c r="B144" s="64" t="str">
        <x:v>V5-E-688981-C04</x:v>
      </x:c>
      <x:c r="C144" s="64" t="str">
        <x:v>V5-Q015</x:v>
      </x:c>
      <x:c r="D144" s="40" t="str">
        <x:v>中芯国际</x:v>
      </x:c>
      <x:c r="E144" s="64" t="str">
        <x:v>688981</x:v>
      </x:c>
      <x:c r="F144" s="87" t="n">
        <x:v>46260.75</x:v>
      </x:c>
      <x:c r="G144" s="51" t="str">
        <x:v>设备采购与建设周期是否会降低新增资本开支效率</x:v>
      </x:c>
      <x:c r="H144" s="64" t="str">
        <x:v>DOC-EVT-688981-00144</x:v>
      </x:c>
      <x:c r="I144" s="51" t="str">
        <x:v>中芯国际关于开展套期保值业务的可行性报告</x:v>
      </x:c>
      <x:c r="J144" s="87" t="n">
        <x:v>45786</x:v>
      </x:c>
      <x:c r="K144" s="73" t="str">
        <x:v>http://static.cninfo.com.cn/finalpage/2025-05-09/1223496519.PDF</x:v>
      </x:c>
      <x:c r="L144" s="40" t="str">
        <x:v>第1页</x:v>
      </x:c>
      <x:c r="M144" s="51" t="str">
        <x:v>1 中芯国际集成电路制造有限公司 关于开展套期保值业务的可行性报告 一、开展套期保值业务情况概述 1. 交易目的 为防范公司及下属全资或控股子公司外汇汇率与利率风险，进一步提高应 对外汇、利率波动风险的能力，增强财务稳健性，公司及子公司通过金融衍生 工具开展外汇与利率相关的套期保值工作。 2. 交易规模 公司及下属全资或控股子公司存量金融衍生品的名义总金额在任何时间点 最高不超过公司 2024 年度经审计净资产的 50%。套期保值业务有关授信额度 或保证金占用规模根据公司实际业务的需要确定。 3. 资金来源 开展套期保值业务资金来源为自有资金、债务融资以及公司通过法律法规 允许的其他方式筹集的资金。 4. 交易方式 拟开展套期保值业务所涉及的币种只限于公司及下属子公司生产经营所使 用的主要结算货币，包括但不限于人民币、美元、日元、欧元等。 拟开展套期保值业务的具体方式或产品主要包括但不限于：远期结售汇、 外汇掉期、外汇期权、 交叉货币掉期 、利率掉期、利率期权等产品或上述产品 的组合。 5. 授权及期限 授权管理层在额度范围和有效期内开展套期保值业务并签署相关文件。授 权期限为 2025 年股东周年大会审议通过之日起至 2026 年股东周年大会日止， 在该期限内可循环滚动使用交易额度。</x:v>
      </x:c>
      <x:c r="N144" s="41" t="str">
        <x:v>0-无关</x:v>
      </x:c>
      <x:c r="O144" s="41" t="str">
        <x:v>否</x:v>
      </x:c>
      <x:c r="P144" s="57" t="str">
        <x:v>《中芯国际关于开展套期保值业务的可行性报告》主要涉及治理、股权、会议、分红或其他事项，未披露“设备采购建设周期与资本开支效率”相关实质证据。</x:v>
      </x:c>
      <x:c r="Q144" s="41" t="str">
        <x:v>B-CODEX-FIN-01</x:v>
      </x:c>
      <x:c r="R144" s="80" t="inlineStr">
        <x:is>
          <x:t>2026-08-28T03:00:25+08:00</x:t>
        </x:is>
      </x:c>
    </x:row>
    <x:row r="145" ht="72" customHeight="1">
      <x:c r="A145" s="64" t="str">
        <x:v>V5-R-Q015-C10</x:v>
      </x:c>
      <x:c r="B145" s="64" t="str">
        <x:v>V5-E-688981-C10</x:v>
      </x:c>
      <x:c r="C145" s="64" t="str">
        <x:v>V5-Q015</x:v>
      </x:c>
      <x:c r="D145" s="40" t="str">
        <x:v>中芯国际</x:v>
      </x:c>
      <x:c r="E145" s="64" t="str">
        <x:v>688981</x:v>
      </x:c>
      <x:c r="F145" s="87" t="n">
        <x:v>46260.75</x:v>
      </x:c>
      <x:c r="G145" s="51" t="str">
        <x:v>设备采购与建设周期是否会降低新增资本开支效率</x:v>
      </x:c>
      <x:c r="H145" s="64" t="str">
        <x:v>DOC-EVT-688981-00371</x:v>
      </x:c>
      <x:c r="I145" s="51" t="str">
        <x:v>港股公告：董事会会议日期通知</x:v>
      </x:c>
      <x:c r="J145" s="87" t="n">
        <x:v>46234</x:v>
      </x:c>
      <x:c r="K145" s="73" t="str">
        <x:v>http://static.cninfo.com.cn/finalpage/2026-07-31/1225448181.PDF</x:v>
      </x:c>
      <x:c r="L145" s="40" t="str">
        <x:v>第1页</x:v>
      </x:c>
      <x:c r="M145" s="51" t="str">
        <x:v>香港交易及結算所有限公司及香港聯合交易所有限公司對本公告的內容概不負責，對其準確性或完整 性亦不發表任何聲明，並明確表示，概不對因本公告全部或任何部份內容而產生或因倚賴該等內容而 引致的任何損失承擔任何責任。 SEMICONDUCTOR MANUFACTURING INTERNATIONAL CORPORATION 中 芯 國 際 集 成 電 路 製 造 有 限 公 司 * （於開曼群島註冊成立之有限公司） （股份代號：00981） 董事會會議日期通知 根據香港聯合交易所有限公司證券上市規則第13.43條，中芯國際集成電路製造有限公司 （ 「本 公司」）特此通知，本公司謹訂於2026年8月13日（星期四）舉行董事會會議，旨在批准刊發 本公司截至2026年6月30日止三個月未經審計業績公告。 承董事會命 中芯國際集成電路製造有限公司 公司秘書 / 董事會秘書 郭光莉 中國上海，2026 年 7 月 30 日 於本公告日期，本公司董事分別為： 執行董事 劉訓峰 非執行董事 魯國慶 陳山枝 楊魯閩 黃登山 獨立非執行董事 范仁達 劉明 吳漢明 陳信元 * 僅供識別</x:v>
      </x:c>
      <x:c r="N145" s="41" t="str">
        <x:v>0-无关</x:v>
      </x:c>
      <x:c r="O145" s="41" t="str">
        <x:v>否</x:v>
      </x:c>
      <x:c r="P145" s="57" t="str">
        <x:v>《港股公告：董事会会议日期通知》主要涉及治理、股权、会议、分红或其他事项，未披露“设备采购建设周期与资本开支效率”相关实质证据。</x:v>
      </x:c>
      <x:c r="Q145" s="41" t="str">
        <x:v>B-CODEX-FIN-01</x:v>
      </x:c>
      <x:c r="R145" s="80" t="inlineStr">
        <x:is>
          <x:t>2026-08-28T03:00:25+08:00</x:t>
        </x:is>
      </x:c>
    </x:row>
    <x:row r="146" ht="72" customHeight="1">
      <x:c r="A146" s="64" t="str">
        <x:v>V5-R-Q015-C07</x:v>
      </x:c>
      <x:c r="B146" s="64" t="str">
        <x:v>V5-E-688981-C07</x:v>
      </x:c>
      <x:c r="C146" s="64" t="str">
        <x:v>V5-Q015</x:v>
      </x:c>
      <x:c r="D146" s="40" t="str">
        <x:v>中芯国际</x:v>
      </x:c>
      <x:c r="E146" s="64" t="str">
        <x:v>688981</x:v>
      </x:c>
      <x:c r="F146" s="87" t="n">
        <x:v>46260.75</x:v>
      </x:c>
      <x:c r="G146" s="51" t="str">
        <x:v>设备采购与建设周期是否会降低新增资本开支效率</x:v>
      </x:c>
      <x:c r="H146" s="64" t="str">
        <x:v>DOC-EVT-688981-00211</x:v>
      </x:c>
      <x:c r="I146" s="51" t="str">
        <x:v>港股公告：中芯国际截至2025年9月30日止三个月未经审核业绩公布</x:v>
      </x:c>
      <x:c r="J146" s="87" t="n">
        <x:v>45975</x:v>
      </x:c>
      <x:c r="K146" s="73" t="str">
        <x:v>http://static.cninfo.com.cn/finalpage/2025-11-14/1224804087.PDF</x:v>
      </x:c>
      <x:c r="L146" s="40" t="str">
        <x:v>第1页</x:v>
      </x:c>
      <x:c r="M146" s="51" t="str">
        <x:v>-1- 香港交易及結算所有限公司及香港聯合交易所有限公司對本公告的內容概不負責，對其準確性或完整性 亦不發表任何聲明，並明確表示，概不對因本文檔全部或任何部份內容而産生或因倚賴該等內容而引致 的任何損失承擔任何責任。 SEMICONDUCTOR MANUFACTURING INTERNATIONAL CORPORATIO N 中芯國際集成電路製造有限公司 * (於開曼群島注冊成立之有限公司) (股份代號：0098 1) 中芯國際截至 202 5年9月30 日止三個月未經審核業績公佈 除非以下額外說明，本合併財務信息係依國際財務報告準則編製且表達。  2025 年第三季的銷售收入為 2,381.8 百萬美元，2025 年第二季的銷售收入為 2,209.1 百萬美元， 2024 年第三季的銷售收入為 2,171.2 百萬美元。  2025 年第三季毛利為 522.8 百萬美元，2025 年第二季毛利為 449.8 百萬美元，2024 年第三季毛 利為 444.2 百萬美元。  2025 年第三季毛利率為 22.0%，2025 年第二季毛利率為 20.4%，2024 年第三季毛利率為 20.5%。 以下爲本公司及其子公司(「本集團」)於 2025 年 11 月 13 日就截至 2025 年 9 月 30 日止三個月的未經 審核業績公佈全文。 除非特別指明，所有貨幣以美元列賬。 中國上海─ 2025 年 11 月 13 日─ 國際主要半導體代工製造商中芯國際集成電路製造有限公…</x:v>
      </x:c>
      <x:c r="N146" s="41" t="str">
        <x:v>2-间接相关</x:v>
      </x:c>
      <x:c r="O146" s="41" t="str">
        <x:v>是</x:v>
      </x:c>
      <x:c r="P146" s="57" t="str">
        <x:v>季度业绩披露资本开支、折旧和产能相关信息，能够支持“设备采购建设周期与资本开支效率”的中间环节，但未完整量化最终影响。</x:v>
      </x:c>
      <x:c r="Q146" s="41" t="str">
        <x:v>B-CODEX-FIN-01</x:v>
      </x:c>
      <x:c r="R146" s="80" t="inlineStr">
        <x:is>
          <x:t>2026-08-28T03:00:25+08:00</x:t>
        </x:is>
      </x:c>
    </x:row>
    <x:row r="147" ht="72" customHeight="1">
      <x:c r="A147" s="64" t="str">
        <x:v>V5-R-Q015-C08</x:v>
      </x:c>
      <x:c r="B147" s="64" t="str">
        <x:v>V5-E-688981-C08</x:v>
      </x:c>
      <x:c r="C147" s="64" t="str">
        <x:v>V5-Q015</x:v>
      </x:c>
      <x:c r="D147" s="40" t="str">
        <x:v>中芯国际</x:v>
      </x:c>
      <x:c r="E147" s="64" t="str">
        <x:v>688981</x:v>
      </x:c>
      <x:c r="F147" s="87" t="n">
        <x:v>46260.75</x:v>
      </x:c>
      <x:c r="G147" s="51" t="str">
        <x:v>设备采购与建设周期是否会降低新增资本开支效率</x:v>
      </x:c>
      <x:c r="H147" s="64" t="str">
        <x:v>DOC-EVT-688981-00370</x:v>
      </x:c>
      <x:c r="I147" s="51" t="str">
        <x:v>中芯国际关于召开2026年第二季度业绩说明会的预告公告</x:v>
      </x:c>
      <x:c r="J147" s="87" t="n">
        <x:v>46234</x:v>
      </x:c>
      <x:c r="K147" s="73" t="str">
        <x:v>http://static.cninfo.com.cn/finalpage/2026-07-31/1225448405.PDF</x:v>
      </x:c>
      <x:c r="L147" s="40" t="str">
        <x:v>第1页</x:v>
      </x:c>
      <x:c r="M147" s="51" t="str">
        <x:v>1 A股代码：688981 A股简称：中芯国际 公告编号：2026-031 港股代码：00981 港股简称：中芯国际 中芯国际集成电路制造有限公司 关于召开2026年第二季度业绩说明会的预告公告 本公司董事会及全体董事保证本公告内容不存在任何虚假记载、误导性陈 述或者重大遗漏，并对其内容的真实性、准确性和完整性依法承担法律责任。 重要事项提示：  会议召开时间：2026年8月14日（星期五）上午8:30-9:30  会议召开方式：网络/电话会议 一、说明会类型 中芯国际集成电路制造有限公司（以下简称“公司”）将于2026年8月13日 交易时段后披露公司2026年第二季度业绩，相关内容请详见上海证券交易所网 站（http://www.sse.com.cn/）及香港交易所网站（https://www.hkex.com.hk/）。 为方便广大投资者更全面深入了解公司经营业绩的具体情况，公司拟于 2026年8月14日举行“2026年第二季度业绩说明会”。 二、说明会召开的时间、地点 说明会将于2026年8月14日（星期五）上午8:30-9:30通过网络/电话会议方 式举行。 三、参加人员 公司管理层 四、投资者参加方式</x:v>
      </x:c>
      <x:c r="N147" s="41" t="str">
        <x:v>0-无关</x:v>
      </x:c>
      <x:c r="O147" s="41" t="str">
        <x:v>否</x:v>
      </x:c>
      <x:c r="P147" s="57" t="str">
        <x:v>《中芯国际关于召开2026年第二季度业绩说明会的预告公告》主要涉及治理、股权、会议、分红或其他事项，未披露“设备采购建设周期与资本开支效率”相关实质证据。</x:v>
      </x:c>
      <x:c r="Q147" s="41" t="str">
        <x:v>B-CODEX-FIN-01</x:v>
      </x:c>
      <x:c r="R147" s="80" t="inlineStr">
        <x:is>
          <x:t>2026-08-28T03:00:25+08:00</x:t>
        </x:is>
      </x:c>
    </x:row>
    <x:row r="148" ht="72" customHeight="1">
      <x:c r="A148" s="64" t="str">
        <x:v>V5-R-Q015-C06</x:v>
      </x:c>
      <x:c r="B148" s="64" t="str">
        <x:v>V5-E-688981-C06</x:v>
      </x:c>
      <x:c r="C148" s="64" t="str">
        <x:v>V5-Q015</x:v>
      </x:c>
      <x:c r="D148" s="40" t="str">
        <x:v>中芯国际</x:v>
      </x:c>
      <x:c r="E148" s="64" t="str">
        <x:v>688981</x:v>
      </x:c>
      <x:c r="F148" s="87" t="n">
        <x:v>46260.75</x:v>
      </x:c>
      <x:c r="G148" s="51" t="str">
        <x:v>设备采购与建设周期是否会降低新增资本开支效率</x:v>
      </x:c>
      <x:c r="H148" s="64" t="str">
        <x:v>DOC-EVT-688981-00035</x:v>
      </x:c>
      <x:c r="I148" s="51" t="str">
        <x:v>海通证券股份有限公司、中国国际金融股份有限公司关于中芯国际首次公开发行A股股票并在科创板上市之保荐总结报告书</x:v>
      </x:c>
      <x:c r="J148" s="87" t="n">
        <x:v>45385</x:v>
      </x:c>
      <x:c r="K148" s="73" t="str">
        <x:v>http://static.cninfo.com.cn/finalpage/2024-04-03/1219505689.PDF</x:v>
      </x:c>
      <x:c r="L148" s="40" t="str">
        <x:v>第1页</x:v>
      </x:c>
      <x:c r="M148" s="51" t="str">
        <x:v>1 海通证券股份有限公司、中国国际金融股份有限公司 关于中芯国际集成电路制造有限公司 首次公开发行 A 股股票并在科创板上市 之保荐总结报告书 保荐机构名称： 海通证券股份有限公司、中国国际金融股份有限公司 保荐机构编号： Z22531000、Y00111000 经中国证券监督管理委员会《关于同意中芯国际集成电路制造有限公司首次公 开发行股票注册的批复》（证监许可[2020]1278 号）批复，中芯国际集成电路制造 有限公司（以下简称“上市公司”、“公司”或“发行人”）首次公开发行 A 股股票 193,846.30 万股（含超额配售选择权），每股面值0.004 美元，每股发行价格人民币 27.46 元，募集资金总额为人民币5,323,019.40 万元，扣除发行费用后，实际募集资 金净额为人民币 5,253,820.15 万元。本次发行证券已于 2020 年 7 月 16 日在上海证 券交易所科创板上市。海通证券股份有限公司（以下简称“联合保荐机构”或“海 通证券”）、中国国际金融股份有限公司（以下简称“联合保荐机构”、“中金公 司”）担任其持续督导联合保荐机构，持续督导期间为2020 年 7 月 16 日至 2023 年 12 月 31 日。 2023 年 12 月 31 日，持续督导期已届满，海通证券、中金公司根据《证券发行 上市保荐业务管理办法》《上海证券交易所科创板股票上市规则》 《上海证券交易所 科创板上市公司自律监管指引第 1 号——规范运作》等法规、 规范性文…</x:v>
      </x:c>
      <x:c r="N148" s="41" t="str">
        <x:v>1-弱相关</x:v>
      </x:c>
      <x:c r="O148" s="41" t="str">
        <x:v>否</x:v>
      </x:c>
      <x:c r="P148" s="57" t="str">
        <x:v>《海通证券股份有限公司、中国国际金融股份有限公司关于中芯国际首次公开发行A股股票并在科创板上市之保荐总结报告书》仅提供公司阶段性经营、财务或相邻业务背景，未同时覆盖“设备采购建设周期与资本开支效率”的核心变量，相关性较弱。</x:v>
      </x:c>
      <x:c r="Q148" s="41" t="str">
        <x:v>B-CODEX-FIN-01</x:v>
      </x:c>
      <x:c r="R148" s="80" t="inlineStr">
        <x:is>
          <x:t>2026-08-28T03:00:25+08:00</x:t>
        </x:is>
      </x:c>
    </x:row>
    <x:row r="149" ht="72" customHeight="1">
      <x:c r="A149" s="64" t="str">
        <x:v>V5-R-Q015-C03</x:v>
      </x:c>
      <x:c r="B149" s="64" t="str">
        <x:v>V5-E-688981-C03</x:v>
      </x:c>
      <x:c r="C149" s="64" t="str">
        <x:v>V5-Q015</x:v>
      </x:c>
      <x:c r="D149" s="40" t="str">
        <x:v>中芯国际</x:v>
      </x:c>
      <x:c r="E149" s="64" t="str">
        <x:v>688981</x:v>
      </x:c>
      <x:c r="F149" s="87" t="n">
        <x:v>46260.75</x:v>
      </x:c>
      <x:c r="G149" s="51" t="str">
        <x:v>设备采购与建设周期是否会降低新增资本开支效率</x:v>
      </x:c>
      <x:c r="H149" s="64" t="str">
        <x:v>DOC-EVT-688981-00210</x:v>
      </x:c>
      <x:c r="I149" s="51" t="str">
        <x:v>中芯国际2025年第三季度报告</x:v>
      </x:c>
      <x:c r="J149" s="87" t="n">
        <x:v>45975</x:v>
      </x:c>
      <x:c r="K149" s="73" t="str">
        <x:v>http://static.cninfo.com.cn/finalpage/2025-11-14/1224804086.PDF</x:v>
      </x:c>
      <x:c r="L149" s="40" t="str">
        <x:v>第9页</x:v>
      </x:c>
      <x:c r="M149" s="51" t="str">
        <x:v>中芯国际集成电路制造有限公司 2025 年第三季度报告 9 / 16 中信证券股份有限公司－嘉实上证科创板芯片 交易型开放式指数证券投资基金 27,609,035 人民币普通股 27,609,035 中国建设银行股份有限公司－易方达沪深 300 交易型开放式指数发起式证券投资基金 24,469,662 人民币普通股 24,469,662 上述股东关联关系或一致行动的说明 大唐控股（香港）投资有限公司为中国信息通信科技集团有限公司的全资子公司。 除此之外，公司不知悉上述其他股东是否存在关联关系或一致行动关系。 前10名股东及前10名无限售股东参与融资融券 及转融通业务情况说明（如有） 无 持股 5%以上股东、前 10 名股东及前 10 名无限售流通股股东参与转融通业务出借股份情况 □适用 √不适用 前 10 名股东及前 10 名无限售流通股股东因转融通出借/归还原因导致较上期发生变化 □适用 √不适用 四、其他提醒事项 需提醒投资者关注的关于公司报告期经营情况的其他重要信息 □适用 √不适用</x:v>
      </x:c>
      <x:c r="N149" s="41" t="str">
        <x:v>1-弱相关</x:v>
      </x:c>
      <x:c r="O149" s="41" t="str">
        <x:v>否</x:v>
      </x:c>
      <x:c r="P149" s="57" t="str">
        <x:v>《中芯国际2025年第三季度报告》仅提供公司阶段性经营、财务或相邻业务背景，未同时覆盖“设备采购建设周期与资本开支效率”的核心变量，相关性较弱。</x:v>
      </x:c>
      <x:c r="Q149" s="41" t="str">
        <x:v>B-CODEX-FIN-01</x:v>
      </x:c>
      <x:c r="R149" s="80" t="inlineStr">
        <x:is>
          <x:t>2026-08-28T03:00:25+08:00</x:t>
        </x:is>
      </x:c>
    </x:row>
    <x:row r="150" ht="72" customHeight="1">
      <x:c r="A150" s="64" t="str">
        <x:v>V5-R-Q015-C02</x:v>
      </x:c>
      <x:c r="B150" s="64" t="str">
        <x:v>V5-E-688981-C02</x:v>
      </x:c>
      <x:c r="C150" s="64" t="str">
        <x:v>V5-Q015</x:v>
      </x:c>
      <x:c r="D150" s="40" t="str">
        <x:v>中芯国际</x:v>
      </x:c>
      <x:c r="E150" s="64" t="str">
        <x:v>688981</x:v>
      </x:c>
      <x:c r="F150" s="87" t="n">
        <x:v>46260.75</x:v>
      </x:c>
      <x:c r="G150" s="51" t="str">
        <x:v>设备采购与建设周期是否会降低新增资本开支效率</x:v>
      </x:c>
      <x:c r="H150" s="64" t="str">
        <x:v>DOC-EVT-688981-00257</x:v>
      </x:c>
      <x:c r="I150" s="51" t="str">
        <x:v>国泰海通证券股份有限公司关于中芯国际集成电路制造有限公司本次交易前十二个月内购买、出售资产情况的核查意见</x:v>
      </x:c>
      <x:c r="J150" s="87" t="n">
        <x:v>46021</x:v>
      </x:c>
      <x:c r="K150" s="73" t="str">
        <x:v>http://static.cninfo.com.cn/finalpage/2025-12-30/1224907022.PDF</x:v>
      </x:c>
      <x:c r="L150" s="40" t="str">
        <x:v>第3页</x:v>
      </x:c>
      <x:c r="M150" s="51" t="str">
        <x:v>（本页无正文，为《国泰海通证券股份有限公司关于中芯国际集成电路制造有限 公司本次交易前十二个月内购买、出售资产情况的核查意见》之签章页） 独立财务顾问主办人： 徐亦潇 苏冬夷 国泰海通证券股份有限公司 年 月 日</x:v>
      </x:c>
      <x:c r="N150" s="41" t="str">
        <x:v>0-无关</x:v>
      </x:c>
      <x:c r="O150" s="41" t="str">
        <x:v>否</x:v>
      </x:c>
      <x:c r="P150" s="57" t="str">
        <x:v>《国泰海通证券股份有限公司关于中芯国际集成电路制造有限公司本次交易前十二个月内购买、出售资产情况的核查意见》主要涉及治理、股权、会议、分红或其他事项，未披露“设备采购建设周期与资本开支效率”相关实质证据。</x:v>
      </x:c>
      <x:c r="Q150" s="41" t="str">
        <x:v>B-CODEX-FIN-01</x:v>
      </x:c>
      <x:c r="R150" s="80" t="inlineStr">
        <x:is>
          <x:t>2026-08-28T03:00:25+08:00</x:t>
        </x:is>
      </x:c>
    </x:row>
    <x:row r="151" ht="72" customHeight="1">
      <x:c r="A151" s="64" t="str">
        <x:v>V5-R-Q015-C09</x:v>
      </x:c>
      <x:c r="B151" s="64" t="str">
        <x:v>V5-E-688981-C09</x:v>
      </x:c>
      <x:c r="C151" s="64" t="str">
        <x:v>V5-Q015</x:v>
      </x:c>
      <x:c r="D151" s="40" t="str">
        <x:v>中芯国际</x:v>
      </x:c>
      <x:c r="E151" s="64" t="str">
        <x:v>688981</x:v>
      </x:c>
      <x:c r="F151" s="87" t="n">
        <x:v>46260.75</x:v>
      </x:c>
      <x:c r="G151" s="51" t="str">
        <x:v>设备采购与建设周期是否会降低新增资本开支效率</x:v>
      </x:c>
      <x:c r="H151" s="64" t="str">
        <x:v>DOC-EVT-688981-00372</x:v>
      </x:c>
      <x:c r="I151" s="51" t="str">
        <x:v>港股公告：证券变动月报表</x:v>
      </x:c>
      <x:c r="J151" s="87" t="n">
        <x:v>46240</x:v>
      </x:c>
      <x:c r="K151" s="73" t="str">
        <x:v>http://static.cninfo.com.cn/finalpage/2026-08-06/1225459009.PDF</x:v>
      </x:c>
      <x:c r="L151" s="40" t="str">
        <x:v>第1页</x:v>
      </x:c>
      <x:c r="M151" s="51" t="str">
        <x:v>FF301 ∉  ⊈ಊṉọᄅḸі ٺ୍ᄅರ ⊯Ⅲࢌ ඳ ඳ଀Ẁඳ ರ௹ ୍ᄅರ Чṉọ ٳٺܢܢ⦁ ҂ℳႨ෮ഈ൧ 䩏 ൞ ⊈ಊսὂ ೂഈ൧  䪌ૼ ↥ ଢ ૫ᆴЧ ᾵թ     64%  64%    㦆ഒ   64% ᾵թ     64%  64%    ٳٺܢܢ⦁ ҂ℳႨ෮ഈ൧ 䩏 ڎ ⊈ಊսὂ ೂഈ൧ /" 䪌ૼ ↥ ଢ ૫ᆴЧ ᾵թ    64%  64%    㦆ഒ  64% ᾵թ    64%  64%    Ч⊺ỡğ 64%   </x:v>
      </x:c>
      <x:c r="N151" s="41" t="str">
        <x:v>0-无关</x:v>
      </x:c>
      <x:c r="O151" s="41" t="str">
        <x:v>否</x:v>
      </x:c>
      <x:c r="P151" s="57" t="str">
        <x:v>《港股公告：证券变动月报表》主要涉及治理、股权、会议、分红或其他事项，未披露“设备采购建设周期与资本开支效率”相关实质证据。</x:v>
      </x:c>
      <x:c r="Q151" s="41" t="str">
        <x:v>B-CODEX-FIN-01</x:v>
      </x:c>
      <x:c r="R151" s="80" t="inlineStr">
        <x:is>
          <x:t>2026-08-28T03:00:25+08:00</x:t>
        </x:is>
      </x:c>
    </x:row>
    <x:row r="152" ht="72" customHeight="1">
      <x:c r="A152" s="64" t="str">
        <x:v>V5-R-Q016-C09</x:v>
      </x:c>
      <x:c r="B152" s="64" t="str">
        <x:v>V5-E-688981-C09</x:v>
      </x:c>
      <x:c r="C152" s="64" t="str">
        <x:v>V5-Q016</x:v>
      </x:c>
      <x:c r="D152" s="40" t="str">
        <x:v>中芯国际</x:v>
      </x:c>
      <x:c r="E152" s="64" t="str">
        <x:v>688981</x:v>
      </x:c>
      <x:c r="F152" s="87" t="n">
        <x:v>46260.75</x:v>
      </x:c>
      <x:c r="G152" s="51" t="str">
        <x:v>政府补助占比变化是否影响利润的可持续性</x:v>
      </x:c>
      <x:c r="H152" s="64" t="str">
        <x:v>DOC-EVT-688981-00372</x:v>
      </x:c>
      <x:c r="I152" s="51" t="str">
        <x:v>港股公告：证券变动月报表</x:v>
      </x:c>
      <x:c r="J152" s="87" t="n">
        <x:v>46240</x:v>
      </x:c>
      <x:c r="K152" s="73" t="str">
        <x:v>http://static.cninfo.com.cn/finalpage/2026-08-06/1225459009.PDF</x:v>
      </x:c>
      <x:c r="L152" s="40" t="str">
        <x:v>第1页</x:v>
      </x:c>
      <x:c r="M152" s="51" t="str">
        <x:v>FF301 ∉  ⊈ಊṉọᄅḸі ٺ୍ᄅರ ⊯Ⅲࢌ ඳ ඳ଀Ẁඳ ರ௹ ୍ᄅರ Чṉọ ٳٺܢܢ⦁ ҂ℳႨ෮ഈ൧ 䩏 ൞ ⊈ಊսὂ ೂഈ൧  䪌ૼ ↥ ଢ ૫ᆴЧ ᾵թ     64%  64%    㦆ഒ   64% ᾵թ     64%  64%    ٳٺܢܢ⦁ ҂ℳႨ෮ഈ൧ 䩏 ڎ ⊈ಊսὂ ೂഈ൧ /" 䪌ૼ ↥ ଢ ૫ᆴЧ ᾵թ    64%  64%    㦆ഒ  64% ᾵թ    64%  64%    Ч⊺ỡğ 64%   </x:v>
      </x:c>
      <x:c r="N152" s="41" t="str">
        <x:v>0-无关</x:v>
      </x:c>
      <x:c r="O152" s="41" t="str">
        <x:v>否</x:v>
      </x:c>
      <x:c r="P152" s="57" t="str">
        <x:v>《港股公告：证券变动月报表》主要涉及治理、股权、会议、分红或其他事项，未披露“政府补助对利润及其可持续性的影响”相关实质证据。</x:v>
      </x:c>
      <x:c r="Q152" s="41" t="str">
        <x:v>B-CODEX-FIN-01</x:v>
      </x:c>
      <x:c r="R152" s="80" t="inlineStr">
        <x:is>
          <x:t>2026-08-28T03:00:25+08:00</x:t>
        </x:is>
      </x:c>
    </x:row>
    <x:row r="153" ht="72" customHeight="1">
      <x:c r="A153" s="64" t="str">
        <x:v>V5-R-Q016-C03</x:v>
      </x:c>
      <x:c r="B153" s="64" t="str">
        <x:v>V5-E-688981-C03</x:v>
      </x:c>
      <x:c r="C153" s="64" t="str">
        <x:v>V5-Q016</x:v>
      </x:c>
      <x:c r="D153" s="40" t="str">
        <x:v>中芯国际</x:v>
      </x:c>
      <x:c r="E153" s="64" t="str">
        <x:v>688981</x:v>
      </x:c>
      <x:c r="F153" s="87" t="n">
        <x:v>46260.75</x:v>
      </x:c>
      <x:c r="G153" s="51" t="str">
        <x:v>政府补助占比变化是否影响利润的可持续性</x:v>
      </x:c>
      <x:c r="H153" s="64" t="str">
        <x:v>DOC-EVT-688981-00210</x:v>
      </x:c>
      <x:c r="I153" s="51" t="str">
        <x:v>中芯国际2025年第三季度报告</x:v>
      </x:c>
      <x:c r="J153" s="87" t="n">
        <x:v>45975</x:v>
      </x:c>
      <x:c r="K153" s="73" t="str">
        <x:v>http://static.cninfo.com.cn/finalpage/2025-11-14/1224804086.PDF</x:v>
      </x:c>
      <x:c r="L153" s="40" t="str">
        <x:v>第6页</x:v>
      </x:c>
      <x:c r="M153" s="51" t="str">
        <x:v>中芯国际集成电路制造有限公司 2025 年第三季度报告 6 / 16 （四） 非经常性损益项目和金额 √适用 □不适用 单位：千元 币种：人民币 非经常性损益项目 本期金额 年初至报告期末 金额 说明 非流动性资产处置损益，包括已计提资产减 值准备的冲销部分 1,621 150,513 / 计入当期损益的政府补助，但与公司正常经 营业务密切相关、符合国家政策规定、按照 确定的标准享有、对公司损益产生持续影响 的政府补助除外 182,045 659,813 / 除同公司正常经营业务相关的有效套期保 值业务外，非金融企业持有金融资产和金融 负债产生的公允价值变动损益以及处置金 融资产和金融负债产生的损益 22,283 15,086 / 除上述各项之外的其他营业外收入和支出 3,447 -6,529 / 其他符合非经常性损益定义的损益项目 68,407 5,923 请参阅下述 说明 减：所得税影响额 -8,800 -19,412 / 少数股东权益影响额（税后） 42,544 203,018 / 合计 244,059 641,200 对公司将《公开发行证券的公司信息披露解释性公告第 1 号——非经常性损益》未列举的项目认 定为非经常性损益项目且金额重大的，以及将《公开发行证券的公司信息披露解释性公告第 1 号 ——非经常性损益》中列举的非经常性损益项目界定为经常性损益的项目，应说明原因。 √适用 □不适用 单位：千元 币种：人民币 项目 年初至报告期末金额 本集团按比例享有的联营企…</x:v>
      </x:c>
      <x:c r="N153" s="41" t="str">
        <x:v>3-直接相关</x:v>
      </x:c>
      <x:c r="O153" s="41" t="str">
        <x:v>是</x:v>
      </x:c>
      <x:c r="P153" s="57" t="str">
        <x:v>三季报单列计入损益的政府补助金额，直接覆盖“政府补助对利润及其可持续性的影响”的关键变量，关系路径成立。</x:v>
      </x:c>
      <x:c r="Q153" s="41" t="str">
        <x:v>B-CODEX-FIN-01</x:v>
      </x:c>
      <x:c r="R153" s="80" t="inlineStr">
        <x:is>
          <x:t>2026-08-28T03:00:25+08:00</x:t>
        </x:is>
      </x:c>
    </x:row>
    <x:row r="154" ht="72" customHeight="1">
      <x:c r="A154" s="64" t="str">
        <x:v>V5-R-Q016-C07</x:v>
      </x:c>
      <x:c r="B154" s="64" t="str">
        <x:v>V5-E-688981-C07</x:v>
      </x:c>
      <x:c r="C154" s="64" t="str">
        <x:v>V5-Q016</x:v>
      </x:c>
      <x:c r="D154" s="40" t="str">
        <x:v>中芯国际</x:v>
      </x:c>
      <x:c r="E154" s="64" t="str">
        <x:v>688981</x:v>
      </x:c>
      <x:c r="F154" s="87" t="n">
        <x:v>46260.75</x:v>
      </x:c>
      <x:c r="G154" s="51" t="str">
        <x:v>政府补助占比变化是否影响利润的可持续性</x:v>
      </x:c>
      <x:c r="H154" s="64" t="str">
        <x:v>DOC-EVT-688981-00211</x:v>
      </x:c>
      <x:c r="I154" s="51" t="str">
        <x:v>港股公告：中芯国际截至2025年9月30日止三个月未经审核业绩公布</x:v>
      </x:c>
      <x:c r="J154" s="87" t="n">
        <x:v>45975</x:v>
      </x:c>
      <x:c r="K154" s="73" t="str">
        <x:v>http://static.cninfo.com.cn/finalpage/2025-11-14/1224804087.PDF</x:v>
      </x:c>
      <x:c r="L154" s="40" t="str">
        <x:v>第1页</x:v>
      </x:c>
      <x:c r="M154" s="51" t="str">
        <x:v>-1- 香港交易及結算所有限公司及香港聯合交易所有限公司對本公告的內容概不負責，對其準確性或完整性 亦不發表任何聲明，並明確表示，概不對因本文檔全部或任何部份內容而産生或因倚賴該等內容而引致 的任何損失承擔任何責任。 SEMICONDUCTOR MANUFACTURING INTERNATIONAL CORPORATIO N 中芯國際集成電路製造有限公司 * (於開曼群島注冊成立之有限公司) (股份代號：0098 1) 中芯國際截至 202 5年9月30 日止三個月未經審核業績公佈 除非以下額外說明，本合併財務信息係依國際財務報告準則編製且表達。  2025 年第三季的銷售收入為 2,381.8 百萬美元，2025 年第二季的銷售收入為 2,209.1 百萬美元， 2024 年第三季的銷售收入為 2,171.2 百萬美元。  2025 年第三季毛利為 522.8 百萬美元，2025 年第二季毛利為 449.8 百萬美元，2024 年第三季毛 利為 444.2 百萬美元。  2025 年第三季毛利率為 22.0%，2025 年第二季毛利率為 20.4%，2024 年第三季毛利率為 20.5%。 以下爲本公司及其子公司(「本集團」)於 2025 年 11 月 13 日就截至 2025 年 9 月 30 日止三個月的未經 審核業績公佈全文。 除非特別指明，所有貨幣以美元列賬。 中國上海─ 2025 年 11 月 13 日─ 國際主要半導體代工製造商中芯國際集成電路製造有限公…</x:v>
      </x:c>
      <x:c r="N154" s="41" t="str">
        <x:v>2-间接相关</x:v>
      </x:c>
      <x:c r="O154" s="41" t="str">
        <x:v>是</x:v>
      </x:c>
      <x:c r="P154" s="57" t="str">
        <x:v>季度业绩可对照政府补助和利润表现，能够支持“政府补助对利润及其可持续性的影响”的中间环节，但未完整量化最终影响。</x:v>
      </x:c>
      <x:c r="Q154" s="41" t="str">
        <x:v>B-CODEX-FIN-01</x:v>
      </x:c>
      <x:c r="R154" s="80" t="inlineStr">
        <x:is>
          <x:t>2026-08-28T03:00:25+08:00</x:t>
        </x:is>
      </x:c>
    </x:row>
    <x:row r="155" ht="72" customHeight="1">
      <x:c r="A155" s="64" t="str">
        <x:v>V5-R-Q016-C05</x:v>
      </x:c>
      <x:c r="B155" s="64" t="str">
        <x:v>V5-E-688981-C05</x:v>
      </x:c>
      <x:c r="C155" s="64" t="str">
        <x:v>V5-Q016</x:v>
      </x:c>
      <x:c r="D155" s="40" t="str">
        <x:v>中芯国际</x:v>
      </x:c>
      <x:c r="E155" s="64" t="str">
        <x:v>688981</x:v>
      </x:c>
      <x:c r="F155" s="87" t="n">
        <x:v>46260.75</x:v>
      </x:c>
      <x:c r="G155" s="51" t="str">
        <x:v>政府补助占比变化是否影响利润的可持续性</x:v>
      </x:c>
      <x:c r="H155" s="64" t="str">
        <x:v>DOC-EVT-688981-00166</x:v>
      </x:c>
      <x:c r="I155" s="51" t="str">
        <x:v>中芯国际2025年半年度报告摘要</x:v>
      </x:c>
      <x:c r="J155" s="87" t="n">
        <x:v>45898</x:v>
      </x:c>
      <x:c r="K155" s="73" t="str">
        <x:v>http://static.cninfo.com.cn/finalpage/2025-08-29/1224608544.PDF</x:v>
      </x:c>
      <x:c r="L155" s="40" t="str">
        <x:v>第1页</x:v>
      </x:c>
      <x:c r="M155" s="51" t="str">
        <x:v>公司代码：688981 公司简称：中芯国际 中芯国际集成电路制造有限公司 2025 年半年度报告摘要</x:v>
      </x:c>
      <x:c r="N155" s="41" t="str">
        <x:v>2-间接相关</x:v>
      </x:c>
      <x:c r="O155" s="41" t="str">
        <x:v>是</x:v>
      </x:c>
      <x:c r="P155" s="57" t="str">
        <x:v>半年报摘要提供政府补助与利润的阶段性数据，能够支持“政府补助对利润及其可持续性的影响”的中间环节，但未完整量化最终影响。</x:v>
      </x:c>
      <x:c r="Q155" s="41" t="str">
        <x:v>B-CODEX-FIN-01</x:v>
      </x:c>
      <x:c r="R155" s="80" t="inlineStr">
        <x:is>
          <x:t>2026-08-28T03:00:25+08:00</x:t>
        </x:is>
      </x:c>
    </x:row>
    <x:row r="156" ht="72" customHeight="1">
      <x:c r="A156" s="64" t="str">
        <x:v>V5-R-Q016-C10</x:v>
      </x:c>
      <x:c r="B156" s="64" t="str">
        <x:v>V5-E-688981-C10</x:v>
      </x:c>
      <x:c r="C156" s="64" t="str">
        <x:v>V5-Q016</x:v>
      </x:c>
      <x:c r="D156" s="40" t="str">
        <x:v>中芯国际</x:v>
      </x:c>
      <x:c r="E156" s="64" t="str">
        <x:v>688981</x:v>
      </x:c>
      <x:c r="F156" s="87" t="n">
        <x:v>46260.75</x:v>
      </x:c>
      <x:c r="G156" s="51" t="str">
        <x:v>政府补助占比变化是否影响利润的可持续性</x:v>
      </x:c>
      <x:c r="H156" s="64" t="str">
        <x:v>DOC-EVT-688981-00371</x:v>
      </x:c>
      <x:c r="I156" s="51" t="str">
        <x:v>港股公告：董事会会议日期通知</x:v>
      </x:c>
      <x:c r="J156" s="87" t="n">
        <x:v>46234</x:v>
      </x:c>
      <x:c r="K156" s="73" t="str">
        <x:v>http://static.cninfo.com.cn/finalpage/2026-07-31/1225448181.PDF</x:v>
      </x:c>
      <x:c r="L156" s="40" t="str">
        <x:v>第1页</x:v>
      </x:c>
      <x:c r="M156" s="51" t="str">
        <x:v>香港交易及結算所有限公司及香港聯合交易所有限公司對本公告的內容概不負責，對其準確性或完整 性亦不發表任何聲明，並明確表示，概不對因本公告全部或任何部份內容而產生或因倚賴該等內容而 引致的任何損失承擔任何責任。 SEMICONDUCTOR MANUFACTURING INTERNATIONAL CORPORATION 中 芯 國 際 集 成 電 路 製 造 有 限 公 司 * （於開曼群島註冊成立之有限公司） （股份代號：00981） 董事會會議日期通知 根據香港聯合交易所有限公司證券上市規則第13.43條，中芯國際集成電路製造有限公司 （ 「本 公司」）特此通知，本公司謹訂於2026年8月13日（星期四）舉行董事會會議，旨在批准刊發 本公司截至2026年6月30日止三個月未經審計業績公告。 承董事會命 中芯國際集成電路製造有限公司 公司秘書 / 董事會秘書 郭光莉 中國上海，2026 年 7 月 30 日 於本公告日期，本公司董事分別為： 執行董事 劉訓峰 非執行董事 魯國慶 陳山枝 楊魯閩 黃登山 獨立非執行董事 范仁達 劉明 吳漢明 陳信元 * 僅供識別</x:v>
      </x:c>
      <x:c r="N156" s="41" t="str">
        <x:v>0-无关</x:v>
      </x:c>
      <x:c r="O156" s="41" t="str">
        <x:v>否</x:v>
      </x:c>
      <x:c r="P156" s="57" t="str">
        <x:v>《港股公告：董事会会议日期通知》主要涉及治理、股权、会议、分红或其他事项，未披露“政府补助对利润及其可持续性的影响”相关实质证据。</x:v>
      </x:c>
      <x:c r="Q156" s="41" t="str">
        <x:v>B-CODEX-FIN-01</x:v>
      </x:c>
      <x:c r="R156" s="80" t="inlineStr">
        <x:is>
          <x:t>2026-08-28T03:00:25+08:00</x:t>
        </x:is>
      </x:c>
    </x:row>
    <x:row r="157" ht="72" customHeight="1">
      <x:c r="A157" s="64" t="str">
        <x:v>V5-R-Q016-C04</x:v>
      </x:c>
      <x:c r="B157" s="64" t="str">
        <x:v>V5-E-688981-C04</x:v>
      </x:c>
      <x:c r="C157" s="64" t="str">
        <x:v>V5-Q016</x:v>
      </x:c>
      <x:c r="D157" s="40" t="str">
        <x:v>中芯国际</x:v>
      </x:c>
      <x:c r="E157" s="64" t="str">
        <x:v>688981</x:v>
      </x:c>
      <x:c r="F157" s="87" t="n">
        <x:v>46260.75</x:v>
      </x:c>
      <x:c r="G157" s="51" t="str">
        <x:v>政府补助占比变化是否影响利润的可持续性</x:v>
      </x:c>
      <x:c r="H157" s="64" t="str">
        <x:v>DOC-EVT-688981-00144</x:v>
      </x:c>
      <x:c r="I157" s="51" t="str">
        <x:v>中芯国际关于开展套期保值业务的可行性报告</x:v>
      </x:c>
      <x:c r="J157" s="87" t="n">
        <x:v>45786</x:v>
      </x:c>
      <x:c r="K157" s="73" t="str">
        <x:v>http://static.cninfo.com.cn/finalpage/2025-05-09/1223496519.PDF</x:v>
      </x:c>
      <x:c r="L157" s="40" t="str">
        <x:v>第1页</x:v>
      </x:c>
      <x:c r="M157" s="51" t="str">
        <x:v>1 中芯国际集成电路制造有限公司 关于开展套期保值业务的可行性报告 一、开展套期保值业务情况概述 1. 交易目的 为防范公司及下属全资或控股子公司外汇汇率与利率风险，进一步提高应 对外汇、利率波动风险的能力，增强财务稳健性，公司及子公司通过金融衍生 工具开展外汇与利率相关的套期保值工作。 2. 交易规模 公司及下属全资或控股子公司存量金融衍生品的名义总金额在任何时间点 最高不超过公司 2024 年度经审计净资产的 50%。套期保值业务有关授信额度 或保证金占用规模根据公司实际业务的需要确定。 3. 资金来源 开展套期保值业务资金来源为自有资金、债务融资以及公司通过法律法规 允许的其他方式筹集的资金。 4. 交易方式 拟开展套期保值业务所涉及的币种只限于公司及下属子公司生产经营所使 用的主要结算货币，包括但不限于人民币、美元、日元、欧元等。 拟开展套期保值业务的具体方式或产品主要包括但不限于：远期结售汇、 外汇掉期、外汇期权、 交叉货币掉期 、利率掉期、利率期权等产品或上述产品 的组合。 5. 授权及期限 授权管理层在额度范围和有效期内开展套期保值业务并签署相关文件。授 权期限为 2025 年股东周年大会审议通过之日起至 2026 年股东周年大会日止， 在该期限内可循环滚动使用交易额度。</x:v>
      </x:c>
      <x:c r="N157" s="41" t="str">
        <x:v>0-无关</x:v>
      </x:c>
      <x:c r="O157" s="41" t="str">
        <x:v>否</x:v>
      </x:c>
      <x:c r="P157" s="57" t="str">
        <x:v>《中芯国际关于开展套期保值业务的可行性报告》主要涉及治理、股权、会议、分红或其他事项，未披露“政府补助对利润及其可持续性的影响”相关实质证据。</x:v>
      </x:c>
      <x:c r="Q157" s="41" t="str">
        <x:v>B-CODEX-FIN-01</x:v>
      </x:c>
      <x:c r="R157" s="80" t="inlineStr">
        <x:is>
          <x:t>2026-08-28T03:00:25+08:00</x:t>
        </x:is>
      </x:c>
    </x:row>
    <x:row r="158" ht="72" customHeight="1">
      <x:c r="A158" s="64" t="str">
        <x:v>V5-R-Q016-C01</x:v>
      </x:c>
      <x:c r="B158" s="64" t="str">
        <x:v>V5-E-688981-C01</x:v>
      </x:c>
      <x:c r="C158" s="64" t="str">
        <x:v>V5-Q016</x:v>
      </x:c>
      <x:c r="D158" s="40" t="str">
        <x:v>中芯国际</x:v>
      </x:c>
      <x:c r="E158" s="64" t="str">
        <x:v>688981</x:v>
      </x:c>
      <x:c r="F158" s="87" t="n">
        <x:v>46260.75</x:v>
      </x:c>
      <x:c r="G158" s="51" t="str">
        <x:v>政府补助占比变化是否影响利润的可持续性</x:v>
      </x:c>
      <x:c r="H158" s="64" t="str">
        <x:v>DOC-EVT-688981-00335</x:v>
      </x:c>
      <x:c r="I158" s="51" t="str">
        <x:v>中芯国际关于开展套期保值业务的可行性报告</x:v>
      </x:c>
      <x:c r="J158" s="87" t="n">
        <x:v>46157</x:v>
      </x:c>
      <x:c r="K158" s="73" t="str">
        <x:v>http://static.cninfo.com.cn/finalpage/2026-05-15/1225307107.PDF</x:v>
      </x:c>
      <x:c r="L158" s="40" t="str">
        <x:v>第1页</x:v>
      </x:c>
      <x:c r="M158" s="51" t="str">
        <x:v>1 中芯国际集成电路制造有限公司 关于开展套期保值业务的可行性报告 一、开展套期保值业务情况概述 1. 交易目的 为防范公司及下属全资或控股子公司外汇汇率与利率风险，进一步提高应 对外汇、利率波动风险的能力，增强财务稳健性，公司及子公司通过金融衍生 工具开展外汇与利率相关的套期保值工作。 2. 交易规模 公司及下属全资或控股子公司存量金融衍生品的名义总金额在任何时间点 最高不超过公司 2025 年度经审计净资产的 50%。套期保值业务有关授信额度 或保证金占用规模根据公司实际业务的需要确定。 3. 资金来源 开展套期保值业务资金来源为自有资金、债务融资以及公司通过法律法规 允许的其他方式筹集的资金。 4. 交易方式 拟开展套期保值业务所涉及的币种只限于公司及下属子公司生产经营所使 用的主要结算货币，包括但不限于人民币、美元、日元、欧元、港币等。 拟开展套期保值业务的具体方式或产品主要包括但不限于：远期结售汇、 外汇掉期、外汇期权、 交叉货币掉期 、利率掉期、利率期权等产品或上述产品 的组合。 5. 授权及期限 授权管理层在额度范围和有效期内开展套期保值业务并签署相关文件。授 权期限为 2026 年度股东会审议通过之日起至 2027 年度股东会日止，在该期限 内可循环滚动使用交易额度。</x:v>
      </x:c>
      <x:c r="N158" s="41" t="str">
        <x:v>0-无关</x:v>
      </x:c>
      <x:c r="O158" s="41" t="str">
        <x:v>否</x:v>
      </x:c>
      <x:c r="P158" s="57" t="str">
        <x:v>《中芯国际关于开展套期保值业务的可行性报告》主要涉及治理、股权、会议、分红或其他事项，未披露“政府补助对利润及其可持续性的影响”相关实质证据。</x:v>
      </x:c>
      <x:c r="Q158" s="41" t="str">
        <x:v>B-CODEX-FIN-01</x:v>
      </x:c>
      <x:c r="R158" s="80" t="inlineStr">
        <x:is>
          <x:t>2026-08-28T03:00:25+08:00</x:t>
        </x:is>
      </x:c>
    </x:row>
    <x:row r="159" ht="72" customHeight="1">
      <x:c r="A159" s="64" t="str">
        <x:v>V5-R-Q016-C06</x:v>
      </x:c>
      <x:c r="B159" s="64" t="str">
        <x:v>V5-E-688981-C06</x:v>
      </x:c>
      <x:c r="C159" s="64" t="str">
        <x:v>V5-Q016</x:v>
      </x:c>
      <x:c r="D159" s="40" t="str">
        <x:v>中芯国际</x:v>
      </x:c>
      <x:c r="E159" s="64" t="str">
        <x:v>688981</x:v>
      </x:c>
      <x:c r="F159" s="87" t="n">
        <x:v>46260.75</x:v>
      </x:c>
      <x:c r="G159" s="51" t="str">
        <x:v>政府补助占比变化是否影响利润的可持续性</x:v>
      </x:c>
      <x:c r="H159" s="64" t="str">
        <x:v>DOC-EVT-688981-00035</x:v>
      </x:c>
      <x:c r="I159" s="51" t="str">
        <x:v>海通证券股份有限公司、中国国际金融股份有限公司关于中芯国际首次公开发行A股股票并在科创板上市之保荐总结报告书</x:v>
      </x:c>
      <x:c r="J159" s="87" t="n">
        <x:v>45385</x:v>
      </x:c>
      <x:c r="K159" s="73" t="str">
        <x:v>http://static.cninfo.com.cn/finalpage/2024-04-03/1219505689.PDF</x:v>
      </x:c>
      <x:c r="L159" s="40" t="str">
        <x:v>第1页</x:v>
      </x:c>
      <x:c r="M159" s="51" t="str">
        <x:v>1 海通证券股份有限公司、中国国际金融股份有限公司 关于中芯国际集成电路制造有限公司 首次公开发行 A 股股票并在科创板上市 之保荐总结报告书 保荐机构名称： 海通证券股份有限公司、中国国际金融股份有限公司 保荐机构编号： Z22531000、Y00111000 经中国证券监督管理委员会《关于同意中芯国际集成电路制造有限公司首次公 开发行股票注册的批复》（证监许可[2020]1278 号）批复，中芯国际集成电路制造 有限公司（以下简称“上市公司”、“公司”或“发行人”）首次公开发行 A 股股票 193,846.30 万股（含超额配售选择权），每股面值0.004 美元，每股发行价格人民币 27.46 元，募集资金总额为人民币5,323,019.40 万元，扣除发行费用后，实际募集资 金净额为人民币 5,253,820.15 万元。本次发行证券已于 2020 年 7 月 16 日在上海证 券交易所科创板上市。海通证券股份有限公司（以下简称“联合保荐机构”或“海 通证券”）、中国国际金融股份有限公司（以下简称“联合保荐机构”、“中金公 司”）担任其持续督导联合保荐机构，持续督导期间为2020 年 7 月 16 日至 2023 年 12 月 31 日。 2023 年 12 月 31 日，持续督导期已届满，海通证券、中金公司根据《证券发行 上市保荐业务管理办法》《上海证券交易所科创板股票上市规则》 《上海证券交易所 科创板上市公司自律监管指引第 1 号——规范运作》等法规、 规范性文…</x:v>
      </x:c>
      <x:c r="N159" s="41" t="str">
        <x:v>0-无关</x:v>
      </x:c>
      <x:c r="O159" s="41" t="str">
        <x:v>否</x:v>
      </x:c>
      <x:c r="P159" s="57" t="str">
        <x:v>《海通证券股份有限公司、中国国际金融股份有限公司关于中芯国际首次公开发行A股股票并在科创板上市之保荐总结报告书》主要涉及治理、股权、会议、分红或其他事项，未披露“政府补助对利润及其可持续性的影响”相关实质证据。</x:v>
      </x:c>
      <x:c r="Q159" s="41" t="str">
        <x:v>B-CODEX-FIN-01</x:v>
      </x:c>
      <x:c r="R159" s="80" t="inlineStr">
        <x:is>
          <x:t>2026-08-28T03:00:25+08:00</x:t>
        </x:is>
      </x:c>
    </x:row>
    <x:row r="160" ht="72" customHeight="1">
      <x:c r="A160" s="64" t="str">
        <x:v>V5-R-Q016-C08</x:v>
      </x:c>
      <x:c r="B160" s="64" t="str">
        <x:v>V5-E-688981-C08</x:v>
      </x:c>
      <x:c r="C160" s="64" t="str">
        <x:v>V5-Q016</x:v>
      </x:c>
      <x:c r="D160" s="40" t="str">
        <x:v>中芯国际</x:v>
      </x:c>
      <x:c r="E160" s="64" t="str">
        <x:v>688981</x:v>
      </x:c>
      <x:c r="F160" s="87" t="n">
        <x:v>46260.75</x:v>
      </x:c>
      <x:c r="G160" s="51" t="str">
        <x:v>政府补助占比变化是否影响利润的可持续性</x:v>
      </x:c>
      <x:c r="H160" s="64" t="str">
        <x:v>DOC-EVT-688981-00370</x:v>
      </x:c>
      <x:c r="I160" s="51" t="str">
        <x:v>中芯国际关于召开2026年第二季度业绩说明会的预告公告</x:v>
      </x:c>
      <x:c r="J160" s="87" t="n">
        <x:v>46234</x:v>
      </x:c>
      <x:c r="K160" s="73" t="str">
        <x:v>http://static.cninfo.com.cn/finalpage/2026-07-31/1225448405.PDF</x:v>
      </x:c>
      <x:c r="L160" s="40" t="str">
        <x:v>第1页</x:v>
      </x:c>
      <x:c r="M160" s="51" t="str">
        <x:v>1 A股代码：688981 A股简称：中芯国际 公告编号：2026-031 港股代码：00981 港股简称：中芯国际 中芯国际集成电路制造有限公司 关于召开2026年第二季度业绩说明会的预告公告 本公司董事会及全体董事保证本公告内容不存在任何虚假记载、误导性陈 述或者重大遗漏，并对其内容的真实性、准确性和完整性依法承担法律责任。 重要事项提示：  会议召开时间：2026年8月14日（星期五）上午8:30-9:30  会议召开方式：网络/电话会议 一、说明会类型 中芯国际集成电路制造有限公司（以下简称“公司”）将于2026年8月13日 交易时段后披露公司2026年第二季度业绩，相关内容请详见上海证券交易所网 站（http://www.sse.com.cn/）及香港交易所网站（https://www.hkex.com.hk/）。 为方便广大投资者更全面深入了解公司经营业绩的具体情况，公司拟于 2026年8月14日举行“2026年第二季度业绩说明会”。 二、说明会召开的时间、地点 说明会将于2026年8月14日（星期五）上午8:30-9:30通过网络/电话会议方 式举行。 三、参加人员 公司管理层 四、投资者参加方式</x:v>
      </x:c>
      <x:c r="N160" s="41" t="str">
        <x:v>0-无关</x:v>
      </x:c>
      <x:c r="O160" s="41" t="str">
        <x:v>否</x:v>
      </x:c>
      <x:c r="P160" s="57" t="str">
        <x:v>《中芯国际关于召开2026年第二季度业绩说明会的预告公告》主要涉及治理、股权、会议、分红或其他事项，未披露“政府补助对利润及其可持续性的影响”相关实质证据。</x:v>
      </x:c>
      <x:c r="Q160" s="41" t="str">
        <x:v>B-CODEX-FIN-01</x:v>
      </x:c>
      <x:c r="R160" s="80" t="inlineStr">
        <x:is>
          <x:t>2026-08-28T03:00:25+08:00</x:t>
        </x:is>
      </x:c>
    </x:row>
    <x:row r="161" ht="72" customHeight="1">
      <x:c r="A161" s="64" t="str">
        <x:v>V5-R-Q016-C02</x:v>
      </x:c>
      <x:c r="B161" s="64" t="str">
        <x:v>V5-E-688981-C02</x:v>
      </x:c>
      <x:c r="C161" s="64" t="str">
        <x:v>V5-Q016</x:v>
      </x:c>
      <x:c r="D161" s="40" t="str">
        <x:v>中芯国际</x:v>
      </x:c>
      <x:c r="E161" s="64" t="str">
        <x:v>688981</x:v>
      </x:c>
      <x:c r="F161" s="87" t="n">
        <x:v>46260.75</x:v>
      </x:c>
      <x:c r="G161" s="51" t="str">
        <x:v>政府补助占比变化是否影响利润的可持续性</x:v>
      </x:c>
      <x:c r="H161" s="64" t="str">
        <x:v>DOC-EVT-688981-00257</x:v>
      </x:c>
      <x:c r="I161" s="51" t="str">
        <x:v>国泰海通证券股份有限公司关于中芯国际集成电路制造有限公司本次交易前十二个月内购买、出售资产情况的核查意见</x:v>
      </x:c>
      <x:c r="J161" s="87" t="n">
        <x:v>46021</x:v>
      </x:c>
      <x:c r="K161" s="73" t="str">
        <x:v>http://static.cninfo.com.cn/finalpage/2025-12-30/1224907022.PDF</x:v>
      </x:c>
      <x:c r="L161" s="40" t="str">
        <x:v>第3页</x:v>
      </x:c>
      <x:c r="M161" s="51" t="str">
        <x:v>（本页无正文，为《国泰海通证券股份有限公司关于中芯国际集成电路制造有限 公司本次交易前十二个月内购买、出售资产情况的核查意见》之签章页） 独立财务顾问主办人： 徐亦潇 苏冬夷 国泰海通证券股份有限公司 年 月 日</x:v>
      </x:c>
      <x:c r="N161" s="41" t="str">
        <x:v>0-无关</x:v>
      </x:c>
      <x:c r="O161" s="41" t="str">
        <x:v>否</x:v>
      </x:c>
      <x:c r="P161" s="57" t="str">
        <x:v>《国泰海通证券股份有限公司关于中芯国际集成电路制造有限公司本次交易前十二个月内购买、出售资产情况的核查意见》主要涉及治理、股权、会议、分红或其他事项，未披露“政府补助对利润及其可持续性的影响”相关实质证据。</x:v>
      </x:c>
      <x:c r="Q161" s="41" t="str">
        <x:v>B-CODEX-FIN-01</x:v>
      </x:c>
      <x:c r="R161" s="80" t="inlineStr">
        <x:is>
          <x:t>2026-08-28T03:00:25+08:00</x:t>
        </x:is>
      </x:c>
    </x:row>
    <x:row r="162" ht="72" customHeight="1">
      <x:c r="A162" s="64" t="str">
        <x:v>V5-R-Q017-C03</x:v>
      </x:c>
      <x:c r="B162" s="64" t="str">
        <x:v>V5-E-688981-C03</x:v>
      </x:c>
      <x:c r="C162" s="64" t="str">
        <x:v>V5-Q017</x:v>
      </x:c>
      <x:c r="D162" s="40" t="str">
        <x:v>中芯国际</x:v>
      </x:c>
      <x:c r="E162" s="64" t="str">
        <x:v>688981</x:v>
      </x:c>
      <x:c r="F162" s="87" t="n">
        <x:v>46260.75</x:v>
      </x:c>
      <x:c r="G162" s="51" t="str">
        <x:v>成熟制程需求结构变化能否支撑新增产能消化</x:v>
      </x:c>
      <x:c r="H162" s="64" t="str">
        <x:v>DOC-EVT-688981-00210</x:v>
      </x:c>
      <x:c r="I162" s="51" t="str">
        <x:v>中芯国际2025年第三季度报告</x:v>
      </x:c>
      <x:c r="J162" s="87" t="n">
        <x:v>45975</x:v>
      </x:c>
      <x:c r="K162" s="73" t="str">
        <x:v>http://static.cninfo.com.cn/finalpage/2025-11-14/1224804086.PDF</x:v>
      </x:c>
      <x:c r="L162" s="40" t="str">
        <x:v>第5页</x:v>
      </x:c>
      <x:c r="M162" s="51" t="str">
        <x:v>中芯国际集成电路制造有限公司 2025 年第三季度报告 5 / 16 （三） 其他数据及指标 主营业务收入分析 以地区分类 2025年第三季度 （7-9月） 2025年第二季度 （4-6月） 2024年第三季度 （7-9 月） 中国区 86.2% 84.1% 86.4% 美国区 10.8% 12.9% 10.6% 欧亚区 3.0% 3.0% 3.0% 以服务类型分类 2025 年第三季度 （7-9 月） 2025年第二季度 （4-6 月） 2024 年第三季度 （7-9月） 晶圆 95.2% 94.6% 94.4% 其他 4.8% 5.4% 5.6% 晶圆收入分析 以应用分类 2025 年第三季度 （7-9 月） 2025年第二季度 （4-6 月） 2024年第三季度 （7-9 月） 智能手机 21.5% 25.2% 24.9% 电脑与平板 15.2% 15.0% 16.4% 消费电子 43.4% 41.0% 42.6% 互联与可穿戴 8.0% 8.2% 8.2% 工业与汽车 11.9% 10.6% 7.9% 以尺寸分类 2025 年第三季度 （7-9月） 2025 年第二季度 （4-6 月） 2024年第三季度 （7-9 月） 8英寸晶圆 23.0% 23.9% 21.5% 12 英寸晶圆 77.0% 76.1% 78.5% 其他指标 2025年第三季度 （7-9月） 2025 年第二季度 （4-6 月） 2024年第三季度 （7-9 月） 销售晶圆数量 (1) （片）…</x:v>
      </x:c>
      <x:c r="N162" s="41" t="str">
        <x:v>3-直接相关</x:v>
      </x:c>
      <x:c r="O162" s="41" t="str">
        <x:v>是</x:v>
      </x:c>
      <x:c r="P162" s="57" t="str">
        <x:v>三季报披露应用结构、晶圆尺寸结构、产能利用率与收入，直接覆盖“成熟制程需求结构、利用率与新增产能消化”的关键变量，关系路径成立。</x:v>
      </x:c>
      <x:c r="Q162" s="41" t="str">
        <x:v>B-CODEX-FIN-01</x:v>
      </x:c>
      <x:c r="R162" s="80" t="inlineStr">
        <x:is>
          <x:t>2026-08-28T03:00:25+08:00</x:t>
        </x:is>
      </x:c>
    </x:row>
    <x:row r="163" ht="72" customHeight="1">
      <x:c r="A163" s="64" t="str">
        <x:v>V5-R-Q017-C08</x:v>
      </x:c>
      <x:c r="B163" s="64" t="str">
        <x:v>V5-E-688981-C08</x:v>
      </x:c>
      <x:c r="C163" s="64" t="str">
        <x:v>V5-Q017</x:v>
      </x:c>
      <x:c r="D163" s="40" t="str">
        <x:v>中芯国际</x:v>
      </x:c>
      <x:c r="E163" s="64" t="str">
        <x:v>688981</x:v>
      </x:c>
      <x:c r="F163" s="87" t="n">
        <x:v>46260.75</x:v>
      </x:c>
      <x:c r="G163" s="51" t="str">
        <x:v>成熟制程需求结构变化能否支撑新增产能消化</x:v>
      </x:c>
      <x:c r="H163" s="64" t="str">
        <x:v>DOC-EVT-688981-00370</x:v>
      </x:c>
      <x:c r="I163" s="51" t="str">
        <x:v>中芯国际关于召开2026年第二季度业绩说明会的预告公告</x:v>
      </x:c>
      <x:c r="J163" s="87" t="n">
        <x:v>46234</x:v>
      </x:c>
      <x:c r="K163" s="73" t="str">
        <x:v>http://static.cninfo.com.cn/finalpage/2026-07-31/1225448405.PDF</x:v>
      </x:c>
      <x:c r="L163" s="40" t="str">
        <x:v>第1页</x:v>
      </x:c>
      <x:c r="M163" s="51" t="str">
        <x:v>1 A股代码：688981 A股简称：中芯国际 公告编号：2026-031 港股代码：00981 港股简称：中芯国际 中芯国际集成电路制造有限公司 关于召开2026年第二季度业绩说明会的预告公告 本公司董事会及全体董事保证本公告内容不存在任何虚假记载、误导性陈 述或者重大遗漏，并对其内容的真实性、准确性和完整性依法承担法律责任。 重要事项提示：  会议召开时间：2026年8月14日（星期五）上午8:30-9:30  会议召开方式：网络/电话会议 一、说明会类型 中芯国际集成电路制造有限公司（以下简称“公司”）将于2026年8月13日 交易时段后披露公司2026年第二季度业绩，相关内容请详见上海证券交易所网 站（http://www.sse.com.cn/）及香港交易所网站（https://www.hkex.com.hk/）。 为方便广大投资者更全面深入了解公司经营业绩的具体情况，公司拟于 2026年8月14日举行“2026年第二季度业绩说明会”。 二、说明会召开的时间、地点 说明会将于2026年8月14日（星期五）上午8:30-9:30通过网络/电话会议方 式举行。 三、参加人员 公司管理层 四、投资者参加方式</x:v>
      </x:c>
      <x:c r="N163" s="41" t="str">
        <x:v>0-无关</x:v>
      </x:c>
      <x:c r="O163" s="41" t="str">
        <x:v>否</x:v>
      </x:c>
      <x:c r="P163" s="57" t="str">
        <x:v>《中芯国际关于召开2026年第二季度业绩说明会的预告公告》主要涉及治理、股权、会议、分红或其他事项，未披露“成熟制程需求结构、利用率与新增产能消化”相关实质证据。</x:v>
      </x:c>
      <x:c r="Q163" s="41" t="str">
        <x:v>B-CODEX-FIN-01</x:v>
      </x:c>
      <x:c r="R163" s="80" t="inlineStr">
        <x:is>
          <x:t>2026-08-28T03:00:25+08:00</x:t>
        </x:is>
      </x:c>
    </x:row>
    <x:row r="164" ht="72" customHeight="1">
      <x:c r="A164" s="64" t="str">
        <x:v>V5-R-Q017-C10</x:v>
      </x:c>
      <x:c r="B164" s="64" t="str">
        <x:v>V5-E-688981-C10</x:v>
      </x:c>
      <x:c r="C164" s="64" t="str">
        <x:v>V5-Q017</x:v>
      </x:c>
      <x:c r="D164" s="40" t="str">
        <x:v>中芯国际</x:v>
      </x:c>
      <x:c r="E164" s="64" t="str">
        <x:v>688981</x:v>
      </x:c>
      <x:c r="F164" s="87" t="n">
        <x:v>46260.75</x:v>
      </x:c>
      <x:c r="G164" s="51" t="str">
        <x:v>成熟制程需求结构变化能否支撑新增产能消化</x:v>
      </x:c>
      <x:c r="H164" s="64" t="str">
        <x:v>DOC-EVT-688981-00371</x:v>
      </x:c>
      <x:c r="I164" s="51" t="str">
        <x:v>港股公告：董事会会议日期通知</x:v>
      </x:c>
      <x:c r="J164" s="87" t="n">
        <x:v>46234</x:v>
      </x:c>
      <x:c r="K164" s="73" t="str">
        <x:v>http://static.cninfo.com.cn/finalpage/2026-07-31/1225448181.PDF</x:v>
      </x:c>
      <x:c r="L164" s="40" t="str">
        <x:v>第1页</x:v>
      </x:c>
      <x:c r="M164" s="51" t="str">
        <x:v>香港交易及結算所有限公司及香港聯合交易所有限公司對本公告的內容概不負責，對其準確性或完整 性亦不發表任何聲明，並明確表示，概不對因本公告全部或任何部份內容而產生或因倚賴該等內容而 引致的任何損失承擔任何責任。 SEMICONDUCTOR MANUFACTURING INTERNATIONAL CORPORATION 中 芯 國 際 集 成 電 路 製 造 有 限 公 司 * （於開曼群島註冊成立之有限公司） （股份代號：00981） 董事會會議日期通知 根據香港聯合交易所有限公司證券上市規則第13.43條，中芯國際集成電路製造有限公司 （ 「本 公司」）特此通知，本公司謹訂於2026年8月13日（星期四）舉行董事會會議，旨在批准刊發 本公司截至2026年6月30日止三個月未經審計業績公告。 承董事會命 中芯國際集成電路製造有限公司 公司秘書 / 董事會秘書 郭光莉 中國上海，2026 年 7 月 30 日 於本公告日期，本公司董事分別為： 執行董事 劉訓峰 非執行董事 魯國慶 陳山枝 楊魯閩 黃登山 獨立非執行董事 范仁達 劉明 吳漢明 陳信元 * 僅供識別</x:v>
      </x:c>
      <x:c r="N164" s="41" t="str">
        <x:v>0-无关</x:v>
      </x:c>
      <x:c r="O164" s="41" t="str">
        <x:v>否</x:v>
      </x:c>
      <x:c r="P164" s="57" t="str">
        <x:v>《港股公告：董事会会议日期通知》主要涉及治理、股权、会议、分红或其他事项，未披露“成熟制程需求结构、利用率与新增产能消化”相关实质证据。</x:v>
      </x:c>
      <x:c r="Q164" s="41" t="str">
        <x:v>B-CODEX-FIN-01</x:v>
      </x:c>
      <x:c r="R164" s="80" t="inlineStr">
        <x:is>
          <x:t>2026-08-28T03:00:25+08:00</x:t>
        </x:is>
      </x:c>
    </x:row>
    <x:row r="165" ht="72" customHeight="1">
      <x:c r="A165" s="64" t="str">
        <x:v>V5-R-Q017-C06</x:v>
      </x:c>
      <x:c r="B165" s="64" t="str">
        <x:v>V5-E-688981-C06</x:v>
      </x:c>
      <x:c r="C165" s="64" t="str">
        <x:v>V5-Q017</x:v>
      </x:c>
      <x:c r="D165" s="40" t="str">
        <x:v>中芯国际</x:v>
      </x:c>
      <x:c r="E165" s="64" t="str">
        <x:v>688981</x:v>
      </x:c>
      <x:c r="F165" s="87" t="n">
        <x:v>46260.75</x:v>
      </x:c>
      <x:c r="G165" s="51" t="str">
        <x:v>成熟制程需求结构变化能否支撑新增产能消化</x:v>
      </x:c>
      <x:c r="H165" s="64" t="str">
        <x:v>DOC-EVT-688981-00035</x:v>
      </x:c>
      <x:c r="I165" s="51" t="str">
        <x:v>海通证券股份有限公司、中国国际金融股份有限公司关于中芯国际首次公开发行A股股票并在科创板上市之保荐总结报告书</x:v>
      </x:c>
      <x:c r="J165" s="87" t="n">
        <x:v>45385</x:v>
      </x:c>
      <x:c r="K165" s="73" t="str">
        <x:v>http://static.cninfo.com.cn/finalpage/2024-04-03/1219505689.PDF</x:v>
      </x:c>
      <x:c r="L165" s="40" t="str">
        <x:v>第1页</x:v>
      </x:c>
      <x:c r="M165" s="51" t="str">
        <x:v>1 海通证券股份有限公司、中国国际金融股份有限公司 关于中芯国际集成电路制造有限公司 首次公开发行 A 股股票并在科创板上市 之保荐总结报告书 保荐机构名称： 海通证券股份有限公司、中国国际金融股份有限公司 保荐机构编号： Z22531000、Y00111000 经中国证券监督管理委员会《关于同意中芯国际集成电路制造有限公司首次公 开发行股票注册的批复》（证监许可[2020]1278 号）批复，中芯国际集成电路制造 有限公司（以下简称“上市公司”、“公司”或“发行人”）首次公开发行 A 股股票 193,846.30 万股（含超额配售选择权），每股面值0.004 美元，每股发行价格人民币 27.46 元，募集资金总额为人民币5,323,019.40 万元，扣除发行费用后，实际募集资 金净额为人民币 5,253,820.15 万元。本次发行证券已于 2020 年 7 月 16 日在上海证 券交易所科创板上市。海通证券股份有限公司（以下简称“联合保荐机构”或“海 通证券”）、中国国际金融股份有限公司（以下简称“联合保荐机构”、“中金公 司”）担任其持续督导联合保荐机构，持续督导期间为2020 年 7 月 16 日至 2023 年 12 月 31 日。 2023 年 12 月 31 日，持续督导期已届满，海通证券、中金公司根据《证券发行 上市保荐业务管理办法》《上海证券交易所科创板股票上市规则》 《上海证券交易所 科创板上市公司自律监管指引第 1 号——规范运作》等法规、 规范性文…</x:v>
      </x:c>
      <x:c r="N165" s="41" t="str">
        <x:v>0-无关</x:v>
      </x:c>
      <x:c r="O165" s="41" t="str">
        <x:v>否</x:v>
      </x:c>
      <x:c r="P165" s="57" t="str">
        <x:v>《海通证券股份有限公司、中国国际金融股份有限公司关于中芯国际首次公开发行A股股票并在科创板上市之保荐总结报告书》主要涉及治理、股权、会议、分红或其他事项，未披露“成熟制程需求结构、利用率与新增产能消化”相关实质证据。</x:v>
      </x:c>
      <x:c r="Q165" s="41" t="str">
        <x:v>B-CODEX-FIN-01</x:v>
      </x:c>
      <x:c r="R165" s="80" t="inlineStr">
        <x:is>
          <x:t>2026-08-28T03:00:25+08:00</x:t>
        </x:is>
      </x:c>
    </x:row>
    <x:row r="166" ht="72" customHeight="1">
      <x:c r="A166" s="64" t="str">
        <x:v>V5-R-Q017-C09</x:v>
      </x:c>
      <x:c r="B166" s="64" t="str">
        <x:v>V5-E-688981-C09</x:v>
      </x:c>
      <x:c r="C166" s="64" t="str">
        <x:v>V5-Q017</x:v>
      </x:c>
      <x:c r="D166" s="40" t="str">
        <x:v>中芯国际</x:v>
      </x:c>
      <x:c r="E166" s="64" t="str">
        <x:v>688981</x:v>
      </x:c>
      <x:c r="F166" s="87" t="n">
        <x:v>46260.75</x:v>
      </x:c>
      <x:c r="G166" s="51" t="str">
        <x:v>成熟制程需求结构变化能否支撑新增产能消化</x:v>
      </x:c>
      <x:c r="H166" s="64" t="str">
        <x:v>DOC-EVT-688981-00372</x:v>
      </x:c>
      <x:c r="I166" s="51" t="str">
        <x:v>港股公告：证券变动月报表</x:v>
      </x:c>
      <x:c r="J166" s="87" t="n">
        <x:v>46240</x:v>
      </x:c>
      <x:c r="K166" s="73" t="str">
        <x:v>http://static.cninfo.com.cn/finalpage/2026-08-06/1225459009.PDF</x:v>
      </x:c>
      <x:c r="L166" s="40" t="str">
        <x:v>第1页</x:v>
      </x:c>
      <x:c r="M166" s="51" t="str">
        <x:v>FF301 ∉  ⊈ಊṉọᄅḸі ٺ୍ᄅರ ⊯Ⅲࢌ ඳ ඳ଀Ẁඳ ರ௹ ୍ᄅರ Чṉọ ٳٺܢܢ⦁ ҂ℳႨ෮ഈ൧ 䩏 ൞ ⊈ಊսὂ ೂഈ൧  䪌ૼ ↥ ଢ ૫ᆴЧ ᾵թ     64%  64%    㦆ഒ   64% ᾵թ     64%  64%    ٳٺܢܢ⦁ ҂ℳႨ෮ഈ൧ 䩏 ڎ ⊈ಊսὂ ೂഈ൧ /" 䪌ૼ ↥ ଢ ૫ᆴЧ ᾵թ    64%  64%    㦆ഒ  64% ᾵թ    64%  64%    Ч⊺ỡğ 64%   </x:v>
      </x:c>
      <x:c r="N166" s="41" t="str">
        <x:v>0-无关</x:v>
      </x:c>
      <x:c r="O166" s="41" t="str">
        <x:v>否</x:v>
      </x:c>
      <x:c r="P166" s="57" t="str">
        <x:v>《港股公告：证券变动月报表》主要涉及治理、股权、会议、分红或其他事项，未披露“成熟制程需求结构、利用率与新增产能消化”相关实质证据。</x:v>
      </x:c>
      <x:c r="Q166" s="41" t="str">
        <x:v>B-CODEX-FIN-01</x:v>
      </x:c>
      <x:c r="R166" s="80" t="inlineStr">
        <x:is>
          <x:t>2026-08-28T03:00:25+08:00</x:t>
        </x:is>
      </x:c>
    </x:row>
    <x:row r="167" ht="72" customHeight="1">
      <x:c r="A167" s="64" t="str">
        <x:v>V5-R-Q017-C04</x:v>
      </x:c>
      <x:c r="B167" s="64" t="str">
        <x:v>V5-E-688981-C04</x:v>
      </x:c>
      <x:c r="C167" s="64" t="str">
        <x:v>V5-Q017</x:v>
      </x:c>
      <x:c r="D167" s="40" t="str">
        <x:v>中芯国际</x:v>
      </x:c>
      <x:c r="E167" s="64" t="str">
        <x:v>688981</x:v>
      </x:c>
      <x:c r="F167" s="87" t="n">
        <x:v>46260.75</x:v>
      </x:c>
      <x:c r="G167" s="51" t="str">
        <x:v>成熟制程需求结构变化能否支撑新增产能消化</x:v>
      </x:c>
      <x:c r="H167" s="64" t="str">
        <x:v>DOC-EVT-688981-00144</x:v>
      </x:c>
      <x:c r="I167" s="51" t="str">
        <x:v>中芯国际关于开展套期保值业务的可行性报告</x:v>
      </x:c>
      <x:c r="J167" s="87" t="n">
        <x:v>45786</x:v>
      </x:c>
      <x:c r="K167" s="73" t="str">
        <x:v>http://static.cninfo.com.cn/finalpage/2025-05-09/1223496519.PDF</x:v>
      </x:c>
      <x:c r="L167" s="40" t="str">
        <x:v>第1页</x:v>
      </x:c>
      <x:c r="M167" s="51" t="str">
        <x:v>1 中芯国际集成电路制造有限公司 关于开展套期保值业务的可行性报告 一、开展套期保值业务情况概述 1. 交易目的 为防范公司及下属全资或控股子公司外汇汇率与利率风险，进一步提高应 对外汇、利率波动风险的能力，增强财务稳健性，公司及子公司通过金融衍生 工具开展外汇与利率相关的套期保值工作。 2. 交易规模 公司及下属全资或控股子公司存量金融衍生品的名义总金额在任何时间点 最高不超过公司 2024 年度经审计净资产的 50%。套期保值业务有关授信额度 或保证金占用规模根据公司实际业务的需要确定。 3. 资金来源 开展套期保值业务资金来源为自有资金、债务融资以及公司通过法律法规 允许的其他方式筹集的资金。 4. 交易方式 拟开展套期保值业务所涉及的币种只限于公司及下属子公司生产经营所使 用的主要结算货币，包括但不限于人民币、美元、日元、欧元等。 拟开展套期保值业务的具体方式或产品主要包括但不限于：远期结售汇、 外汇掉期、外汇期权、 交叉货币掉期 、利率掉期、利率期权等产品或上述产品 的组合。 5. 授权及期限 授权管理层在额度范围和有效期内开展套期保值业务并签署相关文件。授 权期限为 2025 年股东周年大会审议通过之日起至 2026 年股东周年大会日止， 在该期限内可循环滚动使用交易额度。</x:v>
      </x:c>
      <x:c r="N167" s="41" t="str">
        <x:v>0-无关</x:v>
      </x:c>
      <x:c r="O167" s="41" t="str">
        <x:v>否</x:v>
      </x:c>
      <x:c r="P167" s="57" t="str">
        <x:v>《中芯国际关于开展套期保值业务的可行性报告》主要涉及治理、股权、会议、分红或其他事项，未披露“成熟制程需求结构、利用率与新增产能消化”相关实质证据。</x:v>
      </x:c>
      <x:c r="Q167" s="41" t="str">
        <x:v>B-CODEX-FIN-01</x:v>
      </x:c>
      <x:c r="R167" s="80" t="inlineStr">
        <x:is>
          <x:t>2026-08-28T03:00:25+08:00</x:t>
        </x:is>
      </x:c>
    </x:row>
    <x:row r="168" ht="72" customHeight="1">
      <x:c r="A168" s="64" t="str">
        <x:v>V5-R-Q017-C02</x:v>
      </x:c>
      <x:c r="B168" s="64" t="str">
        <x:v>V5-E-688981-C02</x:v>
      </x:c>
      <x:c r="C168" s="64" t="str">
        <x:v>V5-Q017</x:v>
      </x:c>
      <x:c r="D168" s="40" t="str">
        <x:v>中芯国际</x:v>
      </x:c>
      <x:c r="E168" s="64" t="str">
        <x:v>688981</x:v>
      </x:c>
      <x:c r="F168" s="87" t="n">
        <x:v>46260.75</x:v>
      </x:c>
      <x:c r="G168" s="51" t="str">
        <x:v>成熟制程需求结构变化能否支撑新增产能消化</x:v>
      </x:c>
      <x:c r="H168" s="64" t="str">
        <x:v>DOC-EVT-688981-00257</x:v>
      </x:c>
      <x:c r="I168" s="51" t="str">
        <x:v>国泰海通证券股份有限公司关于中芯国际集成电路制造有限公司本次交易前十二个月内购买、出售资产情况的核查意见</x:v>
      </x:c>
      <x:c r="J168" s="87" t="n">
        <x:v>46021</x:v>
      </x:c>
      <x:c r="K168" s="73" t="str">
        <x:v>http://static.cninfo.com.cn/finalpage/2025-12-30/1224907022.PDF</x:v>
      </x:c>
      <x:c r="L168" s="40" t="str">
        <x:v>第3页</x:v>
      </x:c>
      <x:c r="M168" s="51" t="str">
        <x:v>（本页无正文，为《国泰海通证券股份有限公司关于中芯国际集成电路制造有限 公司本次交易前十二个月内购买、出售资产情况的核查意见》之签章页） 独立财务顾问主办人： 徐亦潇 苏冬夷 国泰海通证券股份有限公司 年 月 日</x:v>
      </x:c>
      <x:c r="N168" s="41" t="str">
        <x:v>0-无关</x:v>
      </x:c>
      <x:c r="O168" s="41" t="str">
        <x:v>否</x:v>
      </x:c>
      <x:c r="P168" s="57" t="str">
        <x:v>《国泰海通证券股份有限公司关于中芯国际集成电路制造有限公司本次交易前十二个月内购买、出售资产情况的核查意见》主要涉及治理、股权、会议、分红或其他事项，未披露“成熟制程需求结构、利用率与新增产能消化”相关实质证据。</x:v>
      </x:c>
      <x:c r="Q168" s="41" t="str">
        <x:v>B-CODEX-FIN-01</x:v>
      </x:c>
      <x:c r="R168" s="80" t="inlineStr">
        <x:is>
          <x:t>2026-08-28T03:00:25+08:00</x:t>
        </x:is>
      </x:c>
    </x:row>
    <x:row r="169" ht="72" customHeight="1">
      <x:c r="A169" s="64" t="str">
        <x:v>V5-R-Q017-C05</x:v>
      </x:c>
      <x:c r="B169" s="64" t="str">
        <x:v>V5-E-688981-C05</x:v>
      </x:c>
      <x:c r="C169" s="64" t="str">
        <x:v>V5-Q017</x:v>
      </x:c>
      <x:c r="D169" s="40" t="str">
        <x:v>中芯国际</x:v>
      </x:c>
      <x:c r="E169" s="64" t="str">
        <x:v>688981</x:v>
      </x:c>
      <x:c r="F169" s="87" t="n">
        <x:v>46260.75</x:v>
      </x:c>
      <x:c r="G169" s="51" t="str">
        <x:v>成熟制程需求结构变化能否支撑新增产能消化</x:v>
      </x:c>
      <x:c r="H169" s="64" t="str">
        <x:v>DOC-EVT-688981-00166</x:v>
      </x:c>
      <x:c r="I169" s="51" t="str">
        <x:v>中芯国际2025年半年度报告摘要</x:v>
      </x:c>
      <x:c r="J169" s="87" t="n">
        <x:v>45898</x:v>
      </x:c>
      <x:c r="K169" s="73" t="str">
        <x:v>http://static.cninfo.com.cn/finalpage/2025-08-29/1224608544.PDF</x:v>
      </x:c>
      <x:c r="L169" s="40" t="str">
        <x:v>第1页</x:v>
      </x:c>
      <x:c r="M169" s="51" t="str">
        <x:v>公司代码：688981 公司简称：中芯国际 中芯国际集成电路制造有限公司 2025 年半年度报告摘要</x:v>
      </x:c>
      <x:c r="N169" s="41" t="str">
        <x:v>2-间接相关</x:v>
      </x:c>
      <x:c r="O169" s="41" t="str">
        <x:v>是</x:v>
      </x:c>
      <x:c r="P169" s="57" t="str">
        <x:v>半年报摘要提供需求和产能经营的阶段性信息，能够支持“成熟制程需求结构、利用率与新增产能消化”的中间环节，但未完整量化最终影响。</x:v>
      </x:c>
      <x:c r="Q169" s="41" t="str">
        <x:v>B-CODEX-FIN-01</x:v>
      </x:c>
      <x:c r="R169" s="80" t="inlineStr">
        <x:is>
          <x:t>2026-08-28T03:00:25+08:00</x:t>
        </x:is>
      </x:c>
    </x:row>
    <x:row r="170" ht="72" customHeight="1">
      <x:c r="A170" s="64" t="str">
        <x:v>V5-R-Q017-C07</x:v>
      </x:c>
      <x:c r="B170" s="64" t="str">
        <x:v>V5-E-688981-C07</x:v>
      </x:c>
      <x:c r="C170" s="64" t="str">
        <x:v>V5-Q017</x:v>
      </x:c>
      <x:c r="D170" s="40" t="str">
        <x:v>中芯国际</x:v>
      </x:c>
      <x:c r="E170" s="64" t="str">
        <x:v>688981</x:v>
      </x:c>
      <x:c r="F170" s="87" t="n">
        <x:v>46260.75</x:v>
      </x:c>
      <x:c r="G170" s="51" t="str">
        <x:v>成熟制程需求结构变化能否支撑新增产能消化</x:v>
      </x:c>
      <x:c r="H170" s="64" t="str">
        <x:v>DOC-EVT-688981-00211</x:v>
      </x:c>
      <x:c r="I170" s="51" t="str">
        <x:v>港股公告：中芯国际截至2025年9月30日止三个月未经审核业绩公布</x:v>
      </x:c>
      <x:c r="J170" s="87" t="n">
        <x:v>45975</x:v>
      </x:c>
      <x:c r="K170" s="73" t="str">
        <x:v>http://static.cninfo.com.cn/finalpage/2025-11-14/1224804087.PDF</x:v>
      </x:c>
      <x:c r="L170" s="40" t="str">
        <x:v>第1页</x:v>
      </x:c>
      <x:c r="M170" s="51" t="str">
        <x:v>-1- 香港交易及結算所有限公司及香港聯合交易所有限公司對本公告的內容概不負責，對其準確性或完整性 亦不發表任何聲明，並明確表示，概不對因本文檔全部或任何部份內容而産生或因倚賴該等內容而引致 的任何損失承擔任何責任。 SEMICONDUCTOR MANUFACTURING INTERNATIONAL CORPORATIO N 中芯國際集成電路製造有限公司 * (於開曼群島注冊成立之有限公司) (股份代號：0098 1) 中芯國際截至 202 5年9月30 日止三個月未經審核業績公佈 除非以下額外說明，本合併財務信息係依國際財務報告準則編製且表達。  2025 年第三季的銷售收入為 2,381.8 百萬美元，2025 年第二季的銷售收入為 2,209.1 百萬美元， 2024 年第三季的銷售收入為 2,171.2 百萬美元。  2025 年第三季毛利為 522.8 百萬美元，2025 年第二季毛利為 449.8 百萬美元，2024 年第三季毛 利為 444.2 百萬美元。  2025 年第三季毛利率為 22.0%，2025 年第二季毛利率為 20.4%，2024 年第三季毛利率為 20.5%。 以下爲本公司及其子公司(「本集團」)於 2025 年 11 月 13 日就截至 2025 年 9 月 30 日止三個月的未經 審核業績公佈全文。 除非特別指明，所有貨幣以美元列賬。 中國上海─ 2025 年 11 月 13 日─ 國際主要半導體代工製造商中芯國際集成電路製造有限公…</x:v>
      </x:c>
      <x:c r="N170" s="41" t="str">
        <x:v>3-直接相关</x:v>
      </x:c>
      <x:c r="O170" s="41" t="str">
        <x:v>是</x:v>
      </x:c>
      <x:c r="P170" s="57" t="str">
        <x:v>季度业绩披露收入、利用率和终端需求结构，直接覆盖“成熟制程需求结构、利用率与新增产能消化”的关键变量，关系路径成立。</x:v>
      </x:c>
      <x:c r="Q170" s="41" t="str">
        <x:v>B-CODEX-FIN-01</x:v>
      </x:c>
      <x:c r="R170" s="80" t="inlineStr">
        <x:is>
          <x:t>2026-08-28T03:00:25+08:00</x:t>
        </x:is>
      </x:c>
    </x:row>
    <x:row r="171" ht="72" customHeight="1">
      <x:c r="A171" s="64" t="str">
        <x:v>V5-R-Q017-C01</x:v>
      </x:c>
      <x:c r="B171" s="64" t="str">
        <x:v>V5-E-688981-C01</x:v>
      </x:c>
      <x:c r="C171" s="64" t="str">
        <x:v>V5-Q017</x:v>
      </x:c>
      <x:c r="D171" s="40" t="str">
        <x:v>中芯国际</x:v>
      </x:c>
      <x:c r="E171" s="64" t="str">
        <x:v>688981</x:v>
      </x:c>
      <x:c r="F171" s="87" t="n">
        <x:v>46260.75</x:v>
      </x:c>
      <x:c r="G171" s="51" t="str">
        <x:v>成熟制程需求结构变化能否支撑新增产能消化</x:v>
      </x:c>
      <x:c r="H171" s="64" t="str">
        <x:v>DOC-EVT-688981-00335</x:v>
      </x:c>
      <x:c r="I171" s="51" t="str">
        <x:v>中芯国际关于开展套期保值业务的可行性报告</x:v>
      </x:c>
      <x:c r="J171" s="87" t="n">
        <x:v>46157</x:v>
      </x:c>
      <x:c r="K171" s="73" t="str">
        <x:v>http://static.cninfo.com.cn/finalpage/2026-05-15/1225307107.PDF</x:v>
      </x:c>
      <x:c r="L171" s="40" t="str">
        <x:v>第1页</x:v>
      </x:c>
      <x:c r="M171" s="51" t="str">
        <x:v>1 中芯国际集成电路制造有限公司 关于开展套期保值业务的可行性报告 一、开展套期保值业务情况概述 1. 交易目的 为防范公司及下属全资或控股子公司外汇汇率与利率风险，进一步提高应 对外汇、利率波动风险的能力，增强财务稳健性，公司及子公司通过金融衍生 工具开展外汇与利率相关的套期保值工作。 2. 交易规模 公司及下属全资或控股子公司存量金融衍生品的名义总金额在任何时间点 最高不超过公司 2025 年度经审计净资产的 50%。套期保值业务有关授信额度 或保证金占用规模根据公司实际业务的需要确定。 3. 资金来源 开展套期保值业务资金来源为自有资金、债务融资以及公司通过法律法规 允许的其他方式筹集的资金。 4. 交易方式 拟开展套期保值业务所涉及的币种只限于公司及下属子公司生产经营所使 用的主要结算货币，包括但不限于人民币、美元、日元、欧元、港币等。 拟开展套期保值业务的具体方式或产品主要包括但不限于：远期结售汇、 外汇掉期、外汇期权、 交叉货币掉期 、利率掉期、利率期权等产品或上述产品 的组合。 5. 授权及期限 授权管理层在额度范围和有效期内开展套期保值业务并签署相关文件。授 权期限为 2026 年度股东会审议通过之日起至 2027 年度股东会日止，在该期限 内可循环滚动使用交易额度。</x:v>
      </x:c>
      <x:c r="N171" s="41" t="str">
        <x:v>0-无关</x:v>
      </x:c>
      <x:c r="O171" s="41" t="str">
        <x:v>否</x:v>
      </x:c>
      <x:c r="P171" s="57" t="str">
        <x:v>《中芯国际关于开展套期保值业务的可行性报告》主要涉及治理、股权、会议、分红或其他事项，未披露“成熟制程需求结构、利用率与新增产能消化”相关实质证据。</x:v>
      </x:c>
      <x:c r="Q171" s="41" t="str">
        <x:v>B-CODEX-FIN-01</x:v>
      </x:c>
      <x:c r="R171" s="80" t="inlineStr">
        <x:is>
          <x:t>2026-08-28T03:00:25+08:00</x:t>
        </x:is>
      </x:c>
    </x:row>
    <x:row r="172" ht="72" customHeight="1">
      <x:c r="A172" s="64" t="str">
        <x:v>V5-R-Q018-C03</x:v>
      </x:c>
      <x:c r="B172" s="64" t="str">
        <x:v>V5-E-603986-C03</x:v>
      </x:c>
      <x:c r="C172" s="64" t="str">
        <x:v>V5-Q018</x:v>
      </x:c>
      <x:c r="D172" s="40" t="str">
        <x:v>兆易创新</x:v>
      </x:c>
      <x:c r="E172" s="64" t="str">
        <x:v>603986</x:v>
      </x:c>
      <x:c r="F172" s="87" t="n">
        <x:v>46260.75</x:v>
      </x:c>
      <x:c r="G172" s="51" t="str">
        <x:v>车规级MCU渗透能否提升产品组合与客户黏性</x:v>
      </x:c>
      <x:c r="H172" s="64" t="str">
        <x:v>DOC-EVT-603986-00491</x:v>
      </x:c>
      <x:c r="I172" s="51" t="str">
        <x:v>兆易创新关于股票交易风险提示的公告</x:v>
      </x:c>
      <x:c r="J172" s="87" t="n">
        <x:v>46203</x:v>
      </x:c>
      <x:c r="K172" s="73" t="str">
        <x:v>http://static.cninfo.com.cn/finalpage/2026-06-30/1225398003.PDF</x:v>
      </x:c>
      <x:c r="L172" s="40" t="str">
        <x:v>第1页</x:v>
      </x:c>
      <x:c r="M172" s="51" t="str">
        <x:v>1 证券代码：603986 证券简称：兆易创新 公告编号：2026-052 兆易创新科技集团股份有限公司 关于股票交易风险提示的公告 本公司董事会及全体董事保证本公告内容不存在任何虚假记载、误导性陈 述或者重大遗漏，并对其内容的真实性、准确性和完整性承担法律责任。 一、股价短期上涨后快速回落的风险 公司股票价格自2026年6月15日至2026年6月29日连续10个交易日内日收盘 价涨幅偏离值累计达到73.42%，自2026年5月18日至2026年6月29日连续30个交易 日内日收盘价格涨幅偏离值累计达到125.60%，股票价格短期累计涨幅较大，未 来可能存在股价快速回落风险。 二、估值较高的风险 截至 2026 年 6 月 29 日，公司最新滚动市盈率为 200.17，公司所属的中证行 业“集成电路设计”（代码：45301010）最新滚动市盈率为 128.83，公司滚动市 盈率显著高于行业水平，存在估值较高的风险。 三、存储行业周期波动风险 公司所处存储芯片行业历史上呈现显著的周期性波动特征，目前产品价格已 处于历史高位，继续大幅上涨的趋势不可持续，行业供给与需求终将走向再平衡。 未来，随着宏观经济环境、行业周期、市场供需关系等多重因素的变化，主要产 品价格可能出现相当幅度的回落，届时对公司存储业务的产品售价、毛利率均将 产生较大负面影响，从而导致公司整体盈利能力下降，存在公司经营业绩下降的 风险。 四、公司经营风险 公司目前所经营的存储产品属于利基存储产品，即主要供给的下…</x:v>
      </x:c>
      <x:c r="N172" s="41" t="str">
        <x:v>1-弱相关</x:v>
      </x:c>
      <x:c r="O172" s="41" t="str">
        <x:v>否</x:v>
      </x:c>
      <x:c r="P172" s="57" t="str">
        <x:v>《兆易创新关于股票交易风险提示的公告》仅提供公司阶段性经营、财务或相邻业务背景，未同时覆盖“车规级MCU产品渗透与客户黏性”的核心变量，相关性较弱。</x:v>
      </x:c>
      <x:c r="Q172" s="41" t="str">
        <x:v>B-CODEX-FIN-01</x:v>
      </x:c>
      <x:c r="R172" s="80" t="inlineStr">
        <x:is>
          <x:t>2026-08-28T03:00:25+08:00</x:t>
        </x:is>
      </x:c>
    </x:row>
    <x:row r="173" ht="72" customHeight="1">
      <x:c r="A173" s="64" t="str">
        <x:v>V5-R-Q018-C10</x:v>
      </x:c>
      <x:c r="B173" s="64" t="str">
        <x:v>V5-E-603986-C10</x:v>
      </x:c>
      <x:c r="C173" s="64" t="str">
        <x:v>V5-Q018</x:v>
      </x:c>
      <x:c r="D173" s="40" t="str">
        <x:v>兆易创新</x:v>
      </x:c>
      <x:c r="E173" s="64" t="str">
        <x:v>603986</x:v>
      </x:c>
      <x:c r="F173" s="87" t="n">
        <x:v>46260.75</x:v>
      </x:c>
      <x:c r="G173" s="51" t="str">
        <x:v>车规级MCU渗透能否提升产品组合与客户黏性</x:v>
      </x:c>
      <x:c r="H173" s="64" t="str">
        <x:v>DOC-EVT-603986-00512</x:v>
      </x:c>
      <x:c r="I173" s="51" t="str">
        <x:v>兆易创新2026年第二次临时股东会会议资料</x:v>
      </x:c>
      <x:c r="J173" s="87" t="n">
        <x:v>46237</x:v>
      </x:c>
      <x:c r="K173" s="73" t="str">
        <x:v>http://static.cninfo.com.cn/finalpage/2026-08-03/1225452824.PDF</x:v>
      </x:c>
      <x:c r="L173" s="40" t="str">
        <x:v>第5页</x:v>
      </x:c>
      <x:c r="M173" s="51" t="str">
        <x:v>兆易创新科技集团股份有限公司 2026年第二次临时股东会会议资料 4 议案一 兆易创新科技集团股份有限公司 关于以集中竞价交易方式回购公司A 股股份方案的议案 各位股东及股东代表： 公司拟以集中竞价交易方式回购公司股份，拟回购股份的资金总额不低于 人民币 10 亿元（含），不超过人民币 20 亿元（含），回购股份将全部用于注销 并减少注册资本。具体情况如下： 一、回购方案的主要内容 本次回购方案的主要内容如下： 回购方案首次披露日 2026/8/1 回购方案实施期限 待公司股东会审议通过后6 个月 方案日期及提议人 2026/7/29，由公司董事长朱一明先生提议 预计回购金额 10 亿元~20 亿元 回购资金来源 自有资金及/或自筹资金 回购价格上限 750 元/股 回购用途 √减少注册资本 □用于员工持股计划或股权激励 □用于转换公司可转债 □为维护公司价值及股东权益 回购股份方式 集中竞价交易方式 回购股份数量 133.33 万股~266.67 万股（依照回购价格上限测算） 回购股份占总股本比例 0.19%~0.38% (一)回购股份的目的 为维护公司全体股东利益，增强投资者信心，稳定及提升公司价值，基于对 公司未来发展的信心，公司拟使用自有资金及/或自筹资金通过集中竞价交易方 式进行股份回购，回购完毕后将依法进行注销并减少公司注册资本。 (二)回购股份的种类 公司发行的人民币普通股 A 股。</x:v>
      </x:c>
      <x:c r="N173" s="41" t="str">
        <x:v>0-无关</x:v>
      </x:c>
      <x:c r="O173" s="41" t="str">
        <x:v>否</x:v>
      </x:c>
      <x:c r="P173" s="57" t="str">
        <x:v>《兆易创新2026年第二次临时股东会会议资料》主要涉及治理、股权、会议、分红或其他事项，未披露“车规级MCU产品渗透与客户黏性”相关实质证据。</x:v>
      </x:c>
      <x:c r="Q173" s="41" t="str">
        <x:v>B-CODEX-FIN-01</x:v>
      </x:c>
      <x:c r="R173" s="80" t="inlineStr">
        <x:is>
          <x:t>2026-08-28T03:00:25+08:00</x:t>
        </x:is>
      </x:c>
    </x:row>
    <x:row r="174" ht="72" customHeight="1">
      <x:c r="A174" s="64" t="str">
        <x:v>V5-R-Q018-C09</x:v>
      </x:c>
      <x:c r="B174" s="64" t="str">
        <x:v>V5-E-603986-C09</x:v>
      </x:c>
      <x:c r="C174" s="64" t="str">
        <x:v>V5-Q018</x:v>
      </x:c>
      <x:c r="D174" s="40" t="str">
        <x:v>兆易创新</x:v>
      </x:c>
      <x:c r="E174" s="64" t="str">
        <x:v>603986</x:v>
      </x:c>
      <x:c r="F174" s="87" t="n">
        <x:v>46260.75</x:v>
      </x:c>
      <x:c r="G174" s="51" t="str">
        <x:v>车规级MCU渗透能否提升产品组合与客户黏性</x:v>
      </x:c>
      <x:c r="H174" s="64" t="str">
        <x:v>DOC-EVT-603986-00480</x:v>
      </x:c>
      <x:c r="I174" s="51" t="str">
        <x:v>兆易创新关于持股5%以上股东权益变动触及1%刻度的提示性公告</x:v>
      </x:c>
      <x:c r="J174" s="87" t="n">
        <x:v>46169</x:v>
      </x:c>
      <x:c r="K174" s="73" t="str">
        <x:v>http://static.cninfo.com.cn/finalpage/2026-05-27/1225331840.PDF</x:v>
      </x:c>
      <x:c r="L174" s="40" t="str">
        <x:v>第1页</x:v>
      </x:c>
      <x:c r="M174" s="51" t="str">
        <x:v>1 证券代码：603986 证券简称：兆易创新 公告编号：2026-043 兆易创新科技集团股份有限公司 关于持股5%以上股东权益变动触及 1%刻度的提示性 公告 朱一明先生保证向本公司提供的信息真实、准确、完整，没有虚假记载、误 导性陈述或重大遗漏。 本公司董事会及全体董事保证公告内容与信息披露义务人提供的信息一致。 重要内容提示： 权益变动方向 比例增加□ 比例减少□√ 权益变动前合计比例 7.90% 权益变动后合计比例 7.00% 本次变动是否违反已作出的承 诺、意向、计划 是□ 否□√ 是否触发强制要约收购义务 是□ 否□√ 一、 信息披露义务人及其一致行动人的基本信息 1.身份类别 投资者及其一致行动人的身份 □√ 控股股东/实际控制人及其一致行动人 □ 其他 5%以上大股东及其一致行动人 □ 合并口径第一大股东及其一致行动人（仅适 用于无控股股东、实际控制人） □ 其他______________（请注明） 2.信息披露义务人信息 信息披露义务人名称 投资者身份 统一社会信用代码 朱一明 □√ 控股股东/实控人 □ 控股股东/实控人的一致 行动人 □ 其他直接持股股东 □√ 不适用</x:v>
      </x:c>
      <x:c r="N174" s="41" t="str">
        <x:v>0-无关</x:v>
      </x:c>
      <x:c r="O174" s="41" t="str">
        <x:v>否</x:v>
      </x:c>
      <x:c r="P174" s="57" t="str">
        <x:v>《兆易创新关于持股5%以上股东权益变动触及1%刻度的提示性公告》主要涉及治理、股权、会议、分红或其他事项，未披露“车规级MCU产品渗透与客户黏性”相关实质证据。</x:v>
      </x:c>
      <x:c r="Q174" s="41" t="str">
        <x:v>B-CODEX-FIN-01</x:v>
      </x:c>
      <x:c r="R174" s="80" t="inlineStr">
        <x:is>
          <x:t>2026-08-28T03:00:25+08:00</x:t>
        </x:is>
      </x:c>
    </x:row>
    <x:row r="175" ht="72" customHeight="1">
      <x:c r="A175" s="64" t="str">
        <x:v>V5-R-Q018-C05</x:v>
      </x:c>
      <x:c r="B175" s="64" t="str">
        <x:v>V5-E-603986-C05</x:v>
      </x:c>
      <x:c r="C175" s="64" t="str">
        <x:v>V5-Q018</x:v>
      </x:c>
      <x:c r="D175" s="40" t="str">
        <x:v>兆易创新</x:v>
      </x:c>
      <x:c r="E175" s="64" t="str">
        <x:v>603986</x:v>
      </x:c>
      <x:c r="F175" s="87" t="n">
        <x:v>46260.75</x:v>
      </x:c>
      <x:c r="G175" s="51" t="str">
        <x:v>车规级MCU渗透能否提升产品组合与客户黏性</x:v>
      </x:c>
      <x:c r="H175" s="64" t="str">
        <x:v>DOC-EVT-603986-00309</x:v>
      </x:c>
      <x:c r="I175" s="51" t="str">
        <x:v>兆易创新独立董事专门会议制度</x:v>
      </x:c>
      <x:c r="J175" s="87" t="n">
        <x:v>45798</x:v>
      </x:c>
      <x:c r="K175" s="73" t="str">
        <x:v>http://static.cninfo.com.cn/finalpage/2025-05-21/1223606638.PDF</x:v>
      </x:c>
      <x:c r="L175" s="40" t="str">
        <x:v>第1页</x:v>
      </x:c>
      <x:c r="M175" s="51" t="str">
        <x:v>1 兆易创新科技集团股份有限公司 独立董事专门会议制度 第一条 为充分发挥独立董事在董事会中参与决策、监督制衡、专业咨询 等职能，进一步完善公司的治理结构，保护中小股东及利益相关者的利益，促 进公司的规范运作，根据《中华人民共和国公司法》《上市公司治理准则》 《上市公司独立董事管理办法》《上海证券交易所股票上市规则》《上海证券 交易所上市公司自律监管指引第1号——规范运作》《兆易创新科技集团股份有 限公司章程》（以下简称《公司章程》）等有关法律、法规和规范性文件的有 关规定，制定本制度。 第二条 独立董事是指不在上市公司担任除董事外的其他职务，并与其所 受聘的上市公司及其主要股东、实际控制人不存在直接或者间接利害关系，或 者其他可能影响其进行独立客观判断关系的董事。 第三条 独立董事专门会议是指全部由公司独立董事参加的会议。独立董 事专门会议对所议事项进行独立研讨，从公司和中小股东利益角度进行思考判 断，并且形成讨论意见。 第四条 公司独立董事不定期召开独立董事专门会议，原则上应当于会议 召开前三天通知全体独立董事并提供相关资料和信息。 第五条 独立董事专门会议可以采取通讯表决的方式召开；独立董事专门 会议召集人认为有必要时，或半数以上独立董事提议时，可以召开独立董事专 门会议。 第六条 独立董事专门会议应由过半数独立董事出席方可举行。 独立董事应当亲自出席独立董事专门会议，因故不能亲自出席会议的，应 当事先审阅会议材料，形成明确的意见，并书面委托其他独立董事代为出席。 第…</x:v>
      </x:c>
      <x:c r="N175" s="41" t="str">
        <x:v>0-无关</x:v>
      </x:c>
      <x:c r="O175" s="41" t="str">
        <x:v>否</x:v>
      </x:c>
      <x:c r="P175" s="57" t="str">
        <x:v>《兆易创新独立董事专门会议制度》主要涉及治理、股权、会议、分红或其他事项，未披露“车规级MCU产品渗透与客户黏性”相关实质证据。</x:v>
      </x:c>
      <x:c r="Q175" s="41" t="str">
        <x:v>B-CODEX-FIN-01</x:v>
      </x:c>
      <x:c r="R175" s="80" t="inlineStr">
        <x:is>
          <x:t>2026-08-28T03:00:25+08:00</x:t>
        </x:is>
      </x:c>
    </x:row>
    <x:row r="176" ht="72" customHeight="1">
      <x:c r="A176" s="64" t="str">
        <x:v>V5-R-Q018-C01</x:v>
      </x:c>
      <x:c r="B176" s="64" t="str">
        <x:v>V5-E-603986-C01</x:v>
      </x:c>
      <x:c r="C176" s="64" t="str">
        <x:v>V5-Q018</x:v>
      </x:c>
      <x:c r="D176" s="40" t="str">
        <x:v>兆易创新</x:v>
      </x:c>
      <x:c r="E176" s="64" t="str">
        <x:v>603986</x:v>
      </x:c>
      <x:c r="F176" s="87" t="n">
        <x:v>46260.75</x:v>
      </x:c>
      <x:c r="G176" s="51" t="str">
        <x:v>车规级MCU渗透能否提升产品组合与客户黏性</x:v>
      </x:c>
      <x:c r="H176" s="64" t="str">
        <x:v>DOC-EVT-603986-00383</x:v>
      </x:c>
      <x:c r="I176" s="51" t="str">
        <x:v>兆易创新2025年第三季度报告</x:v>
      </x:c>
      <x:c r="J176" s="87" t="n">
        <x:v>45959</x:v>
      </x:c>
      <x:c r="K176" s="73" t="str">
        <x:v>http://static.cninfo.com.cn/finalpage/2025-10-29/1224754267.PDF</x:v>
      </x:c>
      <x:c r="L176" s="40" t="str">
        <x:v>第3页</x:v>
      </x:c>
      <x:c r="M176" s="51" t="str">
        <x:v>兆易创新科技集团股份有限公司2025 年第三季度报告 3 / 12 （%） 营业收入_本报告期 31.40 主要是 DRAM 行业供给格局持续改善， 形成“价量齐升”的良好态势；公司持 续深化多元化产品布局，本报告期消费、 工业、汽车等领域需求增长，与公司丰 富的产品矩阵形成有效协同，共同推动 营业收入实现快速增长。 利润总额_本报告期 55.53 主要是营业收入增长，毛利润增加所致 归属于上市公司股东的净利润_本报告期 61.13 归属于上市公司股东的净利润_年初至报 告期末 30.18 归属于上市公司股东的扣除非经常性损益 的净利润_本报告期 63.71 归属于上市公司股东的扣除非经常性损益 的净利润_年初至报告期末 34.04 基本每股收益_本报告期 58.33 基本每股收益_年初至报告期末 30.16 稀释每股收益_本报告期 61.70 稀释每股收益_年初至报告期末 30.40 经营活动产生的现金流量净额_本报告期 37.77 主要是销售收入增长，销售回款与采购 支出的净额增加所致 二、股东信息 （一） 普通股股东总数和表决权恢复的优先股股东数量及前十名股东持股情况表 单位：股 报告期末普通股股东总数 157,465 报告期末表决权恢复的优先股股 东总数（如有） 0 前 10 名股东持股情况（不含通过转融通出借股份） 股东名称 股东性质 持股数量 持股比例 (%) 持有有 限售条 件股份 数量 质押、标记或冻 结情况 股份状 态 数量 朱一明 境内自然人 45,75…</x:v>
      </x:c>
      <x:c r="N176" s="41" t="str">
        <x:v>2-间接相关</x:v>
      </x:c>
      <x:c r="O176" s="41" t="str">
        <x:v>是</x:v>
      </x:c>
      <x:c r="P176" s="57" t="str">
        <x:v>三季报披露汽车领域需求增长及多元产品矩阵协同，能够支持“车规级MCU产品渗透与客户黏性”的中间环节，但未完整量化最终影响。</x:v>
      </x:c>
      <x:c r="Q176" s="41" t="str">
        <x:v>B-CODEX-FIN-01</x:v>
      </x:c>
      <x:c r="R176" s="80" t="inlineStr">
        <x:is>
          <x:t>2026-08-28T03:00:25+08:00</x:t>
        </x:is>
      </x:c>
    </x:row>
    <x:row r="177" ht="72" customHeight="1">
      <x:c r="A177" s="64" t="str">
        <x:v>V5-R-Q018-C07</x:v>
      </x:c>
      <x:c r="B177" s="64" t="str">
        <x:v>V5-E-603986-C07</x:v>
      </x:c>
      <x:c r="C177" s="64" t="str">
        <x:v>V5-Q018</x:v>
      </x:c>
      <x:c r="D177" s="40" t="str">
        <x:v>兆易创新</x:v>
      </x:c>
      <x:c r="E177" s="64" t="str">
        <x:v>603986</x:v>
      </x:c>
      <x:c r="F177" s="87" t="n">
        <x:v>46260.75</x:v>
      </x:c>
      <x:c r="G177" s="51" t="str">
        <x:v>车规级MCU渗透能否提升产品组合与客户黏性</x:v>
      </x:c>
      <x:c r="H177" s="64" t="str">
        <x:v>DOC-EVT-603986-00494</x:v>
      </x:c>
      <x:c r="I177" s="51" t="str">
        <x:v>兆易创新2026年半年度业绩预增公告</x:v>
      </x:c>
      <x:c r="J177" s="87" t="n">
        <x:v>46213</x:v>
      </x:c>
      <x:c r="K177" s="73" t="str">
        <x:v>http://static.cninfo.com.cn/finalpage/2026-07-10/1225417171.PDF</x:v>
      </x:c>
      <x:c r="L177" s="40" t="str">
        <x:v>第1页</x:v>
      </x:c>
      <x:c r="M177" s="51" t="str">
        <x:v>1 证券代码：603986 证券简称：兆易创新 公告编号：2026-054 兆易创新科技集团股份有限公司 2026 年半年度业绩预增公告 本公司董事会及全体董事保证本公告内容不存在任何虚假记载、误导性 陈述或者重大遗漏，并对其内容的真实性、准确性和完整性承担法律责任。 重要内容提示： 1. 公司预计2026 年半年度归属于上市公司股东的净利润为690,000 万元左 右，与上年同期相比增加 632,452 万元左右，同比增长 1099%左右。 2. 公司预计 2026 年半年度归属于上市公司股东扣除非经常性损益后的净 利润为485,000万元左右，与上年同期相比增加430,557万元左右，同比增长791% 左右。 3. 公司预计 2026 年半年度实现营业收入 1,150,000 万元左右，与上年同期 相比增加 734,969 万元左右，同比增长 177%左右。 4. 公司所处存储芯片行业历史上呈现周期性波动特征，公司未来业绩可能 受到行业供需格局变动影响，公司存在未来盈利能力可能有所下降的风险。公司 计入其他非流动金融资产的证券投资，其公允价值变动产生的损益影响非经常性 损益，且前述收益后续随着证券投资的公允价值变动可能出现波动，公司未来净 利润可能相应受到影响。 一、本期业绩预告情况 （一）业绩预告期间 2026 年 1 月 1 日至 2026 年 6 月 30 日。 （二）业绩预告情况 1. 经财务部门初步测算，预计 2026 年半年度实现归属于上市公司股东的净 利润…</x:v>
      </x:c>
      <x:c r="N177" s="41" t="str">
        <x:v>1-弱相关</x:v>
      </x:c>
      <x:c r="O177" s="41" t="str">
        <x:v>否</x:v>
      </x:c>
      <x:c r="P177" s="57" t="str">
        <x:v>《兆易创新2026年半年度业绩预增公告》仅提供公司阶段性经营、财务或相邻业务背景，未同时覆盖“车规级MCU产品渗透与客户黏性”的核心变量，相关性较弱。</x:v>
      </x:c>
      <x:c r="Q177" s="41" t="str">
        <x:v>B-CODEX-FIN-01</x:v>
      </x:c>
      <x:c r="R177" s="80" t="inlineStr">
        <x:is>
          <x:t>2026-08-28T03:00:25+08:00</x:t>
        </x:is>
      </x:c>
    </x:row>
    <x:row r="178" ht="72" customHeight="1">
      <x:c r="A178" s="64" t="str">
        <x:v>V5-R-Q018-C06</x:v>
      </x:c>
      <x:c r="B178" s="64" t="str">
        <x:v>V5-E-603986-C06</x:v>
      </x:c>
      <x:c r="C178" s="64" t="str">
        <x:v>V5-Q018</x:v>
      </x:c>
      <x:c r="D178" s="40" t="str">
        <x:v>兆易创新</x:v>
      </x:c>
      <x:c r="E178" s="64" t="str">
        <x:v>603986</x:v>
      </x:c>
      <x:c r="F178" s="87" t="n">
        <x:v>46260.75</x:v>
      </x:c>
      <x:c r="G178" s="51" t="str">
        <x:v>车规级MCU渗透能否提升产品组合与客户黏性</x:v>
      </x:c>
      <x:c r="H178" s="64" t="str">
        <x:v>DOC-EVT-603986-00216</x:v>
      </x:c>
      <x:c r="I178" s="51" t="str">
        <x:v>兆易创新关于注销回购股份并减少注册资本通知债权人的公告</x:v>
      </x:c>
      <x:c r="J178" s="87" t="n">
        <x:v>45643</x:v>
      </x:c>
      <x:c r="K178" s="73" t="str">
        <x:v>http://static.cninfo.com.cn/finalpage/2024-12-17/1222037110.PDF</x:v>
      </x:c>
      <x:c r="L178" s="40" t="str">
        <x:v>第1页</x:v>
      </x:c>
      <x:c r="M178" s="51" t="str">
        <x:v>1 证券代码：603986 证券简称：兆易创新 公告编号：2024-122 兆易创新科技集团股份有限公司 关于注销回购股份并减少注册资本 通知债权人的公告 本公司董事会及全体董事保证本公告内容不存在任何虚假记载、误导性陈述或 者重大遗漏，并对其内容的真实性、准确性和完整性承担法律责任。 兆易创新科技集团股份有限公司（以下简称“公司”）于2024 年 12 月 16 日召 开的 2024 年第五次临时股东会审议通过了《关于变更公司注册资本暨修改&lt;公司章 程&gt;的议案》。 公司于 2024 年 9 月 26 日召开 2024 年第三次临时股东会，审议通过了《关于以 集中竞价交易方式回购公司股份方案的议案》，同意公司回购股份并全部用于注销 减少注册资本。2024 年 11 月 21 日，公司已完成本次股份回购事项，总计回购公司 股份 1,748,100 股，并已全部 完成注销。本次股份回购及注销 后，公司总股本由 665,872,205 股变更为 664,124,105 股；公司注册资本由人民币 665,872,205 元变更为 人民币664,124,105 元。具体内容请详见《兆易创新股份回购实施结果暨股份变动的 公告》（公告编号：2024-109）。 公司本次注销已回购股份将导致注册资本减少，根据《中华人民共和国公司法》 等相关法律、法规的规定，公司特此通知债权人，债权人 自本公告之日起四十五日 内，有权要求公司清偿债务或者提供相应的担保。债权人未在规定期限内行使上述 权利的，…</x:v>
      </x:c>
      <x:c r="N178" s="41" t="str">
        <x:v>0-无关</x:v>
      </x:c>
      <x:c r="O178" s="41" t="str">
        <x:v>否</x:v>
      </x:c>
      <x:c r="P178" s="57" t="str">
        <x:v>《兆易创新关于注销回购股份并减少注册资本通知债权人的公告》主要涉及治理、股权、会议、分红或其他事项，未披露“车规级MCU产品渗透与客户黏性”相关实质证据。</x:v>
      </x:c>
      <x:c r="Q178" s="41" t="str">
        <x:v>B-CODEX-FIN-01</x:v>
      </x:c>
      <x:c r="R178" s="80" t="inlineStr">
        <x:is>
          <x:t>2026-08-28T03:00:25+08:00</x:t>
        </x:is>
      </x:c>
    </x:row>
    <x:row r="179" ht="72" customHeight="1">
      <x:c r="A179" s="64" t="str">
        <x:v>V5-R-Q018-C02</x:v>
      </x:c>
      <x:c r="B179" s="64" t="str">
        <x:v>V5-E-603986-C02</x:v>
      </x:c>
      <x:c r="C179" s="64" t="str">
        <x:v>V5-Q018</x:v>
      </x:c>
      <x:c r="D179" s="40" t="str">
        <x:v>兆易创新</x:v>
      </x:c>
      <x:c r="E179" s="64" t="str">
        <x:v>603986</x:v>
      </x:c>
      <x:c r="F179" s="87" t="n">
        <x:v>46260.75</x:v>
      </x:c>
      <x:c r="G179" s="51" t="str">
        <x:v>车规级MCU渗透能否提升产品组合与客户黏性</x:v>
      </x:c>
      <x:c r="H179" s="64" t="str">
        <x:v>DOC-EVT-603986-00369</x:v>
      </x:c>
      <x:c r="I179" s="51" t="str">
        <x:v>兆易创新2025年半年度报告</x:v>
      </x:c>
      <x:c r="J179" s="87" t="n">
        <x:v>45892</x:v>
      </x:c>
      <x:c r="K179" s="73" t="str">
        <x:v>http://static.cninfo.com.cn/finalpage/2025-08-23/1224559706.PDF</x:v>
      </x:c>
      <x:c r="L179" s="40" t="str">
        <x:v>第13页</x:v>
      </x:c>
      <x:c r="M179" s="51" t="str">
        <x:v>兆易创新科技集团股份有限公司2025年半年度报告 13 /179 第四，公司持续深耕国内市场，保持国内市场领先地位；同时积极开拓海外市场，依托多年 的海外布局，公司品牌影响力持续提升，公司海外本地化销售和服务团队不断完善，实现多元化 市场区域布局。 （二）技术和产品优势不断增强 公司产品多为通用型芯片，应用领域和场景广泛。公司持续完善和丰富产品线，提高技术和 产品的协同，持续保持技术领先优势。 1. 存储产品 公司于 2020年推出中国内地首款容量高达 2Gb、高性能 SPINORFlash产品，成为中国内地 首家覆盖 512Kb到 2Gb完整产品线的厂商。2024年，公司推出中国内地首款低功耗系列 SPINOR Flash，以 1.2V低电压和超低功耗模式，显著提升小容量电池设备续航能力。2025年，公司是率 先实现 45nm节点 SPINORFlash大规模量产的公司之一，存储密度得到显著改善，持续保持技术 和市场的领先。在汽车领域，公司 SPINORFlash车规级产品 2Mb~2Gb容量已全线铺齐，为市场 提供全国产化车规级闪存产品。公司 GD55LX02GE系列车规级 SPINORFlash以出色的产品性能 与可靠的产品质量，获得“2025汽车电子‧金芯奖 卓越产品奖”。 公司 NANDFlash产品聚焦于 SLCNANDFlash，具有高效、高可靠性、低功耗的特点，主要 针对工业控制、汽车电子、通信设备等对耐用性、稳定性、可靠性要求严格的应用场景。公司 38nm…</x:v>
      </x:c>
      <x:c r="N179" s="41" t="str">
        <x:v>3-直接相关</x:v>
      </x:c>
      <x:c r="O179" s="41" t="str">
        <x:v>是</x:v>
      </x:c>
      <x:c r="P179" s="57" t="str">
        <x:v>半年报系统披露车规级Flash、MCU产品和客户拓展，直接覆盖“车规级MCU产品渗透与客户黏性”的关键变量，关系路径成立。</x:v>
      </x:c>
      <x:c r="Q179" s="41" t="str">
        <x:v>B-CODEX-FIN-01</x:v>
      </x:c>
      <x:c r="R179" s="80" t="inlineStr">
        <x:is>
          <x:t>2026-08-28T03:00:25+08:00</x:t>
        </x:is>
      </x:c>
    </x:row>
    <x:row r="180" ht="72" customHeight="1">
      <x:c r="A180" s="64" t="str">
        <x:v>V5-R-Q018-C04</x:v>
      </x:c>
      <x:c r="B180" s="64" t="str">
        <x:v>V5-E-603986-C04</x:v>
      </x:c>
      <x:c r="C180" s="64" t="str">
        <x:v>V5-Q018</x:v>
      </x:c>
      <x:c r="D180" s="40" t="str">
        <x:v>兆易创新</x:v>
      </x:c>
      <x:c r="E180" s="64" t="str">
        <x:v>603986</x:v>
      </x:c>
      <x:c r="F180" s="87" t="n">
        <x:v>46260.75</x:v>
      </x:c>
      <x:c r="G180" s="51" t="str">
        <x:v>车规级MCU渗透能否提升产品组合与客户黏性</x:v>
      </x:c>
      <x:c r="H180" s="64" t="str">
        <x:v>DOC-EVT-603986-00076</x:v>
      </x:c>
      <x:c r="I180" s="51" t="str">
        <x:v>兆易创新2024年度“提质增效重回报”行动方案</x:v>
      </x:c>
      <x:c r="J180" s="87" t="n">
        <x:v>45402</x:v>
      </x:c>
      <x:c r="K180" s="73" t="str">
        <x:v>http://static.cninfo.com.cn/finalpage/2024-04-20/1219696511.PDF</x:v>
      </x:c>
      <x:c r="L180" s="40" t="str">
        <x:v>第1页</x:v>
      </x:c>
      <x:c r="M180" s="51" t="str">
        <x:v>P A G E 兆易创新科技集团股份有限公司 2024 年度“提质增效重回报 ”行动方案 为践行“以投资者为本”的上市公司发展理念，维护兆易创新科技集团股份 有限公司（ 以下简称“兆易创新”或“公司”）全体股东利益，基于对公司未来 发展前景的信心、对企业价值的深刻认识以及对社会责任的认真履行，公司制定 《2024 年度“提质增效重回报”行动方案》。公司将在经营管理、研发创新、公 司治理及投资者关系等方面采取积极措施，以进一步提高上市公司质量，保障投 资者权益，促进公司健康可持续发展。主要举措如下： 一、聚焦主营业务，提升经营质量、提质增效 一）聚焦主营业务，提升经营质量和效率 兆易创新是全球领先的 Fabless 芯片供应商，以利基型存储为起点，历经近 20 年的技术与市场积淀，成长为一家集存储器、微控制器、传感器、模拟产品为 一体的半导体解决方案供应商，通过多元化的产品组合构建了协同发展的综合性 技术生态系统，并为工业、汽车、计算、消费电子、物联网、移动应用以及通信 领域的客户提供完善的产品技术和服务。公司已通过 ISO26262:2018 汽车功能安 全最高等级ASIL D 体系认证，并获得 ISO 9001、ISO 14001、ISO 45001 等体系 认证和邓白氏认证，与多家世界知名晶圆厂、封装测试厂建立战略合作伙伴关系， 共同推进半导体领域的技术创新。 公司通过长期的研发投入和技术积累，不断强化研发团队建设，并通过产品 创新、技术创新和技术微创新，保持技术领先性…</x:v>
      </x:c>
      <x:c r="N180" s="41" t="str">
        <x:v>2-间接相关</x:v>
      </x:c>
      <x:c r="O180" s="41" t="str">
        <x:v>是</x:v>
      </x:c>
      <x:c r="P180" s="57" t="str">
        <x:v>行动方案披露MCU、车规认证及研发推进，能够支持“车规级MCU产品渗透与客户黏性”的中间环节，但未完整量化最终影响。</x:v>
      </x:c>
      <x:c r="Q180" s="41" t="str">
        <x:v>B-CODEX-FIN-01</x:v>
      </x:c>
      <x:c r="R180" s="80" t="inlineStr">
        <x:is>
          <x:t>2026-08-28T03:00:25+08:00</x:t>
        </x:is>
      </x:c>
    </x:row>
    <x:row r="181" ht="72" customHeight="1">
      <x:c r="A181" s="64" t="str">
        <x:v>V5-R-Q018-C08</x:v>
      </x:c>
      <x:c r="B181" s="64" t="str">
        <x:v>V5-E-603986-C08</x:v>
      </x:c>
      <x:c r="C181" s="64" t="str">
        <x:v>V5-Q018</x:v>
      </x:c>
      <x:c r="D181" s="40" t="str">
        <x:v>兆易创新</x:v>
      </x:c>
      <x:c r="E181" s="64" t="str">
        <x:v>603986</x:v>
      </x:c>
      <x:c r="F181" s="87" t="n">
        <x:v>46260.75</x:v>
      </x:c>
      <x:c r="G181" s="51" t="str">
        <x:v>车规级MCU渗透能否提升产品组合与客户黏性</x:v>
      </x:c>
      <x:c r="H181" s="64" t="str">
        <x:v>DOC-EVT-603986-00471</x:v>
      </x:c>
      <x:c r="I181" s="51" t="str">
        <x:v>兆易创新关于召开2026年第一季度业绩说明会的公告</x:v>
      </x:c>
      <x:c r="J181" s="87" t="n">
        <x:v>46142</x:v>
      </x:c>
      <x:c r="K181" s="73" t="str">
        <x:v>http://static.cninfo.com.cn/finalpage/2026-04-30/1225258051.PDF</x:v>
      </x:c>
      <x:c r="L181" s="40" t="str">
        <x:v>第1页</x:v>
      </x:c>
      <x:c r="M181" s="51" t="str">
        <x:v>1 证券代码：603986 证券简称：兆易创新 公告编号：2026-036 兆易创新科技集团股份有限公司 关于召开2026 年第一季度业绩说明会的公告 本公司董事会及全体董事保证本公告内容不存在任何虚假记载、误导性陈述 或者重大遗漏，并对其内容的真实性、准确性和完整性承担法律责任。 重要内容提示： ● 会议召开时间：2026 年 5 月 20 日（星期三）13:00-14:00 ● 会 议 召 开 地 点 ： 上 海 证 券 交 易 所 上 证 路 演 中 心 （ 网 址 ： https://roadshow.sseinfo.com/） ● 会议召开方式：上证路演中心网络互动 ● 投资者可于 2026 年 5 月 13 日（星期三）至 5 月 19 日（星期二）16:00 前登录 上证 路演 中心 网站 首页 点击“ 提问 预征 集” 栏目 或通 过公 司邮 箱 investor@gigadevice.com 进行提问。公司将在说明会上对投资者普遍关注的问题 进行回答。 兆易创新科技集团股份有限公司（以下简称“公司”）已于 2026 年 4 月 30 日发布公司 2026 年第一季度报告，为便于广大投资者更全面深入地了解公司 2026 年第一季度经营成果、财务状况，公司计划于 2026 年 5 月 20 日 13:00-14:00 举行 2026 年第一季度业绩说明会，就投资者关心的问题进行交流。 一、说明会类型 本次投资者说明会以网络互动形式召开，公司将针对 2026 年…</x:v>
      </x:c>
      <x:c r="N181" s="41" t="str">
        <x:v>0-无关</x:v>
      </x:c>
      <x:c r="O181" s="41" t="str">
        <x:v>否</x:v>
      </x:c>
      <x:c r="P181" s="57" t="str">
        <x:v>《兆易创新关于召开2026年第一季度业绩说明会的公告》主要涉及治理、股权、会议、分红或其他事项，未披露“车规级MCU产品渗透与客户黏性”相关实质证据。</x:v>
      </x:c>
      <x:c r="Q181" s="41" t="str">
        <x:v>B-CODEX-FIN-01</x:v>
      </x:c>
      <x:c r="R181" s="80" t="inlineStr">
        <x:is>
          <x:t>2026-08-28T03:00:25+08:00</x:t>
        </x:is>
      </x:c>
    </x:row>
    <x:row r="182" ht="72" customHeight="1">
      <x:c r="A182" s="64" t="str">
        <x:v>V5-R-Q019-C05</x:v>
      </x:c>
      <x:c r="B182" s="64" t="str">
        <x:v>V5-E-603986-C05</x:v>
      </x:c>
      <x:c r="C182" s="64" t="str">
        <x:v>V5-Q019</x:v>
      </x:c>
      <x:c r="D182" s="40" t="str">
        <x:v>兆易创新</x:v>
      </x:c>
      <x:c r="E182" s="64" t="str">
        <x:v>603986</x:v>
      </x:c>
      <x:c r="F182" s="87" t="n">
        <x:v>46260.75</x:v>
      </x:c>
      <x:c r="G182" s="51" t="str">
        <x:v>存货减值与周转变化是否反映存储周期风险</x:v>
      </x:c>
      <x:c r="H182" s="64" t="str">
        <x:v>DOC-EVT-603986-00309</x:v>
      </x:c>
      <x:c r="I182" s="51" t="str">
        <x:v>兆易创新独立董事专门会议制度</x:v>
      </x:c>
      <x:c r="J182" s="87" t="n">
        <x:v>45798</x:v>
      </x:c>
      <x:c r="K182" s="73" t="str">
        <x:v>http://static.cninfo.com.cn/finalpage/2025-05-21/1223606638.PDF</x:v>
      </x:c>
      <x:c r="L182" s="40" t="str">
        <x:v>第1页</x:v>
      </x:c>
      <x:c r="M182" s="51" t="str">
        <x:v>1 兆易创新科技集团股份有限公司 独立董事专门会议制度 第一条 为充分发挥独立董事在董事会中参与决策、监督制衡、专业咨询 等职能，进一步完善公司的治理结构，保护中小股东及利益相关者的利益，促 进公司的规范运作，根据《中华人民共和国公司法》《上市公司治理准则》 《上市公司独立董事管理办法》《上海证券交易所股票上市规则》《上海证券 交易所上市公司自律监管指引第1号——规范运作》《兆易创新科技集团股份有 限公司章程》（以下简称《公司章程》）等有关法律、法规和规范性文件的有 关规定，制定本制度。 第二条 独立董事是指不在上市公司担任除董事外的其他职务，并与其所 受聘的上市公司及其主要股东、实际控制人不存在直接或者间接利害关系，或 者其他可能影响其进行独立客观判断关系的董事。 第三条 独立董事专门会议是指全部由公司独立董事参加的会议。独立董 事专门会议对所议事项进行独立研讨，从公司和中小股东利益角度进行思考判 断，并且形成讨论意见。 第四条 公司独立董事不定期召开独立董事专门会议，原则上应当于会议 召开前三天通知全体独立董事并提供相关资料和信息。 第五条 独立董事专门会议可以采取通讯表决的方式召开；独立董事专门 会议召集人认为有必要时，或半数以上独立董事提议时，可以召开独立董事专 门会议。 第六条 独立董事专门会议应由过半数独立董事出席方可举行。 独立董事应当亲自出席独立董事专门会议，因故不能亲自出席会议的，应 当事先审阅会议材料，形成明确的意见，并书面委托其他独立董事代为出席。 第…</x:v>
      </x:c>
      <x:c r="N182" s="41" t="str">
        <x:v>0-无关</x:v>
      </x:c>
      <x:c r="O182" s="41" t="str">
        <x:v>否</x:v>
      </x:c>
      <x:c r="P182" s="57" t="str">
        <x:v>《兆易创新独立董事专门会议制度》主要涉及治理、股权、会议、分红或其他事项，未披露“存货减值、周转及存储行业周期风险”相关实质证据。</x:v>
      </x:c>
      <x:c r="Q182" s="41" t="str">
        <x:v>B-CODEX-FIN-01</x:v>
      </x:c>
      <x:c r="R182" s="80" t="inlineStr">
        <x:is>
          <x:t>2026-08-28T03:00:25+08:00</x:t>
        </x:is>
      </x:c>
    </x:row>
    <x:row r="183" ht="72" customHeight="1">
      <x:c r="A183" s="64" t="str">
        <x:v>V5-R-Q019-C08</x:v>
      </x:c>
      <x:c r="B183" s="64" t="str">
        <x:v>V5-E-603986-C08</x:v>
      </x:c>
      <x:c r="C183" s="64" t="str">
        <x:v>V5-Q019</x:v>
      </x:c>
      <x:c r="D183" s="40" t="str">
        <x:v>兆易创新</x:v>
      </x:c>
      <x:c r="E183" s="64" t="str">
        <x:v>603986</x:v>
      </x:c>
      <x:c r="F183" s="87" t="n">
        <x:v>46260.75</x:v>
      </x:c>
      <x:c r="G183" s="51" t="str">
        <x:v>存货减值与周转变化是否反映存储周期风险</x:v>
      </x:c>
      <x:c r="H183" s="64" t="str">
        <x:v>DOC-EVT-603986-00471</x:v>
      </x:c>
      <x:c r="I183" s="51" t="str">
        <x:v>兆易创新关于召开2026年第一季度业绩说明会的公告</x:v>
      </x:c>
      <x:c r="J183" s="87" t="n">
        <x:v>46142</x:v>
      </x:c>
      <x:c r="K183" s="73" t="str">
        <x:v>http://static.cninfo.com.cn/finalpage/2026-04-30/1225258051.PDF</x:v>
      </x:c>
      <x:c r="L183" s="40" t="str">
        <x:v>第1页</x:v>
      </x:c>
      <x:c r="M183" s="51" t="str">
        <x:v>1 证券代码：603986 证券简称：兆易创新 公告编号：2026-036 兆易创新科技集团股份有限公司 关于召开2026 年第一季度业绩说明会的公告 本公司董事会及全体董事保证本公告内容不存在任何虚假记载、误导性陈述 或者重大遗漏，并对其内容的真实性、准确性和完整性承担法律责任。 重要内容提示： ● 会议召开时间：2026 年 5 月 20 日（星期三）13:00-14:00 ● 会 议 召 开 地 点 ： 上 海 证 券 交 易 所 上 证 路 演 中 心 （ 网 址 ： https://roadshow.sseinfo.com/） ● 会议召开方式：上证路演中心网络互动 ● 投资者可于 2026 年 5 月 13 日（星期三）至 5 月 19 日（星期二）16:00 前登录 上证 路演 中心 网站 首页 点击“ 提问 预征 集” 栏目 或通 过公 司邮 箱 investor@gigadevice.com 进行提问。公司将在说明会上对投资者普遍关注的问题 进行回答。 兆易创新科技集团股份有限公司（以下简称“公司”）已于 2026 年 4 月 30 日发布公司 2026 年第一季度报告，为便于广大投资者更全面深入地了解公司 2026 年第一季度经营成果、财务状况，公司计划于 2026 年 5 月 20 日 13:00-14:00 举行 2026 年第一季度业绩说明会，就投资者关心的问题进行交流。 一、说明会类型 本次投资者说明会以网络互动形式召开，公司将针对 2026 年…</x:v>
      </x:c>
      <x:c r="N183" s="41" t="str">
        <x:v>0-无关</x:v>
      </x:c>
      <x:c r="O183" s="41" t="str">
        <x:v>否</x:v>
      </x:c>
      <x:c r="P183" s="57" t="str">
        <x:v>《兆易创新关于召开2026年第一季度业绩说明会的公告》主要涉及治理、股权、会议、分红或其他事项，未披露“存货减值、周转及存储行业周期风险”相关实质证据。</x:v>
      </x:c>
      <x:c r="Q183" s="41" t="str">
        <x:v>B-CODEX-FIN-01</x:v>
      </x:c>
      <x:c r="R183" s="80" t="inlineStr">
        <x:is>
          <x:t>2026-08-28T03:00:25+08:00</x:t>
        </x:is>
      </x:c>
    </x:row>
    <x:row r="184" ht="72" customHeight="1">
      <x:c r="A184" s="64" t="str">
        <x:v>V5-R-Q019-C10</x:v>
      </x:c>
      <x:c r="B184" s="64" t="str">
        <x:v>V5-E-603986-C10</x:v>
      </x:c>
      <x:c r="C184" s="64" t="str">
        <x:v>V5-Q019</x:v>
      </x:c>
      <x:c r="D184" s="40" t="str">
        <x:v>兆易创新</x:v>
      </x:c>
      <x:c r="E184" s="64" t="str">
        <x:v>603986</x:v>
      </x:c>
      <x:c r="F184" s="87" t="n">
        <x:v>46260.75</x:v>
      </x:c>
      <x:c r="G184" s="51" t="str">
        <x:v>存货减值与周转变化是否反映存储周期风险</x:v>
      </x:c>
      <x:c r="H184" s="64" t="str">
        <x:v>DOC-EVT-603986-00512</x:v>
      </x:c>
      <x:c r="I184" s="51" t="str">
        <x:v>兆易创新2026年第二次临时股东会会议资料</x:v>
      </x:c>
      <x:c r="J184" s="87" t="n">
        <x:v>46237</x:v>
      </x:c>
      <x:c r="K184" s="73" t="str">
        <x:v>http://static.cninfo.com.cn/finalpage/2026-08-03/1225452824.PDF</x:v>
      </x:c>
      <x:c r="L184" s="40" t="str">
        <x:v>第10页</x:v>
      </x:c>
      <x:c r="M184" s="51" t="str">
        <x:v>兆易创新科技集团股份有限公司 2026年第二次临时股东会会议资料 9 2. 设立回购专用证券账户及办理其他相关事务； 3. 根据实际情况择机回购股份，包括回购的时间、价格和数量等； 4. 办理相关报批事宜，包括但不限于授权、签署、执行、修改、完成与本 次回购股份相关的所有必要的文件、合同、协议、合约； 5. 如监管部门对于回购股份的政策发生变化或市场条件发生变化，除涉及 有关法律、法规及《公司章程》规定须由董事会、股东会重新表决的事项外，授 权管理层对本次回购股份的具体方案等相关事项进行相应调整； 6. 决定是否聘请相关中介机构，协助公司办理本次回购股份的相关事宜； 7. 在回购股份实施完成后，对回购股份进行注销，对《公司章程》及其他 可能涉及变动的资料及文件条款进行修改，并办理《公司章程》修改及工商变更 登记等事宜； 8. 办理其他以上虽未列明但为本次股份回购所必须的事项。 本授权自公司股东会审议通过之日起至上述授权事项办理完毕之日止。 二、回购方案的不确定性风险 (一) 本次回购股份方案尚需提交公司股东会审议，如果股东会未能审议通 过本方案，将导致本次回购股份方案无法实施； (二) 存在公司股票价格持续超出回购方案披露的价格上限，导致回购方案 无法实施或者只能部分实施的风险； (三) 本次回购股份用于注销，本次回购方案需征询债权人，存在债权人要 求公司提前清偿债务或要求公司提供相应担保的风险； (四) 若发生对公司股票交易价格产生重大影响的重大事项，或公司生产经 营、财…</x:v>
      </x:c>
      <x:c r="N184" s="41" t="str">
        <x:v>0-无关</x:v>
      </x:c>
      <x:c r="O184" s="41" t="str">
        <x:v>否</x:v>
      </x:c>
      <x:c r="P184" s="57" t="str">
        <x:v>《兆易创新2026年第二次临时股东会会议资料》主要涉及治理、股权、会议、分红或其他事项，未披露“存货减值、周转及存储行业周期风险”相关实质证据。</x:v>
      </x:c>
      <x:c r="Q184" s="41" t="str">
        <x:v>B-CODEX-FIN-01</x:v>
      </x:c>
      <x:c r="R184" s="80" t="inlineStr">
        <x:is>
          <x:t>2026-08-28T03:00:25+08:00</x:t>
        </x:is>
      </x:c>
    </x:row>
    <x:row r="185" ht="72" customHeight="1">
      <x:c r="A185" s="64" t="str">
        <x:v>V5-R-Q019-C07</x:v>
      </x:c>
      <x:c r="B185" s="64" t="str">
        <x:v>V5-E-603986-C07</x:v>
      </x:c>
      <x:c r="C185" s="64" t="str">
        <x:v>V5-Q019</x:v>
      </x:c>
      <x:c r="D185" s="40" t="str">
        <x:v>兆易创新</x:v>
      </x:c>
      <x:c r="E185" s="64" t="str">
        <x:v>603986</x:v>
      </x:c>
      <x:c r="F185" s="87" t="n">
        <x:v>46260.75</x:v>
      </x:c>
      <x:c r="G185" s="51" t="str">
        <x:v>存货减值与周转变化是否反映存储周期风险</x:v>
      </x:c>
      <x:c r="H185" s="64" t="str">
        <x:v>DOC-EVT-603986-00494</x:v>
      </x:c>
      <x:c r="I185" s="51" t="str">
        <x:v>兆易创新2026年半年度业绩预增公告</x:v>
      </x:c>
      <x:c r="J185" s="87" t="n">
        <x:v>46213</x:v>
      </x:c>
      <x:c r="K185" s="73" t="str">
        <x:v>http://static.cninfo.com.cn/finalpage/2026-07-10/1225417171.PDF</x:v>
      </x:c>
      <x:c r="L185" s="40" t="str">
        <x:v>第1页</x:v>
      </x:c>
      <x:c r="M185" s="51" t="str">
        <x:v>1 证券代码：603986 证券简称：兆易创新 公告编号：2026-054 兆易创新科技集团股份有限公司 2026 年半年度业绩预增公告 本公司董事会及全体董事保证本公告内容不存在任何虚假记载、误导性 陈述或者重大遗漏，并对其内容的真实性、准确性和完整性承担法律责任。 重要内容提示： 1. 公司预计2026 年半年度归属于上市公司股东的净利润为690,000 万元左 右，与上年同期相比增加 632,452 万元左右，同比增长 1099%左右。 2. 公司预计 2026 年半年度归属于上市公司股东扣除非经常性损益后的净 利润为485,000万元左右，与上年同期相比增加430,557万元左右，同比增长791% 左右。 3. 公司预计 2026 年半年度实现营业收入 1,150,000 万元左右，与上年同期 相比增加 734,969 万元左右，同比增长 177%左右。 4. 公司所处存储芯片行业历史上呈现周期性波动特征，公司未来业绩可能 受到行业供需格局变动影响，公司存在未来盈利能力可能有所下降的风险。公司 计入其他非流动金融资产的证券投资，其公允价值变动产生的损益影响非经常性 损益，且前述收益后续随着证券投资的公允价值变动可能出现波动，公司未来净 利润可能相应受到影响。 一、本期业绩预告情况 （一）业绩预告期间 2026 年 1 月 1 日至 2026 年 6 月 30 日。 （二）业绩预告情况 1. 经财务部门初步测算，预计 2026 年半年度实现归属于上市公司股东的净 利润…</x:v>
      </x:c>
      <x:c r="N185" s="41" t="str">
        <x:v>2-间接相关</x:v>
      </x:c>
      <x:c r="O185" s="41" t="str">
        <x:v>是</x:v>
      </x:c>
      <x:c r="P185" s="57" t="str">
        <x:v>业绩预增说明存储周期变化对利润的影响，能够支持“存货减值、周转及存储行业周期风险”的中间环节，但未完整量化最终影响。</x:v>
      </x:c>
      <x:c r="Q185" s="41" t="str">
        <x:v>B-CODEX-FIN-01</x:v>
      </x:c>
      <x:c r="R185" s="80" t="inlineStr">
        <x:is>
          <x:t>2026-08-28T03:00:25+08:00</x:t>
        </x:is>
      </x:c>
    </x:row>
    <x:row r="186" ht="72" customHeight="1">
      <x:c r="A186" s="64" t="str">
        <x:v>V5-R-Q019-C04</x:v>
      </x:c>
      <x:c r="B186" s="64" t="str">
        <x:v>V5-E-603986-C04</x:v>
      </x:c>
      <x:c r="C186" s="64" t="str">
        <x:v>V5-Q019</x:v>
      </x:c>
      <x:c r="D186" s="40" t="str">
        <x:v>兆易创新</x:v>
      </x:c>
      <x:c r="E186" s="64" t="str">
        <x:v>603986</x:v>
      </x:c>
      <x:c r="F186" s="87" t="n">
        <x:v>46260.75</x:v>
      </x:c>
      <x:c r="G186" s="51" t="str">
        <x:v>存货减值与周转变化是否反映存储周期风险</x:v>
      </x:c>
      <x:c r="H186" s="64" t="str">
        <x:v>DOC-EVT-603986-00076</x:v>
      </x:c>
      <x:c r="I186" s="51" t="str">
        <x:v>兆易创新2024年度“提质增效重回报”行动方案</x:v>
      </x:c>
      <x:c r="J186" s="87" t="n">
        <x:v>45402</x:v>
      </x:c>
      <x:c r="K186" s="73" t="str">
        <x:v>http://static.cninfo.com.cn/finalpage/2024-04-20/1219696511.PDF</x:v>
      </x:c>
      <x:c r="L186" s="40" t="str">
        <x:v>第1页</x:v>
      </x:c>
      <x:c r="M186" s="51" t="str">
        <x:v>P A G E 兆易创新科技集团股份有限公司 2024 年度“提质增效重回报 ”行动方案 为践行“以投资者为本”的上市公司发展理念，维护兆易创新科技集团股份 有限公司（ 以下简称“兆易创新”或“公司”）全体股东利益，基于对公司未来 发展前景的信心、对企业价值的深刻认识以及对社会责任的认真履行，公司制定 《2024 年度“提质增效重回报”行动方案》。公司将在经营管理、研发创新、公 司治理及投资者关系等方面采取积极措施，以进一步提高上市公司质量，保障投 资者权益，促进公司健康可持续发展。主要举措如下： 一、聚焦主营业务，提升经营质量、提质增效 一）聚焦主营业务，提升经营质量和效率 兆易创新是全球领先的 Fabless 芯片供应商，以利基型存储为起点，历经近 20 年的技术与市场积淀，成长为一家集存储器、微控制器、传感器、模拟产品为 一体的半导体解决方案供应商，通过多元化的产品组合构建了协同发展的综合性 技术生态系统，并为工业、汽车、计算、消费电子、物联网、移动应用以及通信 领域的客户提供完善的产品技术和服务。公司已通过 ISO26262:2018 汽车功能安 全最高等级ASIL D 体系认证，并获得 ISO 9001、ISO 14001、ISO 45001 等体系 认证和邓白氏认证，与多家世界知名晶圆厂、封装测试厂建立战略合作伙伴关系， 共同推进半导体领域的技术创新。 公司通过长期的研发投入和技术积累，不断强化研发团队建设，并通过产品 创新、技术创新和技术微创新，保持技术领先性…</x:v>
      </x:c>
      <x:c r="N186" s="41" t="str">
        <x:v>1-弱相关</x:v>
      </x:c>
      <x:c r="O186" s="41" t="str">
        <x:v>否</x:v>
      </x:c>
      <x:c r="P186" s="57" t="str">
        <x:v>《兆易创新2024年度“提质增效重回报”行动方案》仅提供公司阶段性经营、财务或相邻业务背景，未同时覆盖“存货减值、周转及存储行业周期风险”的核心变量，相关性较弱。</x:v>
      </x:c>
      <x:c r="Q186" s="41" t="str">
        <x:v>B-CODEX-FIN-01</x:v>
      </x:c>
      <x:c r="R186" s="80" t="inlineStr">
        <x:is>
          <x:t>2026-08-28T03:00:25+08:00</x:t>
        </x:is>
      </x:c>
    </x:row>
    <x:row r="187" ht="72" customHeight="1">
      <x:c r="A187" s="64" t="str">
        <x:v>V5-R-Q019-C06</x:v>
      </x:c>
      <x:c r="B187" s="64" t="str">
        <x:v>V5-E-603986-C06</x:v>
      </x:c>
      <x:c r="C187" s="64" t="str">
        <x:v>V5-Q019</x:v>
      </x:c>
      <x:c r="D187" s="40" t="str">
        <x:v>兆易创新</x:v>
      </x:c>
      <x:c r="E187" s="64" t="str">
        <x:v>603986</x:v>
      </x:c>
      <x:c r="F187" s="87" t="n">
        <x:v>46260.75</x:v>
      </x:c>
      <x:c r="G187" s="51" t="str">
        <x:v>存货减值与周转变化是否反映存储周期风险</x:v>
      </x:c>
      <x:c r="H187" s="64" t="str">
        <x:v>DOC-EVT-603986-00216</x:v>
      </x:c>
      <x:c r="I187" s="51" t="str">
        <x:v>兆易创新关于注销回购股份并减少注册资本通知债权人的公告</x:v>
      </x:c>
      <x:c r="J187" s="87" t="n">
        <x:v>45643</x:v>
      </x:c>
      <x:c r="K187" s="73" t="str">
        <x:v>http://static.cninfo.com.cn/finalpage/2024-12-17/1222037110.PDF</x:v>
      </x:c>
      <x:c r="L187" s="40" t="str">
        <x:v>第1页</x:v>
      </x:c>
      <x:c r="M187" s="51" t="str">
        <x:v>1 证券代码：603986 证券简称：兆易创新 公告编号：2024-122 兆易创新科技集团股份有限公司 关于注销回购股份并减少注册资本 通知债权人的公告 本公司董事会及全体董事保证本公告内容不存在任何虚假记载、误导性陈述或 者重大遗漏，并对其内容的真实性、准确性和完整性承担法律责任。 兆易创新科技集团股份有限公司（以下简称“公司”）于2024 年 12 月 16 日召 开的 2024 年第五次临时股东会审议通过了《关于变更公司注册资本暨修改&lt;公司章 程&gt;的议案》。 公司于 2024 年 9 月 26 日召开 2024 年第三次临时股东会，审议通过了《关于以 集中竞价交易方式回购公司股份方案的议案》，同意公司回购股份并全部用于注销 减少注册资本。2024 年 11 月 21 日，公司已完成本次股份回购事项，总计回购公司 股份 1,748,100 股，并已全部 完成注销。本次股份回购及注销 后，公司总股本由 665,872,205 股变更为 664,124,105 股；公司注册资本由人民币 665,872,205 元变更为 人民币664,124,105 元。具体内容请详见《兆易创新股份回购实施结果暨股份变动的 公告》（公告编号：2024-109）。 公司本次注销已回购股份将导致注册资本减少，根据《中华人民共和国公司法》 等相关法律、法规的规定，公司特此通知债权人，债权人 自本公告之日起四十五日 内，有权要求公司清偿债务或者提供相应的担保。债权人未在规定期限内行使上述 权利的，…</x:v>
      </x:c>
      <x:c r="N187" s="41" t="str">
        <x:v>0-无关</x:v>
      </x:c>
      <x:c r="O187" s="41" t="str">
        <x:v>否</x:v>
      </x:c>
      <x:c r="P187" s="57" t="str">
        <x:v>《兆易创新关于注销回购股份并减少注册资本通知债权人的公告》主要涉及治理、股权、会议、分红或其他事项，未披露“存货减值、周转及存储行业周期风险”相关实质证据。</x:v>
      </x:c>
      <x:c r="Q187" s="41" t="str">
        <x:v>B-CODEX-FIN-01</x:v>
      </x:c>
      <x:c r="R187" s="80" t="inlineStr">
        <x:is>
          <x:t>2026-08-28T03:00:25+08:00</x:t>
        </x:is>
      </x:c>
    </x:row>
    <x:row r="188" ht="72" customHeight="1">
      <x:c r="A188" s="64" t="str">
        <x:v>V5-R-Q019-C09</x:v>
      </x:c>
      <x:c r="B188" s="64" t="str">
        <x:v>V5-E-603986-C09</x:v>
      </x:c>
      <x:c r="C188" s="64" t="str">
        <x:v>V5-Q019</x:v>
      </x:c>
      <x:c r="D188" s="40" t="str">
        <x:v>兆易创新</x:v>
      </x:c>
      <x:c r="E188" s="64" t="str">
        <x:v>603986</x:v>
      </x:c>
      <x:c r="F188" s="87" t="n">
        <x:v>46260.75</x:v>
      </x:c>
      <x:c r="G188" s="51" t="str">
        <x:v>存货减值与周转变化是否反映存储周期风险</x:v>
      </x:c>
      <x:c r="H188" s="64" t="str">
        <x:v>DOC-EVT-603986-00480</x:v>
      </x:c>
      <x:c r="I188" s="51" t="str">
        <x:v>兆易创新关于持股5%以上股东权益变动触及1%刻度的提示性公告</x:v>
      </x:c>
      <x:c r="J188" s="87" t="n">
        <x:v>46169</x:v>
      </x:c>
      <x:c r="K188" s="73" t="str">
        <x:v>http://static.cninfo.com.cn/finalpage/2026-05-27/1225331840.PDF</x:v>
      </x:c>
      <x:c r="L188" s="40" t="str">
        <x:v>第1页</x:v>
      </x:c>
      <x:c r="M188" s="51" t="str">
        <x:v>1 证券代码：603986 证券简称：兆易创新 公告编号：2026-043 兆易创新科技集团股份有限公司 关于持股5%以上股东权益变动触及 1%刻度的提示性 公告 朱一明先生保证向本公司提供的信息真实、准确、完整，没有虚假记载、误 导性陈述或重大遗漏。 本公司董事会及全体董事保证公告内容与信息披露义务人提供的信息一致。 重要内容提示： 权益变动方向 比例增加□ 比例减少□√ 权益变动前合计比例 7.90% 权益变动后合计比例 7.00% 本次变动是否违反已作出的承 诺、意向、计划 是□ 否□√ 是否触发强制要约收购义务 是□ 否□√ 一、 信息披露义务人及其一致行动人的基本信息 1.身份类别 投资者及其一致行动人的身份 □√ 控股股东/实际控制人及其一致行动人 □ 其他 5%以上大股东及其一致行动人 □ 合并口径第一大股东及其一致行动人（仅适 用于无控股股东、实际控制人） □ 其他______________（请注明） 2.信息披露义务人信息 信息披露义务人名称 投资者身份 统一社会信用代码 朱一明 □√ 控股股东/实控人 □ 控股股东/实控人的一致 行动人 □ 其他直接持股股东 □√ 不适用</x:v>
      </x:c>
      <x:c r="N188" s="41" t="str">
        <x:v>0-无关</x:v>
      </x:c>
      <x:c r="O188" s="41" t="str">
        <x:v>否</x:v>
      </x:c>
      <x:c r="P188" s="57" t="str">
        <x:v>《兆易创新关于持股5%以上股东权益变动触及1%刻度的提示性公告》主要涉及治理、股权、会议、分红或其他事项，未披露“存货减值、周转及存储行业周期风险”相关实质证据。</x:v>
      </x:c>
      <x:c r="Q188" s="41" t="str">
        <x:v>B-CODEX-FIN-01</x:v>
      </x:c>
      <x:c r="R188" s="80" t="inlineStr">
        <x:is>
          <x:t>2026-08-28T03:00:25+08:00</x:t>
        </x:is>
      </x:c>
    </x:row>
    <x:row r="189" ht="72" customHeight="1">
      <x:c r="A189" s="64" t="str">
        <x:v>V5-R-Q019-C03</x:v>
      </x:c>
      <x:c r="B189" s="64" t="str">
        <x:v>V5-E-603986-C03</x:v>
      </x:c>
      <x:c r="C189" s="64" t="str">
        <x:v>V5-Q019</x:v>
      </x:c>
      <x:c r="D189" s="40" t="str">
        <x:v>兆易创新</x:v>
      </x:c>
      <x:c r="E189" s="64" t="str">
        <x:v>603986</x:v>
      </x:c>
      <x:c r="F189" s="87" t="n">
        <x:v>46260.75</x:v>
      </x:c>
      <x:c r="G189" s="51" t="str">
        <x:v>存货减值与周转变化是否反映存储周期风险</x:v>
      </x:c>
      <x:c r="H189" s="64" t="str">
        <x:v>DOC-EVT-603986-00491</x:v>
      </x:c>
      <x:c r="I189" s="51" t="str">
        <x:v>兆易创新关于股票交易风险提示的公告</x:v>
      </x:c>
      <x:c r="J189" s="87" t="n">
        <x:v>46203</x:v>
      </x:c>
      <x:c r="K189" s="73" t="str">
        <x:v>http://static.cninfo.com.cn/finalpage/2026-06-30/1225398003.PDF</x:v>
      </x:c>
      <x:c r="L189" s="40" t="str">
        <x:v>第1页</x:v>
      </x:c>
      <x:c r="M189" s="51" t="str">
        <x:v>1 证券代码：603986 证券简称：兆易创新 公告编号：2026-052 兆易创新科技集团股份有限公司 关于股票交易风险提示的公告 本公司董事会及全体董事保证本公告内容不存在任何虚假记载、误导性陈 述或者重大遗漏，并对其内容的真实性、准确性和完整性承担法律责任。 一、股价短期上涨后快速回落的风险 公司股票价格自2026年6月15日至2026年6月29日连续10个交易日内日收盘 价涨幅偏离值累计达到73.42%，自2026年5月18日至2026年6月29日连续30个交易 日内日收盘价格涨幅偏离值累计达到125.60%，股票价格短期累计涨幅较大，未 来可能存在股价快速回落风险。 二、估值较高的风险 截至 2026 年 6 月 29 日，公司最新滚动市盈率为 200.17，公司所属的中证行 业“集成电路设计”（代码：45301010）最新滚动市盈率为 128.83，公司滚动市 盈率显著高于行业水平，存在估值较高的风险。 三、存储行业周期波动风险 公司所处存储芯片行业历史上呈现显著的周期性波动特征，目前产品价格已 处于历史高位，继续大幅上涨的趋势不可持续，行业供给与需求终将走向再平衡。 未来，随着宏观经济环境、行业周期、市场供需关系等多重因素的变化，主要产 品价格可能出现相当幅度的回落，届时对公司存储业务的产品售价、毛利率均将 产生较大负面影响，从而导致公司整体盈利能力下降，存在公司经营业绩下降的 风险。 四、公司经营风险 公司目前所经营的存储产品属于利基存储产品，即主要供给的下…</x:v>
      </x:c>
      <x:c r="N189" s="41" t="str">
        <x:v>3-直接相关</x:v>
      </x:c>
      <x:c r="O189" s="41" t="str">
        <x:v>是</x:v>
      </x:c>
      <x:c r="P189" s="57" t="str">
        <x:v>风险提示明确存储价格周期及价格回落风险，直接覆盖“存货减值、周转及存储行业周期风险”的关键变量，关系路径成立。</x:v>
      </x:c>
      <x:c r="Q189" s="41" t="str">
        <x:v>B-CODEX-FIN-01</x:v>
      </x:c>
      <x:c r="R189" s="80" t="inlineStr">
        <x:is>
          <x:t>2026-08-28T03:00:25+08:00</x:t>
        </x:is>
      </x:c>
    </x:row>
    <x:row r="190" ht="72" customHeight="1">
      <x:c r="A190" s="64" t="str">
        <x:v>V5-R-Q019-C01</x:v>
      </x:c>
      <x:c r="B190" s="64" t="str">
        <x:v>V5-E-603986-C01</x:v>
      </x:c>
      <x:c r="C190" s="64" t="str">
        <x:v>V5-Q019</x:v>
      </x:c>
      <x:c r="D190" s="40" t="str">
        <x:v>兆易创新</x:v>
      </x:c>
      <x:c r="E190" s="64" t="str">
        <x:v>603986</x:v>
      </x:c>
      <x:c r="F190" s="87" t="n">
        <x:v>46260.75</x:v>
      </x:c>
      <x:c r="G190" s="51" t="str">
        <x:v>存货减值与周转变化是否反映存储周期风险</x:v>
      </x:c>
      <x:c r="H190" s="64" t="str">
        <x:v>DOC-EVT-603986-00383</x:v>
      </x:c>
      <x:c r="I190" s="51" t="str">
        <x:v>兆易创新2025年第三季度报告</x:v>
      </x:c>
      <x:c r="J190" s="87" t="n">
        <x:v>45959</x:v>
      </x:c>
      <x:c r="K190" s="73" t="str">
        <x:v>http://static.cninfo.com.cn/finalpage/2025-10-29/1224754267.PDF</x:v>
      </x:c>
      <x:c r="L190" s="40" t="str">
        <x:v>第5页</x:v>
      </x:c>
      <x:c r="M190" s="51" t="str">
        <x:v>兆易创新科技集团股份有限公司2025 年第三季度报告 5 / 12 持股 5%以上股东、前 10 名股东及前 10 名无限售流通股股东参与转融通业务出借股份情况 □适用 √不适用 前 10 名股东及前 10 名无限售流通股股东因转融通出借/归还原因导致较上期发生变化 □适用 √不适用 三、其他提醒事项 需提醒投资者关注的关于公司报告期经营情况的其他重要信息 □适用 √不适用 四、季度财务报表 （一）审计意见类型 □适用√不适用 （二）财务报表 合并资产负债表 2025 年 9 月 30 日 编制单位：兆易创新科技集团股份有限公司 单位：元 币种：人民币 审计类型：未经审计 项目 2025 年 9 月 30 日 2024 年 12 月 31 日 流动资产： 货币资金 10,013,617,507.43 9,128,009,982.71 结算备付金 拆出资金 交易性金融资产 62,656,899.17 120,000,000.00 衍生金融资产 应收票据 10,321,636.08 19,774,717.70 应收账款 236,164,305.53 212,015,844.83 应收款项融资 3,201,131.97 预付款项 55,125,511.07 24,533,135.81 应收保费 应收分保账款 应收分保合同准备金 其他应收款 186,199,774.92 207,652,432.42 其中：应收利息 应收股利 买入返售金融资产 存货 2,566,955,009.89…</x:v>
      </x:c>
      <x:c r="N190" s="41" t="str">
        <x:v>2-间接相关</x:v>
      </x:c>
      <x:c r="O190" s="41" t="str">
        <x:v>是</x:v>
      </x:c>
      <x:c r="P190" s="57" t="str">
        <x:v>三季报披露DRAM供需改善和价量齐升，能够支持“存货减值、周转及存储行业周期风险”的中间环节，但未完整量化最终影响。</x:v>
      </x:c>
      <x:c r="Q190" s="41" t="str">
        <x:v>B-CODEX-FIN-01</x:v>
      </x:c>
      <x:c r="R190" s="80" t="inlineStr">
        <x:is>
          <x:t>2026-08-28T03:00:25+08:00</x:t>
        </x:is>
      </x:c>
    </x:row>
    <x:row r="191" ht="72" customHeight="1">
      <x:c r="A191" s="64" t="str">
        <x:v>V5-R-Q019-C02</x:v>
      </x:c>
      <x:c r="B191" s="64" t="str">
        <x:v>V5-E-603986-C02</x:v>
      </x:c>
      <x:c r="C191" s="64" t="str">
        <x:v>V5-Q019</x:v>
      </x:c>
      <x:c r="D191" s="40" t="str">
        <x:v>兆易创新</x:v>
      </x:c>
      <x:c r="E191" s="64" t="str">
        <x:v>603986</x:v>
      </x:c>
      <x:c r="F191" s="87" t="n">
        <x:v>46260.75</x:v>
      </x:c>
      <x:c r="G191" s="51" t="str">
        <x:v>存货减值与周转变化是否反映存储周期风险</x:v>
      </x:c>
      <x:c r="H191" s="64" t="str">
        <x:v>DOC-EVT-603986-00369</x:v>
      </x:c>
      <x:c r="I191" s="51" t="str">
        <x:v>兆易创新2025年半年度报告</x:v>
      </x:c>
      <x:c r="J191" s="87" t="n">
        <x:v>45892</x:v>
      </x:c>
      <x:c r="K191" s="73" t="str">
        <x:v>http://static.cninfo.com.cn/finalpage/2025-08-23/1224559706.PDF</x:v>
      </x:c>
      <x:c r="L191" s="40" t="str">
        <x:v>第19页</x:v>
      </x:c>
      <x:c r="M191" s="51" t="str">
        <x:v>兆易创新科技集团股份有限公司2025年半年度报告 19 /179 单位：万元 币种：人民币 衍生品投资类型 初始投资金 额 期初账面 价值 本期公允 价值变动 损益 计入权益 的累计公 允价值变 动 报告期内 购入金额 报告期内 售出金额 期末账面 价值 期末账面价 值占公司报 告期末净资 产比例（%） 外汇衍生品 54,837.05 534.96 54,837.05 7,338.85 47,498.20 2.72 合计 54,837.05 534.96 54,837.05 7,338.85 47,498.20 2.72 报告期内套期保值业务的会计政策、会计核算 具体原则，以及与上一报告期相比是否发生重 大变化的说明 根据《企业会计准则第 22号——金融工具确认和计量》《企业会计准则第 24号——套期会计》《企业 会计准则第 37号——金融工具列报》《企业会计准则第 39号——公允价值计量》等相关规定进行核算。 无重大变化。 报告期实际损益情况的说明 报告期内，公司外汇衍生品实际损益为 534.96万元人民币。 套期保值效果的说明 公司开展外汇衍生品交易业务，以具体经营业务为依托，以规避和防范汇率风险，降低风险敞口为目的， 有利于提高公司应对外汇波动风险的能力，增强公司财务稳健性。 衍生品投资资金来源 自有资金 报告期衍生品持仓的风险分析及控制措施说明 （包括但不限于市场风险、流动性风险、信用 风险、操作风险、法律风险等） 外汇衍生品交易业务的风险分析 公司进行的外汇衍生品…</x:v>
      </x:c>
      <x:c r="N191" s="41" t="str">
        <x:v>3-直接相关</x:v>
      </x:c>
      <x:c r="O191" s="41" t="str">
        <x:v>是</x:v>
      </x:c>
      <x:c r="P191" s="57" t="str">
        <x:v>半年报包含存货、减值、周转和存储业务经营数据，直接覆盖“存货减值、周转及存储行业周期风险”的关键变量，关系路径成立。</x:v>
      </x:c>
      <x:c r="Q191" s="41" t="str">
        <x:v>B-CODEX-FIN-01</x:v>
      </x:c>
      <x:c r="R191" s="80" t="inlineStr">
        <x:is>
          <x:t>2026-08-28T03:00:25+08:00</x:t>
        </x:is>
      </x:c>
    </x:row>
    <x:row r="192" ht="72" customHeight="1">
      <x:c r="A192" s="64" t="str">
        <x:v>V5-R-Q020-C10</x:v>
      </x:c>
      <x:c r="B192" s="64" t="str">
        <x:v>V5-E-603986-C10</x:v>
      </x:c>
      <x:c r="C192" s="64" t="str">
        <x:v>V5-Q020</x:v>
      </x:c>
      <x:c r="D192" s="40" t="str">
        <x:v>兆易创新</x:v>
      </x:c>
      <x:c r="E192" s="64" t="str">
        <x:v>603986</x:v>
      </x:c>
      <x:c r="F192" s="87" t="n">
        <x:v>46260.75</x:v>
      </x:c>
      <x:c r="G192" s="51" t="str">
        <x:v>DRAM项目资本投入是否会压缩短期现金回报</x:v>
      </x:c>
      <x:c r="H192" s="64" t="str">
        <x:v>DOC-EVT-603986-00512</x:v>
      </x:c>
      <x:c r="I192" s="51" t="str">
        <x:v>兆易创新2026年第二次临时股东会会议资料</x:v>
      </x:c>
      <x:c r="J192" s="87" t="n">
        <x:v>46237</x:v>
      </x:c>
      <x:c r="K192" s="73" t="str">
        <x:v>http://static.cninfo.com.cn/finalpage/2026-08-03/1225452824.PDF</x:v>
      </x:c>
      <x:c r="L192" s="40" t="str">
        <x:v>第7页</x:v>
      </x:c>
      <x:c r="M192" s="51" t="str">
        <x:v>兆易创新科技集团股份有限公司 2026年第二次临时股东会会议资料 6 元/股进行测算，本次拟回购数量约为266.67万股，约占公司目前总股本的0.38%。 本次回购具体的回购数量及占公司总股本比例以回购完毕或回购实施期限届满 时公司的实际回购情况为准。 本次回购自股东会审议通过之日起至回购实施完成前，若公司实施资本公积 转增股本、派发股票或现金红利、股票拆细、缩股及其他除权除息等事项，公司 将按照中国证监会及上海证券交易所的相关规定相应调整回购股份数量。 (六)回购股份的价格区间 本次回购股份的价格为不超过人民币 750 元/股（含），且不超过公司董事会 通过本次回购方案决议前 30 个交易日公司股票交易均价的 150%。具体回购价格 由股东会授权公司管理层及其指定人员在回购实施期间，综合公司二级市场股票 价格、公司财务状况和经营状况确定。 本次回购自股东会审议通过之日起至回购实施完成前，若公司实施资本公积 转增股本、派发股票或现金红利、股票拆细、缩股及其他除权除息等事项，自股 价除权除息之日起，按照中国证监会及上海证券交易所的相关规定相应调整回购 股份价格上限。 (七)回购股份的资金来源 本次回购的资金来源为公司自有资金及/或自筹资金。 (八)预计回购并注销后公司股权结构的变动情况 股份类别 本次回购前 回购并注销后 （按回购下限计算） 回购并注销后 （按回购上限计算） 股份数量 （股） 比例（%） 股份数量（股） 比例 （%） 股份数量 （股） 比例 （%） 人民币普通…</x:v>
      </x:c>
      <x:c r="N192" s="41" t="str">
        <x:v>1-弱相关</x:v>
      </x:c>
      <x:c r="O192" s="41" t="str">
        <x:v>否</x:v>
      </x:c>
      <x:c r="P192" s="57" t="str">
        <x:v>《兆易创新2026年第二次临时股东会会议资料》仅提供公司阶段性经营、财务或相邻业务背景，未同时覆盖“DRAM项目资本投入与短期现金回报”的核心变量，相关性较弱。</x:v>
      </x:c>
      <x:c r="Q192" s="41" t="str">
        <x:v>B-CODEX-FIN-01</x:v>
      </x:c>
      <x:c r="R192" s="80" t="inlineStr">
        <x:is>
          <x:t>2026-08-28T03:00:25+08:00</x:t>
        </x:is>
      </x:c>
    </x:row>
    <x:row r="193" ht="72" customHeight="1">
      <x:c r="A193" s="64" t="str">
        <x:v>V5-R-Q020-C01</x:v>
      </x:c>
      <x:c r="B193" s="64" t="str">
        <x:v>V5-E-603986-C01</x:v>
      </x:c>
      <x:c r="C193" s="64" t="str">
        <x:v>V5-Q020</x:v>
      </x:c>
      <x:c r="D193" s="40" t="str">
        <x:v>兆易创新</x:v>
      </x:c>
      <x:c r="E193" s="64" t="str">
        <x:v>603986</x:v>
      </x:c>
      <x:c r="F193" s="87" t="n">
        <x:v>46260.75</x:v>
      </x:c>
      <x:c r="G193" s="51" t="str">
        <x:v>DRAM项目资本投入是否会压缩短期现金回报</x:v>
      </x:c>
      <x:c r="H193" s="64" t="str">
        <x:v>DOC-EVT-603986-00383</x:v>
      </x:c>
      <x:c r="I193" s="51" t="str">
        <x:v>兆易创新2025年第三季度报告</x:v>
      </x:c>
      <x:c r="J193" s="87" t="n">
        <x:v>45959</x:v>
      </x:c>
      <x:c r="K193" s="73" t="str">
        <x:v>http://static.cninfo.com.cn/finalpage/2025-10-29/1224754267.PDF</x:v>
      </x:c>
      <x:c r="L193" s="40" t="str">
        <x:v>第3页</x:v>
      </x:c>
      <x:c r="M193" s="51" t="str">
        <x:v>兆易创新科技集团股份有限公司2025 年第三季度报告 3 / 12 （%） 营业收入_本报告期 31.40 主要是 DRAM 行业供给格局持续改善， 形成“价量齐升”的良好态势；公司持 续深化多元化产品布局，本报告期消费、 工业、汽车等领域需求增长，与公司丰 富的产品矩阵形成有效协同，共同推动 营业收入实现快速增长。 利润总额_本报告期 55.53 主要是营业收入增长，毛利润增加所致 归属于上市公司股东的净利润_本报告期 61.13 归属于上市公司股东的净利润_年初至报 告期末 30.18 归属于上市公司股东的扣除非经常性损益 的净利润_本报告期 63.71 归属于上市公司股东的扣除非经常性损益 的净利润_年初至报告期末 34.04 基本每股收益_本报告期 58.33 基本每股收益_年初至报告期末 30.16 稀释每股收益_本报告期 61.70 稀释每股收益_年初至报告期末 30.40 经营活动产生的现金流量净额_本报告期 37.77 主要是销售收入增长，销售回款与采购 支出的净额增加所致 二、股东信息 （一） 普通股股东总数和表决权恢复的优先股股东数量及前十名股东持股情况表 单位：股 报告期末普通股股东总数 157,465 报告期末表决权恢复的优先股股 东总数（如有） 0 前 10 名股东持股情况（不含通过转融通出借股份） 股东名称 股东性质 持股数量 持股比例 (%) 持有有 限售条 件股份 数量 质押、标记或冻 结情况 股份状 态 数量 朱一明 境内自然人 45,75…</x:v>
      </x:c>
      <x:c r="N193" s="41" t="str">
        <x:v>2-间接相关</x:v>
      </x:c>
      <x:c r="O193" s="41" t="str">
        <x:v>是</x:v>
      </x:c>
      <x:c r="P193" s="57" t="str">
        <x:v>三季报披露DRAM经营、利润及现金相关指标，能够支持“DRAM项目资本投入与短期现金回报”的中间环节，但未完整量化最终影响。</x:v>
      </x:c>
      <x:c r="Q193" s="41" t="str">
        <x:v>B-CODEX-FIN-01</x:v>
      </x:c>
      <x:c r="R193" s="80" t="inlineStr">
        <x:is>
          <x:t>2026-08-28T03:00:25+08:00</x:t>
        </x:is>
      </x:c>
    </x:row>
    <x:row r="194" ht="72" customHeight="1">
      <x:c r="A194" s="64" t="str">
        <x:v>V5-R-Q020-C09</x:v>
      </x:c>
      <x:c r="B194" s="64" t="str">
        <x:v>V5-E-603986-C09</x:v>
      </x:c>
      <x:c r="C194" s="64" t="str">
        <x:v>V5-Q020</x:v>
      </x:c>
      <x:c r="D194" s="40" t="str">
        <x:v>兆易创新</x:v>
      </x:c>
      <x:c r="E194" s="64" t="str">
        <x:v>603986</x:v>
      </x:c>
      <x:c r="F194" s="87" t="n">
        <x:v>46260.75</x:v>
      </x:c>
      <x:c r="G194" s="51" t="str">
        <x:v>DRAM项目资本投入是否会压缩短期现金回报</x:v>
      </x:c>
      <x:c r="H194" s="64" t="str">
        <x:v>DOC-EVT-603986-00480</x:v>
      </x:c>
      <x:c r="I194" s="51" t="str">
        <x:v>兆易创新关于持股5%以上股东权益变动触及1%刻度的提示性公告</x:v>
      </x:c>
      <x:c r="J194" s="87" t="n">
        <x:v>46169</x:v>
      </x:c>
      <x:c r="K194" s="73" t="str">
        <x:v>http://static.cninfo.com.cn/finalpage/2026-05-27/1225331840.PDF</x:v>
      </x:c>
      <x:c r="L194" s="40" t="str">
        <x:v>第1页</x:v>
      </x:c>
      <x:c r="M194" s="51" t="str">
        <x:v>1 证券代码：603986 证券简称：兆易创新 公告编号：2026-043 兆易创新科技集团股份有限公司 关于持股5%以上股东权益变动触及 1%刻度的提示性 公告 朱一明先生保证向本公司提供的信息真实、准确、完整，没有虚假记载、误 导性陈述或重大遗漏。 本公司董事会及全体董事保证公告内容与信息披露义务人提供的信息一致。 重要内容提示： 权益变动方向 比例增加□ 比例减少□√ 权益变动前合计比例 7.90% 权益变动后合计比例 7.00% 本次变动是否违反已作出的承 诺、意向、计划 是□ 否□√ 是否触发强制要约收购义务 是□ 否□√ 一、 信息披露义务人及其一致行动人的基本信息 1.身份类别 投资者及其一致行动人的身份 □√ 控股股东/实际控制人及其一致行动人 □ 其他 5%以上大股东及其一致行动人 □ 合并口径第一大股东及其一致行动人（仅适 用于无控股股东、实际控制人） □ 其他______________（请注明） 2.信息披露义务人信息 信息披露义务人名称 投资者身份 统一社会信用代码 朱一明 □√ 控股股东/实控人 □ 控股股东/实控人的一致 行动人 □ 其他直接持股股东 □√ 不适用</x:v>
      </x:c>
      <x:c r="N194" s="41" t="str">
        <x:v>0-无关</x:v>
      </x:c>
      <x:c r="O194" s="41" t="str">
        <x:v>否</x:v>
      </x:c>
      <x:c r="P194" s="57" t="str">
        <x:v>《兆易创新关于持股5%以上股东权益变动触及1%刻度的提示性公告》主要涉及治理、股权、会议、分红或其他事项，未披露“DRAM项目资本投入与短期现金回报”相关实质证据。</x:v>
      </x:c>
      <x:c r="Q194" s="41" t="str">
        <x:v>B-CODEX-FIN-01</x:v>
      </x:c>
      <x:c r="R194" s="80" t="inlineStr">
        <x:is>
          <x:t>2026-08-28T03:00:25+08:00</x:t>
        </x:is>
      </x:c>
    </x:row>
    <x:row r="195" ht="72" customHeight="1">
      <x:c r="A195" s="64" t="str">
        <x:v>V5-R-Q020-C05</x:v>
      </x:c>
      <x:c r="B195" s="64" t="str">
        <x:v>V5-E-603986-C05</x:v>
      </x:c>
      <x:c r="C195" s="64" t="str">
        <x:v>V5-Q020</x:v>
      </x:c>
      <x:c r="D195" s="40" t="str">
        <x:v>兆易创新</x:v>
      </x:c>
      <x:c r="E195" s="64" t="str">
        <x:v>603986</x:v>
      </x:c>
      <x:c r="F195" s="87" t="n">
        <x:v>46260.75</x:v>
      </x:c>
      <x:c r="G195" s="51" t="str">
        <x:v>DRAM项目资本投入是否会压缩短期现金回报</x:v>
      </x:c>
      <x:c r="H195" s="64" t="str">
        <x:v>DOC-EVT-603986-00309</x:v>
      </x:c>
      <x:c r="I195" s="51" t="str">
        <x:v>兆易创新独立董事专门会议制度</x:v>
      </x:c>
      <x:c r="J195" s="87" t="n">
        <x:v>45798</x:v>
      </x:c>
      <x:c r="K195" s="73" t="str">
        <x:v>http://static.cninfo.com.cn/finalpage/2025-05-21/1223606638.PDF</x:v>
      </x:c>
      <x:c r="L195" s="40" t="str">
        <x:v>第1页</x:v>
      </x:c>
      <x:c r="M195" s="51" t="str">
        <x:v>1 兆易创新科技集团股份有限公司 独立董事专门会议制度 第一条 为充分发挥独立董事在董事会中参与决策、监督制衡、专业咨询 等职能，进一步完善公司的治理结构，保护中小股东及利益相关者的利益，促 进公司的规范运作，根据《中华人民共和国公司法》《上市公司治理准则》 《上市公司独立董事管理办法》《上海证券交易所股票上市规则》《上海证券 交易所上市公司自律监管指引第1号——规范运作》《兆易创新科技集团股份有 限公司章程》（以下简称《公司章程》）等有关法律、法规和规范性文件的有 关规定，制定本制度。 第二条 独立董事是指不在上市公司担任除董事外的其他职务，并与其所 受聘的上市公司及其主要股东、实际控制人不存在直接或者间接利害关系，或 者其他可能影响其进行独立客观判断关系的董事。 第三条 独立董事专门会议是指全部由公司独立董事参加的会议。独立董 事专门会议对所议事项进行独立研讨，从公司和中小股东利益角度进行思考判 断，并且形成讨论意见。 第四条 公司独立董事不定期召开独立董事专门会议，原则上应当于会议 召开前三天通知全体独立董事并提供相关资料和信息。 第五条 独立董事专门会议可以采取通讯表决的方式召开；独立董事专门 会议召集人认为有必要时，或半数以上独立董事提议时，可以召开独立董事专 门会议。 第六条 独立董事专门会议应由过半数独立董事出席方可举行。 独立董事应当亲自出席独立董事专门会议，因故不能亲自出席会议的，应 当事先审阅会议材料，形成明确的意见，并书面委托其他独立董事代为出席。 第…</x:v>
      </x:c>
      <x:c r="N195" s="41" t="str">
        <x:v>0-无关</x:v>
      </x:c>
      <x:c r="O195" s="41" t="str">
        <x:v>否</x:v>
      </x:c>
      <x:c r="P195" s="57" t="str">
        <x:v>《兆易创新独立董事专门会议制度》主要涉及治理、股权、会议、分红或其他事项，未披露“DRAM项目资本投入与短期现金回报”相关实质证据。</x:v>
      </x:c>
      <x:c r="Q195" s="41" t="str">
        <x:v>B-CODEX-FIN-01</x:v>
      </x:c>
      <x:c r="R195" s="80" t="inlineStr">
        <x:is>
          <x:t>2026-08-28T03:00:25+08:00</x:t>
        </x:is>
      </x:c>
    </x:row>
    <x:row r="196" ht="72" customHeight="1">
      <x:c r="A196" s="64" t="str">
        <x:v>V5-R-Q020-C08</x:v>
      </x:c>
      <x:c r="B196" s="64" t="str">
        <x:v>V5-E-603986-C08</x:v>
      </x:c>
      <x:c r="C196" s="64" t="str">
        <x:v>V5-Q020</x:v>
      </x:c>
      <x:c r="D196" s="40" t="str">
        <x:v>兆易创新</x:v>
      </x:c>
      <x:c r="E196" s="64" t="str">
        <x:v>603986</x:v>
      </x:c>
      <x:c r="F196" s="87" t="n">
        <x:v>46260.75</x:v>
      </x:c>
      <x:c r="G196" s="51" t="str">
        <x:v>DRAM项目资本投入是否会压缩短期现金回报</x:v>
      </x:c>
      <x:c r="H196" s="64" t="str">
        <x:v>DOC-EVT-603986-00471</x:v>
      </x:c>
      <x:c r="I196" s="51" t="str">
        <x:v>兆易创新关于召开2026年第一季度业绩说明会的公告</x:v>
      </x:c>
      <x:c r="J196" s="87" t="n">
        <x:v>46142</x:v>
      </x:c>
      <x:c r="K196" s="73" t="str">
        <x:v>http://static.cninfo.com.cn/finalpage/2026-04-30/1225258051.PDF</x:v>
      </x:c>
      <x:c r="L196" s="40" t="str">
        <x:v>第1页</x:v>
      </x:c>
      <x:c r="M196" s="51" t="str">
        <x:v>1 证券代码：603986 证券简称：兆易创新 公告编号：2026-036 兆易创新科技集团股份有限公司 关于召开2026 年第一季度业绩说明会的公告 本公司董事会及全体董事保证本公告内容不存在任何虚假记载、误导性陈述 或者重大遗漏，并对其内容的真实性、准确性和完整性承担法律责任。 重要内容提示： ● 会议召开时间：2026 年 5 月 20 日（星期三）13:00-14:00 ● 会 议 召 开 地 点 ： 上 海 证 券 交 易 所 上 证 路 演 中 心 （ 网 址 ： https://roadshow.sseinfo.com/） ● 会议召开方式：上证路演中心网络互动 ● 投资者可于 2026 年 5 月 13 日（星期三）至 5 月 19 日（星期二）16:00 前登录 上证 路演 中心 网站 首页 点击“ 提问 预征 集” 栏目 或通 过公 司邮 箱 investor@gigadevice.com 进行提问。公司将在说明会上对投资者普遍关注的问题 进行回答。 兆易创新科技集团股份有限公司（以下简称“公司”）已于 2026 年 4 月 30 日发布公司 2026 年第一季度报告，为便于广大投资者更全面深入地了解公司 2026 年第一季度经营成果、财务状况，公司计划于 2026 年 5 月 20 日 13:00-14:00 举行 2026 年第一季度业绩说明会，就投资者关心的问题进行交流。 一、说明会类型 本次投资者说明会以网络互动形式召开，公司将针对 2026 年…</x:v>
      </x:c>
      <x:c r="N196" s="41" t="str">
        <x:v>0-无关</x:v>
      </x:c>
      <x:c r="O196" s="41" t="str">
        <x:v>否</x:v>
      </x:c>
      <x:c r="P196" s="57" t="str">
        <x:v>《兆易创新关于召开2026年第一季度业绩说明会的公告》主要涉及治理、股权、会议、分红或其他事项，未披露“DRAM项目资本投入与短期现金回报”相关实质证据。</x:v>
      </x:c>
      <x:c r="Q196" s="41" t="str">
        <x:v>B-CODEX-FIN-01</x:v>
      </x:c>
      <x:c r="R196" s="80" t="inlineStr">
        <x:is>
          <x:t>2026-08-28T03:00:25+08:00</x:t>
        </x:is>
      </x:c>
    </x:row>
    <x:row r="197" ht="72" customHeight="1">
      <x:c r="A197" s="64" t="str">
        <x:v>V5-R-Q020-C07</x:v>
      </x:c>
      <x:c r="B197" s="64" t="str">
        <x:v>V5-E-603986-C07</x:v>
      </x:c>
      <x:c r="C197" s="64" t="str">
        <x:v>V5-Q020</x:v>
      </x:c>
      <x:c r="D197" s="40" t="str">
        <x:v>兆易创新</x:v>
      </x:c>
      <x:c r="E197" s="64" t="str">
        <x:v>603986</x:v>
      </x:c>
      <x:c r="F197" s="87" t="n">
        <x:v>46260.75</x:v>
      </x:c>
      <x:c r="G197" s="51" t="str">
        <x:v>DRAM项目资本投入是否会压缩短期现金回报</x:v>
      </x:c>
      <x:c r="H197" s="64" t="str">
        <x:v>DOC-EVT-603986-00494</x:v>
      </x:c>
      <x:c r="I197" s="51" t="str">
        <x:v>兆易创新2026年半年度业绩预增公告</x:v>
      </x:c>
      <x:c r="J197" s="87" t="n">
        <x:v>46213</x:v>
      </x:c>
      <x:c r="K197" s="73" t="str">
        <x:v>http://static.cninfo.com.cn/finalpage/2026-07-10/1225417171.PDF</x:v>
      </x:c>
      <x:c r="L197" s="40" t="str">
        <x:v>第1页</x:v>
      </x:c>
      <x:c r="M197" s="51" t="str">
        <x:v>1 证券代码：603986 证券简称：兆易创新 公告编号：2026-054 兆易创新科技集团股份有限公司 2026 年半年度业绩预增公告 本公司董事会及全体董事保证本公告内容不存在任何虚假记载、误导性 陈述或者重大遗漏，并对其内容的真实性、准确性和完整性承担法律责任。 重要内容提示： 1. 公司预计2026 年半年度归属于上市公司股东的净利润为690,000 万元左 右，与上年同期相比增加 632,452 万元左右，同比增长 1099%左右。 2. 公司预计 2026 年半年度归属于上市公司股东扣除非经常性损益后的净 利润为485,000万元左右，与上年同期相比增加430,557万元左右，同比增长791% 左右。 3. 公司预计 2026 年半年度实现营业收入 1,150,000 万元左右，与上年同期 相比增加 734,969 万元左右，同比增长 177%左右。 4. 公司所处存储芯片行业历史上呈现周期性波动特征，公司未来业绩可能 受到行业供需格局变动影响，公司存在未来盈利能力可能有所下降的风险。公司 计入其他非流动金融资产的证券投资，其公允价值变动产生的损益影响非经常性 损益，且前述收益后续随着证券投资的公允价值变动可能出现波动，公司未来净 利润可能相应受到影响。 一、本期业绩预告情况 （一）业绩预告期间 2026 年 1 月 1 日至 2026 年 6 月 30 日。 （二）业绩预告情况 1. 经财务部门初步测算，预计 2026 年半年度实现归属于上市公司股东的净 利润…</x:v>
      </x:c>
      <x:c r="N197" s="41" t="str">
        <x:v>1-弱相关</x:v>
      </x:c>
      <x:c r="O197" s="41" t="str">
        <x:v>否</x:v>
      </x:c>
      <x:c r="P197" s="57" t="str">
        <x:v>《兆易创新2026年半年度业绩预增公告》仅提供公司阶段性经营、财务或相邻业务背景，未同时覆盖“DRAM项目资本投入与短期现金回报”的核心变量，相关性较弱。</x:v>
      </x:c>
      <x:c r="Q197" s="41" t="str">
        <x:v>B-CODEX-FIN-01</x:v>
      </x:c>
      <x:c r="R197" s="80" t="inlineStr">
        <x:is>
          <x:t>2026-08-28T03:00:25+08:00</x:t>
        </x:is>
      </x:c>
    </x:row>
    <x:row r="198" ht="72" customHeight="1">
      <x:c r="A198" s="64" t="str">
        <x:v>V5-R-Q020-C03</x:v>
      </x:c>
      <x:c r="B198" s="64" t="str">
        <x:v>V5-E-603986-C03</x:v>
      </x:c>
      <x:c r="C198" s="64" t="str">
        <x:v>V5-Q020</x:v>
      </x:c>
      <x:c r="D198" s="40" t="str">
        <x:v>兆易创新</x:v>
      </x:c>
      <x:c r="E198" s="64" t="str">
        <x:v>603986</x:v>
      </x:c>
      <x:c r="F198" s="87" t="n">
        <x:v>46260.75</x:v>
      </x:c>
      <x:c r="G198" s="51" t="str">
        <x:v>DRAM项目资本投入是否会压缩短期现金回报</x:v>
      </x:c>
      <x:c r="H198" s="64" t="str">
        <x:v>DOC-EVT-603986-00491</x:v>
      </x:c>
      <x:c r="I198" s="51" t="str">
        <x:v>兆易创新关于股票交易风险提示的公告</x:v>
      </x:c>
      <x:c r="J198" s="87" t="n">
        <x:v>46203</x:v>
      </x:c>
      <x:c r="K198" s="73" t="str">
        <x:v>http://static.cninfo.com.cn/finalpage/2026-06-30/1225398003.PDF</x:v>
      </x:c>
      <x:c r="L198" s="40" t="str">
        <x:v>第1页</x:v>
      </x:c>
      <x:c r="M198" s="51" t="str">
        <x:v>1 证券代码：603986 证券简称：兆易创新 公告编号：2026-052 兆易创新科技集团股份有限公司 关于股票交易风险提示的公告 本公司董事会及全体董事保证本公告内容不存在任何虚假记载、误导性陈 述或者重大遗漏，并对其内容的真实性、准确性和完整性承担法律责任。 一、股价短期上涨后快速回落的风险 公司股票价格自2026年6月15日至2026年6月29日连续10个交易日内日收盘 价涨幅偏离值累计达到73.42%，自2026年5月18日至2026年6月29日连续30个交易 日内日收盘价格涨幅偏离值累计达到125.60%，股票价格短期累计涨幅较大，未 来可能存在股价快速回落风险。 二、估值较高的风险 截至 2026 年 6 月 29 日，公司最新滚动市盈率为 200.17，公司所属的中证行 业“集成电路设计”（代码：45301010）最新滚动市盈率为 128.83，公司滚动市 盈率显著高于行业水平，存在估值较高的风险。 三、存储行业周期波动风险 公司所处存储芯片行业历史上呈现显著的周期性波动特征，目前产品价格已 处于历史高位，继续大幅上涨的趋势不可持续，行业供给与需求终将走向再平衡。 未来，随着宏观经济环境、行业周期、市场供需关系等多重因素的变化，主要产 品价格可能出现相当幅度的回落，届时对公司存储业务的产品售价、毛利率均将 产生较大负面影响，从而导致公司整体盈利能力下降，存在公司经营业绩下降的 风险。 四、公司经营风险 公司目前所经营的存储产品属于利基存储产品，即主要供给的下…</x:v>
      </x:c>
      <x:c r="N198" s="41" t="str">
        <x:v>0-无关</x:v>
      </x:c>
      <x:c r="O198" s="41" t="str">
        <x:v>否</x:v>
      </x:c>
      <x:c r="P198" s="57" t="str">
        <x:v>《兆易创新关于股票交易风险提示的公告》主要涉及治理、股权、会议、分红或其他事项，未披露“DRAM项目资本投入与短期现金回报”相关实质证据。</x:v>
      </x:c>
      <x:c r="Q198" s="41" t="str">
        <x:v>B-CODEX-FIN-01</x:v>
      </x:c>
      <x:c r="R198" s="80" t="inlineStr">
        <x:is>
          <x:t>2026-08-28T03:00:25+08:00</x:t>
        </x:is>
      </x:c>
    </x:row>
    <x:row r="199" ht="72" customHeight="1">
      <x:c r="A199" s="64" t="str">
        <x:v>V5-R-Q020-C02</x:v>
      </x:c>
      <x:c r="B199" s="64" t="str">
        <x:v>V5-E-603986-C02</x:v>
      </x:c>
      <x:c r="C199" s="64" t="str">
        <x:v>V5-Q020</x:v>
      </x:c>
      <x:c r="D199" s="40" t="str">
        <x:v>兆易创新</x:v>
      </x:c>
      <x:c r="E199" s="64" t="str">
        <x:v>603986</x:v>
      </x:c>
      <x:c r="F199" s="87" t="n">
        <x:v>46260.75</x:v>
      </x:c>
      <x:c r="G199" s="51" t="str">
        <x:v>DRAM项目资本投入是否会压缩短期现金回报</x:v>
      </x:c>
      <x:c r="H199" s="64" t="str">
        <x:v>DOC-EVT-603986-00369</x:v>
      </x:c>
      <x:c r="I199" s="51" t="str">
        <x:v>兆易创新2025年半年度报告</x:v>
      </x:c>
      <x:c r="J199" s="87" t="n">
        <x:v>45892</x:v>
      </x:c>
      <x:c r="K199" s="73" t="str">
        <x:v>http://static.cninfo.com.cn/finalpage/2025-08-23/1224559706.PDF</x:v>
      </x:c>
      <x:c r="L199" s="40" t="str">
        <x:v>第34页</x:v>
      </x:c>
      <x:c r="M199" s="51" t="str">
        <x:v>兆易创新科技集团股份有限公司2025年半年度报告 34 /179 1、 募集资金明细使用情况 √适用 □不适用 单位：元 募集 资金 来源 项目名 称 项目 性质 是否 为招 股书 或者 募集 说明 书中 的承 诺投 资项 目 是否涉 及变更 投向 募集资金计划投 资总额(1) 本年投入金额 截至报告期末累 计投入募集资金 总额（2） 截至 报告 期末 累计 投入 进度 （%） (3)＝ (2)/(1) 项 目 达 到 预 定 可 使 用 状 态 日 期 是 否 已 结 项 投 入 进 度 是 否 符 合 计 划 的 进 度 投 入 进 度 未 达 计 划 的 具 体 原 因 本 年 实 现 的 效 益 本 项 目 已 实 现 的 效 益 或 者 研 发 成 果 项目 可行 性是 否发 生重 大变 化， 如 是， 请说 明具 体情 况 节 余 金 额 向特 定对 象发 行股 票 DRAM 芯片研 发及产 业化项 目 研发 是 是，此 项目未 取消， 调整募 集资金 投资总 额 2,824,137,468.04 141,566,339.30 769,865,698.44 27.26 202 8年 12 月 否 是 不 涉 及 建 设 期 建 设 期 否 不 适 用 向特 定对 象发 行股 票 汽车电 子芯片 研发及 产业化 项目 研发 否 是，此 项目为 新项目 706,441,198.10 14,533,645.83 14,533,645.83 2.06 202 8年 12…</x:v>
      </x:c>
      <x:c r="N199" s="41" t="str">
        <x:v>3-直接相关</x:v>
      </x:c>
      <x:c r="O199" s="41" t="str">
        <x:v>是</x:v>
      </x:c>
      <x:c r="P199" s="57" t="str">
        <x:v>半年报披露募集资金项目投入进度及资本性支出，直接覆盖“DRAM项目资本投入与短期现金回报”的关键变量，关系路径成立。</x:v>
      </x:c>
      <x:c r="Q199" s="41" t="str">
        <x:v>B-CODEX-FIN-01</x:v>
      </x:c>
      <x:c r="R199" s="80" t="inlineStr">
        <x:is>
          <x:t>2026-08-28T03:00:25+08:00</x:t>
        </x:is>
      </x:c>
    </x:row>
    <x:row r="200" ht="72" customHeight="1">
      <x:c r="A200" s="64" t="str">
        <x:v>V5-R-Q020-C06</x:v>
      </x:c>
      <x:c r="B200" s="64" t="str">
        <x:v>V5-E-603986-C06</x:v>
      </x:c>
      <x:c r="C200" s="64" t="str">
        <x:v>V5-Q020</x:v>
      </x:c>
      <x:c r="D200" s="40" t="str">
        <x:v>兆易创新</x:v>
      </x:c>
      <x:c r="E200" s="64" t="str">
        <x:v>603986</x:v>
      </x:c>
      <x:c r="F200" s="87" t="n">
        <x:v>46260.75</x:v>
      </x:c>
      <x:c r="G200" s="51" t="str">
        <x:v>DRAM项目资本投入是否会压缩短期现金回报</x:v>
      </x:c>
      <x:c r="H200" s="64" t="str">
        <x:v>DOC-EVT-603986-00216</x:v>
      </x:c>
      <x:c r="I200" s="51" t="str">
        <x:v>兆易创新关于注销回购股份并减少注册资本通知债权人的公告</x:v>
      </x:c>
      <x:c r="J200" s="87" t="n">
        <x:v>45643</x:v>
      </x:c>
      <x:c r="K200" s="73" t="str">
        <x:v>http://static.cninfo.com.cn/finalpage/2024-12-17/1222037110.PDF</x:v>
      </x:c>
      <x:c r="L200" s="40" t="str">
        <x:v>第1页</x:v>
      </x:c>
      <x:c r="M200" s="51" t="str">
        <x:v>1 证券代码：603986 证券简称：兆易创新 公告编号：2024-122 兆易创新科技集团股份有限公司 关于注销回购股份并减少注册资本 通知债权人的公告 本公司董事会及全体董事保证本公告内容不存在任何虚假记载、误导性陈述或 者重大遗漏，并对其内容的真实性、准确性和完整性承担法律责任。 兆易创新科技集团股份有限公司（以下简称“公司”）于2024 年 12 月 16 日召 开的 2024 年第五次临时股东会审议通过了《关于变更公司注册资本暨修改&lt;公司章 程&gt;的议案》。 公司于 2024 年 9 月 26 日召开 2024 年第三次临时股东会，审议通过了《关于以 集中竞价交易方式回购公司股份方案的议案》，同意公司回购股份并全部用于注销 减少注册资本。2024 年 11 月 21 日，公司已完成本次股份回购事项，总计回购公司 股份 1,748,100 股，并已全部 完成注销。本次股份回购及注销 后，公司总股本由 665,872,205 股变更为 664,124,105 股；公司注册资本由人民币 665,872,205 元变更为 人民币664,124,105 元。具体内容请详见《兆易创新股份回购实施结果暨股份变动的 公告》（公告编号：2024-109）。 公司本次注销已回购股份将导致注册资本减少，根据《中华人民共和国公司法》 等相关法律、法规的规定，公司特此通知债权人，债权人 自本公告之日起四十五日 内，有权要求公司清偿债务或者提供相应的担保。债权人未在规定期限内行使上述 权利的，…</x:v>
      </x:c>
      <x:c r="N200" s="41" t="str">
        <x:v>0-无关</x:v>
      </x:c>
      <x:c r="O200" s="41" t="str">
        <x:v>否</x:v>
      </x:c>
      <x:c r="P200" s="57" t="str">
        <x:v>《兆易创新关于注销回购股份并减少注册资本通知债权人的公告》主要涉及治理、股权、会议、分红或其他事项，未披露“DRAM项目资本投入与短期现金回报”相关实质证据。</x:v>
      </x:c>
      <x:c r="Q200" s="41" t="str">
        <x:v>B-CODEX-FIN-01</x:v>
      </x:c>
      <x:c r="R200" s="80" t="inlineStr">
        <x:is>
          <x:t>2026-08-28T03:00:25+08:00</x:t>
        </x:is>
      </x:c>
    </x:row>
    <x:row r="201" ht="72" customHeight="1">
      <x:c r="A201" s="64" t="str">
        <x:v>V5-R-Q020-C04</x:v>
      </x:c>
      <x:c r="B201" s="64" t="str">
        <x:v>V5-E-603986-C04</x:v>
      </x:c>
      <x:c r="C201" s="64" t="str">
        <x:v>V5-Q020</x:v>
      </x:c>
      <x:c r="D201" s="40" t="str">
        <x:v>兆易创新</x:v>
      </x:c>
      <x:c r="E201" s="64" t="str">
        <x:v>603986</x:v>
      </x:c>
      <x:c r="F201" s="87" t="n">
        <x:v>46260.75</x:v>
      </x:c>
      <x:c r="G201" s="51" t="str">
        <x:v>DRAM项目资本投入是否会压缩短期现金回报</x:v>
      </x:c>
      <x:c r="H201" s="64" t="str">
        <x:v>DOC-EVT-603986-00076</x:v>
      </x:c>
      <x:c r="I201" s="51" t="str">
        <x:v>兆易创新2024年度“提质增效重回报”行动方案</x:v>
      </x:c>
      <x:c r="J201" s="87" t="n">
        <x:v>45402</x:v>
      </x:c>
      <x:c r="K201" s="73" t="str">
        <x:v>http://static.cninfo.com.cn/finalpage/2024-04-20/1219696511.PDF</x:v>
      </x:c>
      <x:c r="L201" s="40" t="str">
        <x:v>第1页</x:v>
      </x:c>
      <x:c r="M201" s="51" t="str">
        <x:v>P A G E 兆易创新科技集团股份有限公司 2024 年度“提质增效重回报 ”行动方案 为践行“以投资者为本”的上市公司发展理念，维护兆易创新科技集团股份 有限公司（ 以下简称“兆易创新”或“公司”）全体股东利益，基于对公司未来 发展前景的信心、对企业价值的深刻认识以及对社会责任的认真履行，公司制定 《2024 年度“提质增效重回报”行动方案》。公司将在经营管理、研发创新、公 司治理及投资者关系等方面采取积极措施，以进一步提高上市公司质量，保障投 资者权益，促进公司健康可持续发展。主要举措如下： 一、聚焦主营业务，提升经营质量、提质增效 一）聚焦主营业务，提升经营质量和效率 兆易创新是全球领先的 Fabless 芯片供应商，以利基型存储为起点，历经近 20 年的技术与市场积淀，成长为一家集存储器、微控制器、传感器、模拟产品为 一体的半导体解决方案供应商，通过多元化的产品组合构建了协同发展的综合性 技术生态系统，并为工业、汽车、计算、消费电子、物联网、移动应用以及通信 领域的客户提供完善的产品技术和服务。公司已通过 ISO26262:2018 汽车功能安 全最高等级ASIL D 体系认证，并获得 ISO 9001、ISO 14001、ISO 45001 等体系 认证和邓白氏认证，与多家世界知名晶圆厂、封装测试厂建立战略合作伙伴关系， 共同推进半导体领域的技术创新。 公司通过长期的研发投入和技术积累，不断强化研发团队建设，并通过产品 创新、技术创新和技术微创新，保持技术领先性…</x:v>
      </x:c>
      <x:c r="N201" s="41" t="str">
        <x:v>1-弱相关</x:v>
      </x:c>
      <x:c r="O201" s="41" t="str">
        <x:v>否</x:v>
      </x:c>
      <x:c r="P201" s="57" t="str">
        <x:v>《兆易创新2024年度“提质增效重回报”行动方案》仅提供公司阶段性经营、财务或相邻业务背景，未同时覆盖“DRAM项目资本投入与短期现金回报”的核心变量，相关性较弱。</x:v>
      </x:c>
      <x:c r="Q201" s="41" t="str">
        <x:v>B-CODEX-FIN-01</x:v>
      </x:c>
      <x:c r="R201" s="80" t="inlineStr">
        <x:is>
          <x:t>2026-08-28T03:00:25+08:00</x:t>
        </x:is>
      </x:c>
    </x:row>
    <x:row r="202" ht="72" customHeight="1">
      <x:c r="A202" s="64" t="str">
        <x:v>V5-R-Q021-C09</x:v>
      </x:c>
      <x:c r="B202" s="64" t="str">
        <x:v>V5-E-600276-C09</x:v>
      </x:c>
      <x:c r="C202" s="64" t="str">
        <x:v>V5-Q021</x:v>
      </x:c>
      <x:c r="D202" s="40" t="str">
        <x:v>恒瑞医药</x:v>
      </x:c>
      <x:c r="E202" s="64" t="str">
        <x:v>600276</x:v>
      </x:c>
      <x:c r="F202" s="87" t="n">
        <x:v>46260.75</x:v>
      </x:c>
      <x:c r="G202" s="51" t="str">
        <x:v>海外许可的里程碑与销售分成能否形成持续现金流</x:v>
      </x:c>
      <x:c r="H202" s="64" t="str">
        <x:v>DOC-EVT-600276-00225</x:v>
      </x:c>
      <x:c r="I202" s="51" t="str">
        <x:v>恒瑞医药2024年第二次临时股东会法律意见书</x:v>
      </x:c>
      <x:c r="J202" s="87" t="n">
        <x:v>45653</x:v>
      </x:c>
      <x:c r="K202" s="73" t="str">
        <x:v>http://static.cninfo.com.cn/finalpage/2024-12-27/1222155648.PDF</x:v>
      </x:c>
      <x:c r="L202" s="40" t="str">
        <x:v>第1页</x:v>
      </x:c>
      <x:c r="M202" s="51" t="str">
        <x:v>1 www.grandall.com.cn 中国江苏省南京市汉中门大街309 号 B 座 5、7-8 层（210036） 5、7-8F/Block B, 309# Hanzhongmen Street, Nanjing, China Tel: 86-25-89660900 Fax: 86-25-89660966 国浩律师（南京）事务所 关于 江苏恒瑞医药股份有限公司 2024 年第二次临时股东会的 法律意见书 致：江苏恒瑞医药股份有限公司 根据《中华人民共和国公司法》 （以下简称“ 《公司法》 ” ） 、 《中华人民共和国 证券法》 （以下简称“ 《证券法》 ” ） 、 《上市公司股东大会规则》 （以下简称“ 《股东 大会规则》 ” ） 、 《上海证券交易所上市公司自律监管指引第1 号——规范运作》(以 下简称“ 《监管指引第1 号》 ”)及《江苏恒瑞医药股份有限公司章程》 （以下简称 “ 《公司章程》 ” ）的规定，国浩律师（南京）事务所（以下简称“本所” ）接受江 苏恒瑞医药股份有限公司（以下简称“公司” ）的委托，指派张秋子律师、祝静律 师（以下简称“本所律师” ）出席公司2024 年第二次临时股东会（以下简称“本 次股东会”或“本次会议” ） ，对本次股东会的召集和召开程序、出席会议人员的 资格、召集人资格以及会议表决程序和表决结果进行见证并出具法律意见书。 在本法律意见书中，本所律师仅对本次股东会的召集和召开程序、出席会议 人员的资格、召集人资格、会议表决程序和表…</x:v>
      </x:c>
      <x:c r="N202" s="41" t="str">
        <x:v>0-无关</x:v>
      </x:c>
      <x:c r="O202" s="41" t="str">
        <x:v>否</x:v>
      </x:c>
      <x:c r="P202" s="57" t="str">
        <x:v>《恒瑞医药2024年第二次临时股东会法律意见书》主要涉及治理、股权、会议、分红或其他事项，未披露“海外许可首付款、里程碑及销售分成现金流”相关实质证据。</x:v>
      </x:c>
      <x:c r="Q202" s="41" t="str">
        <x:v>B-CODEX-FIN-01</x:v>
      </x:c>
      <x:c r="R202" s="80" t="inlineStr">
        <x:is>
          <x:t>2026-08-28T03:00:25+08:00</x:t>
        </x:is>
      </x:c>
    </x:row>
    <x:row r="203" ht="72" customHeight="1">
      <x:c r="A203" s="64" t="str">
        <x:v>V5-R-Q021-C06</x:v>
      </x:c>
      <x:c r="B203" s="64" t="str">
        <x:v>V5-E-600276-C06</x:v>
      </x:c>
      <x:c r="C203" s="64" t="str">
        <x:v>V5-Q021</x:v>
      </x:c>
      <x:c r="D203" s="40" t="str">
        <x:v>恒瑞医药</x:v>
      </x:c>
      <x:c r="E203" s="64" t="str">
        <x:v>600276</x:v>
      </x:c>
      <x:c r="F203" s="87" t="n">
        <x:v>46260.75</x:v>
      </x:c>
      <x:c r="G203" s="51" t="str">
        <x:v>海外许可的里程碑与销售分成能否形成持续现金流</x:v>
      </x:c>
      <x:c r="H203" s="64" t="str">
        <x:v>DOC-EVT-600276-00665</x:v>
      </x:c>
      <x:c r="I203" s="51" t="str">
        <x:v>H股公告-证券变动月报表</x:v>
      </x:c>
      <x:c r="J203" s="87" t="n">
        <x:v>46206</x:v>
      </x:c>
      <x:c r="K203" s="73" t="str">
        <x:v>http://static.cninfo.com.cn/finalpage/2026-07-03/1225405395.PDF</x:v>
      </x:c>
      <x:c r="L203" s="40" t="str">
        <x:v>第7页</x:v>
      </x:c>
      <x:c r="M203" s="51" t="str">
        <x:v>FF301 ∉  ః෰ṉọ ٳٺܢܢ⦁ "෮ഈ൧ 䩏 ڎ ⊈ಊսὂ ೂഈ൧  䪌ૼၞ෮ഈ൧Ď ࡱ ೂℳႨ ὥṄ۬ ứളರ௹ 䩏 Ọն὜๙Ἶರ௹ ೂℳႨ 㦆ഒ  ၘ ܢ Ď &amp; 㦆ഒ  ῠ Ď ࢩ ଢ 䩏 1).ٺܢ߭( ٺܢ)3.#  ୍ᄅರ     2).ٺܢ߭( ٺܢ)3.#  ୍ᄅರ     3).ٺܢ߭( ٺܢ)3.#  ୍ᄅರ     4).ٺܢ߭( ٺܢ)3.#  ୍ᄅರ     5).ٺܢ߭( ٺܢ)3.#  ୍ᄅರ     6).ٺܢ߭( ٺܢ)3.#  ୍ᄅರ     7).ٺܢ߭( ٺܢ)3.#  ୍ᄅರ     Ď &amp;&amp; "ܢ ٺܢ &amp;&amp; "ܢ  ބ"ܢ  ބ"ܢ</x:v>
      </x:c>
      <x:c r="N203" s="41" t="str">
        <x:v>0-无关</x:v>
      </x:c>
      <x:c r="O203" s="41" t="str">
        <x:v>否</x:v>
      </x:c>
      <x:c r="P203" s="57" t="str">
        <x:v>《H股公告-证券变动月报表》主要涉及治理、股权、会议、分红或其他事项，未披露“海外许可首付款、里程碑及销售分成现金流”相关实质证据。</x:v>
      </x:c>
      <x:c r="Q203" s="41" t="str">
        <x:v>B-CODEX-FIN-01</x:v>
      </x:c>
      <x:c r="R203" s="80" t="inlineStr">
        <x:is>
          <x:t>2026-08-28T03:00:25+08:00</x:t>
        </x:is>
      </x:c>
    </x:row>
    <x:row r="204" ht="72" customHeight="1">
      <x:c r="A204" s="64" t="str">
        <x:v>V5-R-Q021-C05</x:v>
      </x:c>
      <x:c r="B204" s="64" t="str">
        <x:v>V5-E-600276-C05</x:v>
      </x:c>
      <x:c r="C204" s="64" t="str">
        <x:v>V5-Q021</x:v>
      </x:c>
      <x:c r="D204" s="40" t="str">
        <x:v>恒瑞医药</x:v>
      </x:c>
      <x:c r="E204" s="64" t="str">
        <x:v>600276</x:v>
      </x:c>
      <x:c r="F204" s="87" t="n">
        <x:v>46260.75</x:v>
      </x:c>
      <x:c r="G204" s="51" t="str">
        <x:v>海外许可的里程碑与销售分成能否形成持续现金流</x:v>
      </x:c>
      <x:c r="H204" s="64" t="str">
        <x:v>DOC-EVT-600276-00269</x:v>
      </x:c>
      <x:c r="I204" s="51" t="str">
        <x:v>关于江苏恒瑞医药股份有限公司2024年度非经营性资金占用及其他关联资金往来情况的专项说明</x:v>
      </x:c>
      <x:c r="J204" s="87" t="n">
        <x:v>45747</x:v>
      </x:c>
      <x:c r="K204" s="73" t="str">
        <x:v>http://static.cninfo.com.cn/finalpage/2025-03-31/1222961967.PDF</x:v>
      </x:c>
      <x:c r="L204" s="40" t="str">
        <x:v>第2页</x:v>
      </x:c>
      <x:c r="M204" s="51" t="str">
        <x:v>关于江苏恒瑞医药股份有限公司 2024年度非经营性资金占用及其他关联资金往来情况的专项说明 安永华明（2025）专字第70043287_B02号 江苏恒瑞医药股份有限公司 江苏恒瑞医药股份有限公司董事会： 我们审计了江苏恒瑞医药股份有限公司的2024年度财务报表，包括2024年12月31 日的合并及公司资产负债表，2024年度的合并及公司利润表、股东权益变动表和现金 流量表以及相关财务报表附注，并于 2025年3月28日出具了编号为安永华明（2025） 审字第70043287_B01号的无保留意见审计报告。 按照《上市公司监管指引第8号——上市公司资金往来、对外担保的监管要求》的 要求，江苏恒瑞医药股份有限公司编制了后附的 2024年度非经营性资金占用及其他关 联资金往来情况汇总表（以下简称“汇总表” ） 。 如实编制和对外披露汇总表，并确保其真实性、合法性、完整性是江苏恒瑞医药 股份有限公司的责任。我们对汇总表所载资料与我们审计江苏恒瑞医药股份有限公司 2024年度财务报表时所复核的会计资料和经审计的财务报表的相关内容进行了核对， 在所有重大方面没有发现不一致之处。除了对江苏恒瑞医药股份有限公司 2024年度财 务报表出具审计报告而执行的审计程序外，我 们并未对汇总表所载资料执行额外的审 计程序。 为了更好地理解江苏恒瑞医药股份有限公司2024年度非经营性资金占用及其他关 联资金往来情况，汇总表应当与经审计的财务报表一并阅读。 本专项说明仅供江苏恒瑞医药股份有限公司为20…</x:v>
      </x:c>
      <x:c r="N204" s="41" t="str">
        <x:v>0-无关</x:v>
      </x:c>
      <x:c r="O204" s="41" t="str">
        <x:v>否</x:v>
      </x:c>
      <x:c r="P204" s="57" t="str">
        <x:v>《关于江苏恒瑞医药股份有限公司2024年度非经营性资金占用及其他关联资金往来情况的专项说明》主要涉及治理、股权、会议、分红或其他事项，未披露“海外许可首付款、里程碑及销售分成现金流”相关实质证据。</x:v>
      </x:c>
      <x:c r="Q204" s="41" t="str">
        <x:v>B-CODEX-FIN-01</x:v>
      </x:c>
      <x:c r="R204" s="80" t="inlineStr">
        <x:is>
          <x:t>2026-08-28T03:00:25+08:00</x:t>
        </x:is>
      </x:c>
    </x:row>
    <x:row r="205" ht="72" customHeight="1">
      <x:c r="A205" s="64" t="str">
        <x:v>V5-R-Q021-C02</x:v>
      </x:c>
      <x:c r="B205" s="64" t="str">
        <x:v>V5-E-600276-C02</x:v>
      </x:c>
      <x:c r="C205" s="64" t="str">
        <x:v>V5-Q021</x:v>
      </x:c>
      <x:c r="D205" s="40" t="str">
        <x:v>恒瑞医药</x:v>
      </x:c>
      <x:c r="E205" s="64" t="str">
        <x:v>600276</x:v>
      </x:c>
      <x:c r="F205" s="87" t="n">
        <x:v>46260.75</x:v>
      </x:c>
      <x:c r="G205" s="51" t="str">
        <x:v>海外许可的里程碑与销售分成能否形成持续现金流</x:v>
      </x:c>
      <x:c r="H205" s="64" t="str">
        <x:v>DOC-EVT-600276-00449</x:v>
      </x:c>
      <x:c r="I205" s="51" t="str">
        <x:v>恒瑞医药2025年第三季度报告</x:v>
      </x:c>
      <x:c r="J205" s="87" t="n">
        <x:v>45958</x:v>
      </x:c>
      <x:c r="K205" s="73" t="str">
        <x:v>http://static.cninfo.com.cn/finalpage/2025-10-28/1224743064.PDF</x:v>
      </x:c>
      <x:c r="L205" s="40" t="str">
        <x:v>第8页</x:v>
      </x:c>
      <x:c r="M205" s="51" t="str">
        <x:v>江苏恒瑞医药股份有限公司 2025 年第三季度报告 8 / 9 合并现金流量表 2025 年 1—9 月 编制单位：江苏恒瑞医药股份有限公司 单位：元 币种：人民币 审计类型：未经审计 项目 2025 年前三季度 （1-9 月） 2024 年前三季度 （1-9 月） 一、经营活动产生的现金流量： 销售商品、提供劳务收到的现金 26,173,262,016.04 20,000,144,131.46 收到其他与经营活动有关的现金 799,560,767.34 546,652,931.24 经营活动现金流入小计 26,972,822,783.38 20,546,797,062.70 购买商品、接受劳务支付的现金 1,167,102,744.63 1,130,472,262.16 支付给职工及为职工支付的现金 5,462,509,586.42 4,610,758,220.71 支付的各项税费 1,839,015,825.49 1,652,291,637.65 支付其他与经营活动有关的现金 9,393,764,336.57 8,567,828,933.06 经营活动现金流出小计 17,862,392,493.11 15,961,351,053.58 经营活动产生的现金流量净额 9,110,430,290.27 4,585,446,009.12 二、投资活动产生的现金流量： 收回投资收到的现金 151,000,000.00 200,000,000.00 取得投资收益收到的现金 30,0…</x:v>
      </x:c>
      <x:c r="N205" s="41" t="str">
        <x:v>1-弱相关</x:v>
      </x:c>
      <x:c r="O205" s="41" t="str">
        <x:v>否</x:v>
      </x:c>
      <x:c r="P205" s="57" t="str">
        <x:v>《恒瑞医药2025年第三季度报告》仅提供公司阶段性经营、财务或相邻业务背景，未同时覆盖“海外许可首付款、里程碑及销售分成现金流”的核心变量，相关性较弱。</x:v>
      </x:c>
      <x:c r="Q205" s="41" t="str">
        <x:v>B-CODEX-FIN-01</x:v>
      </x:c>
      <x:c r="R205" s="80" t="inlineStr">
        <x:is>
          <x:t>2026-08-28T03:00:25+08:00</x:t>
        </x:is>
      </x:c>
    </x:row>
    <x:row r="206" ht="72" customHeight="1">
      <x:c r="A206" s="64" t="str">
        <x:v>V5-R-Q021-C04</x:v>
      </x:c>
      <x:c r="B206" s="64" t="str">
        <x:v>V5-E-600276-C04</x:v>
      </x:c>
      <x:c r="C206" s="64" t="str">
        <x:v>V5-Q021</x:v>
      </x:c>
      <x:c r="D206" s="40" t="str">
        <x:v>恒瑞医药</x:v>
      </x:c>
      <x:c r="E206" s="64" t="str">
        <x:v>600276</x:v>
      </x:c>
      <x:c r="F206" s="87" t="n">
        <x:v>46260.75</x:v>
      </x:c>
      <x:c r="G206" s="51" t="str">
        <x:v>海外许可的里程碑与销售分成能否形成持续现金流</x:v>
      </x:c>
      <x:c r="H206" s="64" t="str">
        <x:v>DOC-EVT-600276-00690</x:v>
      </x:c>
      <x:c r="I206" s="51" t="str">
        <x:v>H股公告-证券变动月报表</x:v>
      </x:c>
      <x:c r="J206" s="87" t="n">
        <x:v>46239</x:v>
      </x:c>
      <x:c r="K206" s="73" t="str">
        <x:v>http://static.cninfo.com.cn/finalpage/2026-08-05/1225457436.PDF</x:v>
      </x:c>
      <x:c r="L206" s="40" t="str">
        <x:v>第1页</x:v>
      </x:c>
      <x:c r="M206" s="51" t="str">
        <x:v>FF301 ∉  ⊈ಊṉọᄅḸі ٺ୍ᄅರ ⊯Ⅲࢌ ඳ ඳ଀Ẁඳ ರ௹ ୍ᄅರ Чṉọ ٳٺܢܢ⦁ )෮ഈ൧ 䩏 ൞ ⊈ಊսὂ ೂഈ൧  䪌ૼܢ ଢ ૫ᆴЧ ᾵թ    3.#  3.#    㦆ഒ  3.# ᾵թ    3.#  3.#    ٳٺܢܢ⦁ "෮ഈ൧ 䩏 ڎ ⊈ಊսὂ ೂഈ൧  䪌ૼၞ෮ഈ൧Ď ଢ ૫ᆴЧ ᾵թ     3.#  3.#     㦆ഒ  3.# ᾵թ     3.#  3.#     Ч⊺ỡğ 3.#    </x:v>
      </x:c>
      <x:c r="N206" s="41" t="str">
        <x:v>0-无关</x:v>
      </x:c>
      <x:c r="O206" s="41" t="str">
        <x:v>否</x:v>
      </x:c>
      <x:c r="P206" s="57" t="str">
        <x:v>《H股公告-证券变动月报表》主要涉及治理、股权、会议、分红或其他事项，未披露“海外许可首付款、里程碑及销售分成现金流”相关实质证据。</x:v>
      </x:c>
      <x:c r="Q206" s="41" t="str">
        <x:v>B-CODEX-FIN-01</x:v>
      </x:c>
      <x:c r="R206" s="80" t="inlineStr">
        <x:is>
          <x:t>2026-08-28T03:00:25+08:00</x:t>
        </x:is>
      </x:c>
    </x:row>
    <x:row r="207" ht="72" customHeight="1">
      <x:c r="A207" s="64" t="str">
        <x:v>V5-R-Q021-C08</x:v>
      </x:c>
      <x:c r="B207" s="64" t="str">
        <x:v>V5-E-600276-C08</x:v>
      </x:c>
      <x:c r="C207" s="64" t="str">
        <x:v>V5-Q021</x:v>
      </x:c>
      <x:c r="D207" s="40" t="str">
        <x:v>恒瑞医药</x:v>
      </x:c>
      <x:c r="E207" s="64" t="str">
        <x:v>600276</x:v>
      </x:c>
      <x:c r="F207" s="87" t="n">
        <x:v>46260.75</x:v>
      </x:c>
      <x:c r="G207" s="51" t="str">
        <x:v>海外许可的里程碑与销售分成能否形成持续现金流</x:v>
      </x:c>
      <x:c r="H207" s="64" t="str">
        <x:v>DOC-EVT-600276-00386</x:v>
      </x:c>
      <x:c r="I207" s="51" t="str">
        <x:v>H股公告-截至2025年6月30日止六个月之中期业绩公告</x:v>
      </x:c>
      <x:c r="J207" s="87" t="n">
        <x:v>45890</x:v>
      </x:c>
      <x:c r="K207" s="73" t="str">
        <x:v>http://static.cninfo.com.cn/finalpage/2025-08-21/1224527059.PDF</x:v>
      </x:c>
      <x:c r="L207" s="40" t="str">
        <x:v>第12页</x:v>
      </x:c>
      <x:c r="M207" s="51" t="str">
        <x:v>12 ᐼ༟ପ ᐼ༟ପ͟࿚Ї 2024 ϋ12 ˜31ɛ͏࿆ 50,135.6 ϵຬʩᄣ̋ 25.4% Ї࿚ Ї2025 ϋ6˜30ɛ͏࿆ 62,893.5ʿვБഐቱ͟࿚Ї 2024 ϋ12 ˜31ɛ͏࿆ 24,802.5 ϵຬʩᄣ̋ 45.5% Ї࿚Ї2025 ϋ6˜30ɛ͏࿆ 36,094.0 ϵຬʩdʿଋ༟ପ͟࿚Ї 2024 ϋ12 ˜31ɛ͏࿆ 46,090.3 ϵຬʩᄣ̋ 28.1% Ї࿚Ї2025 ϋ6˜30ɛ͏࿆59,029.8͉ʮ̡ HΌଢ f ඎଋᕘ ࿚Ї2025 ϋ6˜30ɛ͏࿆ 4,300.5 ϵຬʩdΝˢᄣ̋ɛ͏࿆ 1,267.7௴อᖹቖ ਯʿ஢̙ϗɝᄣ̋f ඎଋᕘ ࿚Ї2025 ϋ6˜30ɛ͏࿆ 1,084.7 ϵຬʩdΝˢಯˇɛ͏࿆ 438.9ٙ ಯˇf ඎଋᕘ ࿚Ї2025 ϋ6˜30ɛ͏࿆ 8,039.5 జѓಂʫ͉ʮ̡ Hf</x:v>
      </x:c>
      <x:c r="N207" s="41" t="str">
        <x:v>2-间接相关</x:v>
      </x:c>
      <x:c r="O207" s="41" t="str">
        <x:v>是</x:v>
      </x:c>
      <x:c r="P207" s="57" t="str">
        <x:v>中期业绩包含许可收入、应收及现金流信息，能够支持“海外许可首付款、里程碑及销售分成现金流”的中间环节，但未完整量化最终影响。</x:v>
      </x:c>
      <x:c r="Q207" s="41" t="str">
        <x:v>B-CODEX-FIN-01</x:v>
      </x:c>
      <x:c r="R207" s="80" t="inlineStr">
        <x:is>
          <x:t>2026-08-28T03:00:25+08:00</x:t>
        </x:is>
      </x:c>
    </x:row>
    <x:row r="208" ht="72" customHeight="1">
      <x:c r="A208" s="64" t="str">
        <x:v>V5-R-Q021-C10</x:v>
      </x:c>
      <x:c r="B208" s="64" t="str">
        <x:v>V5-E-600276-C10</x:v>
      </x:c>
      <x:c r="C208" s="64" t="str">
        <x:v>V5-Q021</x:v>
      </x:c>
      <x:c r="D208" s="40" t="str">
        <x:v>恒瑞医药</x:v>
      </x:c>
      <x:c r="E208" s="64" t="str">
        <x:v>600276</x:v>
      </x:c>
      <x:c r="F208" s="87" t="n">
        <x:v>46260.75</x:v>
      </x:c>
      <x:c r="G208" s="51" t="str">
        <x:v>海外许可的里程碑与销售分成能否形成持续现金流</x:v>
      </x:c>
      <x:c r="H208" s="64" t="str">
        <x:v>DOC-EVT-600276-00691</x:v>
      </x:c>
      <x:c r="I208" s="51" t="str">
        <x:v>恒瑞医药关于获得药品注册批准的公告</x:v>
      </x:c>
      <x:c r="J208" s="87" t="n">
        <x:v>46241</x:v>
      </x:c>
      <x:c r="K208" s="73" t="str">
        <x:v>http://static.cninfo.com.cn/finalpage/2026-08-07/1225462416.PDF</x:v>
      </x:c>
      <x:c r="L208" s="40" t="str">
        <x:v>第1页</x:v>
      </x:c>
      <x:c r="M208" s="51" t="str">
        <x:v>证券代码：600276 证券简称：恒瑞医药 公告编号：临 2026-115 江苏恒瑞医药股份有限公司 关于获得药品注册批准的公告 本公司董事会及全体董事保证本公告内容不存在任何虚假记载、误导性陈述 或者重大遗漏，并对其内容的真实性、准确性和完整性承担法律责任。 近日，江苏恒瑞医药股份有限公司（以下简称“公司”）收到国家药品监督 管理局（以下简称“国家药监局”）的通知，批准公司自主研发的 1 类创新药硫 酸艾玛昔替尼片（SHR0302 片）新增第五项适应症。现将相关情况公告如下： 一、药品的基本情况 药品名称：硫酸艾玛昔替尼片 剂型：片剂 规格：4mg 注册分类：化学药品 2.4 类 受理号：CXHS2500141 处方药/非处方药：处方药 批准的适应症：本品适用于对非甾体抗炎药(NSAID)应答不佳或不耐受且存 在客观炎症征象（表现为 C 反应蛋白[CRP]升高和/或磁共振成像[MRI]异常）的 活动性放射学阴性中轴型脊柱关节炎成人患者。 二、药品的已获批适应症情况 硫酸艾玛昔替尼片此前已在国内获批上市四个适应症，分别为：1.用于对一 种或多种 TNF 抑制剂疗效不佳或不耐受的活动性强直性脊柱炎成人患者。2.用于 对一种或多种 TNF 抑制剂疗效不佳或不耐受的中重度活动性类风湿关节炎成人 患者。3.用于对局部外用治疗或其他系统性治疗应答不充分或不耐受的中重度特 应性皮炎成人患者。4.用于成人重度斑秃患者。 本次新适应症获批后，该产品已实现中轴型脊柱关节炎全疾病谱的口服靶向…</x:v>
      </x:c>
      <x:c r="N208" s="41" t="str">
        <x:v>0-无关</x:v>
      </x:c>
      <x:c r="O208" s="41" t="str">
        <x:v>否</x:v>
      </x:c>
      <x:c r="P208" s="57" t="str">
        <x:v>《恒瑞医药关于获得药品注册批准的公告》主要涉及治理、股权、会议、分红或其他事项，未披露“海外许可首付款、里程碑及销售分成现金流”相关实质证据。</x:v>
      </x:c>
      <x:c r="Q208" s="41" t="str">
        <x:v>B-CODEX-FIN-01</x:v>
      </x:c>
      <x:c r="R208" s="80" t="inlineStr">
        <x:is>
          <x:t>2026-08-28T03:00:25+08:00</x:t>
        </x:is>
      </x:c>
    </x:row>
    <x:row r="209" ht="72" customHeight="1">
      <x:c r="A209" s="64" t="str">
        <x:v>V5-R-Q021-C03</x:v>
      </x:c>
      <x:c r="B209" s="64" t="str">
        <x:v>V5-E-600276-C03</x:v>
      </x:c>
      <x:c r="C209" s="64" t="str">
        <x:v>V5-Q021</x:v>
      </x:c>
      <x:c r="D209" s="40" t="str">
        <x:v>恒瑞医药</x:v>
      </x:c>
      <x:c r="E209" s="64" t="str">
        <x:v>600276</x:v>
      </x:c>
      <x:c r="F209" s="87" t="n">
        <x:v>46260.75</x:v>
      </x:c>
      <x:c r="G209" s="51" t="str">
        <x:v>海外许可的里程碑与销售分成能否形成持续现金流</x:v>
      </x:c>
      <x:c r="H209" s="64" t="str">
        <x:v>DOC-EVT-600276-00660</x:v>
      </x:c>
      <x:c r="I209" s="51" t="str">
        <x:v>恒瑞医药关于药品上市许可申请获EMA受理的提示性公告</x:v>
      </x:c>
      <x:c r="J209" s="87" t="n">
        <x:v>46196</x:v>
      </x:c>
      <x:c r="K209" s="73" t="str">
        <x:v>http://static.cninfo.com.cn/finalpage/2026-06-23/1225380471.PDF</x:v>
      </x:c>
      <x:c r="L209" s="40" t="str">
        <x:v>第1页</x:v>
      </x:c>
      <x:c r="M209" s="51" t="str">
        <x:v>证券代码：600276 证券简称：恒瑞医药 公告编号：临 2026-087 江苏恒瑞医药股份有限公司 关于药品上市许可申请获EMA 受理的提示性公告 本公司董事会及全体董事保证本公告内容不存在任何虚假记载、误导性陈述 或者重大遗漏，并对其内容的真实性、准确性和完整性承担法律责任。 近日，江苏恒瑞医药股份有限公司（以下简称“公司”）收到了欧洲药品管 理局（European Medicines Agency，以下简称“EMA”）的通知,EMA 正式确认并 受理公司递交的瑞维鲁胺片的上市许可申请，这是公司首个自主研发的创新药向 欧盟递交上市申请。现将相关情况公告如下： 一、药品的基本情况 药品名称：瑞维鲁胺片 剂型：片剂 拟定适应症（或功能主治）：适用于联合雄激素剥夺治疗（ADT），治疗高 瘤负荷的转移性激素敏感性前列腺癌（mHSPC）成年男性患者。 二、药品的临床试验情况 此次申报上市，是基于一项国际多中心、随机、对照Ⅲ期临床试验 SHR-3680- Ⅲ-HSPC 研究（CHART 研究）。该研究旨在评估瑞维鲁胺联合 ADT 对比比卡鲁胺 联合 ADT，用于高瘤负荷转移性激素敏感性前列腺癌（mHSPC）患者的疗效与安全 性。此国际多中心临床研究由复旦大学附属肿瘤医院叶定伟教授担任全球主要研 究者，该研究在中国和欧洲的 72 家研究中心共同开展。研究共纳入 654 例高瘤 负荷 mHSPC 受试者，按 1:1 随机分配至试验组（瑞维鲁胺联合 ADT）和对照组（比 卡鲁胺联合 AD…</x:v>
      </x:c>
      <x:c r="N209" s="41" t="str">
        <x:v>1-弱相关</x:v>
      </x:c>
      <x:c r="O209" s="41" t="str">
        <x:v>否</x:v>
      </x:c>
      <x:c r="P209" s="57" t="str">
        <x:v>《恒瑞医药关于药品上市许可申请获EMA受理的提示性公告》仅提供公司阶段性经营、财务或相邻业务背景，未同时覆盖“海外许可首付款、里程碑及销售分成现金流”的核心变量，相关性较弱。</x:v>
      </x:c>
      <x:c r="Q209" s="41" t="str">
        <x:v>B-CODEX-FIN-01</x:v>
      </x:c>
      <x:c r="R209" s="80" t="inlineStr">
        <x:is>
          <x:t>2026-08-28T03:00:25+08:00</x:t>
        </x:is>
      </x:c>
    </x:row>
    <x:row r="210" ht="72" customHeight="1">
      <x:c r="A210" s="64" t="str">
        <x:v>V5-R-Q021-C07</x:v>
      </x:c>
      <x:c r="B210" s="64" t="str">
        <x:v>V5-E-600276-C07</x:v>
      </x:c>
      <x:c r="C210" s="64" t="str">
        <x:v>V5-Q021</x:v>
      </x:c>
      <x:c r="D210" s="40" t="str">
        <x:v>恒瑞医药</x:v>
      </x:c>
      <x:c r="E210" s="64" t="str">
        <x:v>600276</x:v>
      </x:c>
      <x:c r="F210" s="87" t="n">
        <x:v>46260.75</x:v>
      </x:c>
      <x:c r="G210" s="51" t="str">
        <x:v>海外许可的里程碑与销售分成能否形成持续现金流</x:v>
      </x:c>
      <x:c r="H210" s="64" t="str">
        <x:v>DOC-EVT-600276-00644</x:v>
      </x:c>
      <x:c r="I210" s="51" t="str">
        <x:v>恒瑞医药关于召开2026年第一季度业绩说明会的公告</x:v>
      </x:c>
      <x:c r="J210" s="87" t="n">
        <x:v>46170</x:v>
      </x:c>
      <x:c r="K210" s="73" t="str">
        <x:v>http://static.cninfo.com.cn/finalpage/2026-05-28/1225332924.PDF</x:v>
      </x:c>
      <x:c r="L210" s="40" t="str">
        <x:v>第1页</x:v>
      </x:c>
      <x:c r="M210" s="51" t="str">
        <x:v>证券代码：600276 证券简称：恒瑞医药 公告编号：临 2026-079 江苏恒瑞医药股份有限公司 关于召开2026 年第一季度业绩说明会的公告 本公司董事会及全体董事保证本公告内容不存在任何虚假记载、误导性陈述 或者重大遗漏，并对其内容的真实性、准确性和完整性承担法律责任。 重要内容提示  会议内容：恒瑞医药 2026 年第一季度业绩说明会  会议时间：2026 年 6 月 3 日（星期三）下午 14:00-15:00  会 议 召 开 地 点 ： 上 海 证 券 交 易 所 上 证 路 演 中 心 （ 网 址 ： https://roadshow.sseinfo.com/）  会议形式：上证路演中心网络互动 问题征集方式：投资者可于 2026 年 6 月 2 日(星期二)16:00 前登录上证路演中 心网站首页点击“提问预征集”栏目或通过公司邮箱ir@hengrui.com进行提问。 公司将在说明会上对投资者普遍关注的问题进行回答。 江苏恒瑞医药股份有限公司（以下简称“公司”）已于2026 年 4 月 23 日发 布公司 2026 年第一季度报告，为便于广大投资者更全面深入地了解公司2026 年 第一季度经营成果、财务状况，公司计划于 2026 年 6 月 3 日下午 14:00-15:00 举行 2026 年第一季度业绩说明会，就投资者关心的问题进行交流。 一、说明会类型 本次投资者说明会以网络互动形式召开，公司将针对 2026 年第一季度的经 营成果及财务…</x:v>
      </x:c>
      <x:c r="N210" s="41" t="str">
        <x:v>0-无关</x:v>
      </x:c>
      <x:c r="O210" s="41" t="str">
        <x:v>否</x:v>
      </x:c>
      <x:c r="P210" s="57" t="str">
        <x:v>《恒瑞医药关于召开2026年第一季度业绩说明会的公告》主要涉及治理、股权、会议、分红或其他事项，未披露“海外许可首付款、里程碑及销售分成现金流”相关实质证据。</x:v>
      </x:c>
      <x:c r="Q210" s="41" t="str">
        <x:v>B-CODEX-FIN-01</x:v>
      </x:c>
      <x:c r="R210" s="80" t="inlineStr">
        <x:is>
          <x:t>2026-08-28T03:00:25+08:00</x:t>
        </x:is>
      </x:c>
    </x:row>
    <x:row r="211" ht="72" customHeight="1">
      <x:c r="A211" s="64" t="str">
        <x:v>V5-R-Q021-C01</x:v>
      </x:c>
      <x:c r="B211" s="64" t="str">
        <x:v>V5-E-600276-C01</x:v>
      </x:c>
      <x:c r="C211" s="64" t="str">
        <x:v>V5-Q021</x:v>
      </x:c>
      <x:c r="D211" s="40" t="str">
        <x:v>恒瑞医药</x:v>
      </x:c>
      <x:c r="E211" s="64" t="str">
        <x:v>600276</x:v>
      </x:c>
      <x:c r="F211" s="87" t="n">
        <x:v>46260.75</x:v>
      </x:c>
      <x:c r="G211" s="51" t="str">
        <x:v>海外许可的里程碑与销售分成能否形成持续现金流</x:v>
      </x:c>
      <x:c r="H211" s="64" t="str">
        <x:v>DOC-EVT-600276-00592</x:v>
      </x:c>
      <x:c r="I211" s="51" t="str">
        <x:v>恒瑞医药2025年年度报告</x:v>
      </x:c>
      <x:c r="J211" s="87" t="n">
        <x:v>46107</x:v>
      </x:c>
      <x:c r="K211" s="73" t="str">
        <x:v>http://static.cninfo.com.cn/finalpage/2026-03-26/1225032585.PDF</x:v>
      </x:c>
      <x:c r="L211" s="40" t="str">
        <x:v>第47页</x:v>
      </x:c>
      <x:c r="M211" s="51" t="str">
        <x:v>江苏恒瑞医药股份有限公司2025 年年度报告 47 / 236 附表 7—报告期内公司海外业务拓展交易项目及业务更新 产品名称/代号 （靶点） 交易时间 交易对方 许可范围 财务条款及其他说明 HRS-5346 Lp(a) 2025年 3月 MSD 授予 MSD在全球范围内（大中华地区除外）开发、生产和商业化 HRS-5346 的独家权利。 1. 首付款：MSD向恒瑞支付 2 亿美元的首付款。 2. 里程碑付款：恒瑞有资格获得与开发、监管和商业化相关的里程碑付 款，最高可达 17.7 亿美元。 3. 销售提成：根据 HRS-5346在大中华地区以外的销售情况，MSD将向 恒瑞支付相应销售提成。 SHR7280 GnRH 2025年 4月 Merck KGaA 1.授予 MerckKGaASHR7280在中华人民共和国大陆地区（不包含香港、澳 门特别行政区和台湾）商业化的独家权利。 2.授予 MerckKGaASHR7280在授权区域之外区域的优先谈判权。 1. 首付款：MerckKGaA向恒瑞支付 1500 万欧元的首付款。 2. 里程碑付款：产品在获得中国药监局批准后，恒瑞有资格获得一定的 里程碑付款。 3. 销售提成：MerckKGaA 将向恒瑞支付达到实际年净销售额两位数的销 售提成。 HRS-9821 PDE3/4 及至多 11 款 创新药物 2025年 7月 GSK 1.授予 GSK PDE3/4 抑制剂 HRS-9821 的全球独家许可权利（不包括中国大 陆、香…</x:v>
      </x:c>
      <x:c r="N211" s="41" t="str">
        <x:v>3-直接相关</x:v>
      </x:c>
      <x:c r="O211" s="41" t="str">
        <x:v>是</x:v>
      </x:c>
      <x:c r="P211" s="57" t="str">
        <x:v>年报逐项披露海外许可首付款、里程碑上限和销售提成，直接覆盖“海外许可首付款、里程碑及销售分成现金流”的关键变量，关系路径成立。</x:v>
      </x:c>
      <x:c r="Q211" s="41" t="str">
        <x:v>B-CODEX-FIN-01</x:v>
      </x:c>
      <x:c r="R211" s="80" t="inlineStr">
        <x:is>
          <x:t>2026-08-28T03:00:25+08:00</x:t>
        </x:is>
      </x:c>
    </x:row>
    <x:row r="212" ht="72" customHeight="1">
      <x:c r="A212" s="64" t="str">
        <x:v>V5-R-Q022-C05</x:v>
      </x:c>
      <x:c r="B212" s="64" t="str">
        <x:v>V5-E-600276-C05</x:v>
      </x:c>
      <x:c r="C212" s="64" t="str">
        <x:v>V5-Q022</x:v>
      </x:c>
      <x:c r="D212" s="40" t="str">
        <x:v>恒瑞医药</x:v>
      </x:c>
      <x:c r="E212" s="64" t="str">
        <x:v>600276</x:v>
      </x:c>
      <x:c r="F212" s="87" t="n">
        <x:v>46260.75</x:v>
      </x:c>
      <x:c r="G212" s="51" t="str">
        <x:v>创新药商业化费用增长能否被新品销售规模吸收</x:v>
      </x:c>
      <x:c r="H212" s="64" t="str">
        <x:v>DOC-EVT-600276-00269</x:v>
      </x:c>
      <x:c r="I212" s="51" t="str">
        <x:v>关于江苏恒瑞医药股份有限公司2024年度非经营性资金占用及其他关联资金往来情况的专项说明</x:v>
      </x:c>
      <x:c r="J212" s="87" t="n">
        <x:v>45747</x:v>
      </x:c>
      <x:c r="K212" s="73" t="str">
        <x:v>http://static.cninfo.com.cn/finalpage/2025-03-31/1222961967.PDF</x:v>
      </x:c>
      <x:c r="L212" s="40" t="str">
        <x:v>第2页</x:v>
      </x:c>
      <x:c r="M212" s="51" t="str">
        <x:v>关于江苏恒瑞医药股份有限公司 2024年度非经营性资金占用及其他关联资金往来情况的专项说明 安永华明（2025）专字第70043287_B02号 江苏恒瑞医药股份有限公司 江苏恒瑞医药股份有限公司董事会： 我们审计了江苏恒瑞医药股份有限公司的2024年度财务报表，包括2024年12月31 日的合并及公司资产负债表，2024年度的合并及公司利润表、股东权益变动表和现金 流量表以及相关财务报表附注，并于 2025年3月28日出具了编号为安永华明（2025） 审字第70043287_B01号的无保留意见审计报告。 按照《上市公司监管指引第8号——上市公司资金往来、对外担保的监管要求》的 要求，江苏恒瑞医药股份有限公司编制了后附的 2024年度非经营性资金占用及其他关 联资金往来情况汇总表（以下简称“汇总表” ） 。 如实编制和对外披露汇总表，并确保其真实性、合法性、完整性是江苏恒瑞医药 股份有限公司的责任。我们对汇总表所载资料与我们审计江苏恒瑞医药股份有限公司 2024年度财务报表时所复核的会计资料和经审计的财务报表的相关内容进行了核对， 在所有重大方面没有发现不一致之处。除了对江苏恒瑞医药股份有限公司 2024年度财 务报表出具审计报告而执行的审计程序外，我 们并未对汇总表所载资料执行额外的审 计程序。 为了更好地理解江苏恒瑞医药股份有限公司2024年度非经营性资金占用及其他关 联资金往来情况，汇总表应当与经审计的财务报表一并阅读。 本专项说明仅供江苏恒瑞医药股份有限公司为20…</x:v>
      </x:c>
      <x:c r="N212" s="41" t="str">
        <x:v>0-无关</x:v>
      </x:c>
      <x:c r="O212" s="41" t="str">
        <x:v>否</x:v>
      </x:c>
      <x:c r="P212" s="57" t="str">
        <x:v>《关于江苏恒瑞医药股份有限公司2024年度非经营性资金占用及其他关联资金往来情况的专项说明》主要涉及治理、股权、会议、分红或其他事项，未披露“创新药商业化费用与新品销售放量”相关实质证据。</x:v>
      </x:c>
      <x:c r="Q212" s="41" t="str">
        <x:v>B-CODEX-FIN-01</x:v>
      </x:c>
      <x:c r="R212" s="80" t="inlineStr">
        <x:is>
          <x:t>2026-08-28T03:00:25+08:00</x:t>
        </x:is>
      </x:c>
    </x:row>
    <x:row r="213" ht="72" customHeight="1">
      <x:c r="A213" s="64" t="str">
        <x:v>V5-R-Q022-C06</x:v>
      </x:c>
      <x:c r="B213" s="64" t="str">
        <x:v>V5-E-600276-C06</x:v>
      </x:c>
      <x:c r="C213" s="64" t="str">
        <x:v>V5-Q022</x:v>
      </x:c>
      <x:c r="D213" s="40" t="str">
        <x:v>恒瑞医药</x:v>
      </x:c>
      <x:c r="E213" s="64" t="str">
        <x:v>600276</x:v>
      </x:c>
      <x:c r="F213" s="87" t="n">
        <x:v>46260.75</x:v>
      </x:c>
      <x:c r="G213" s="51" t="str">
        <x:v>创新药商业化费用增长能否被新品销售规模吸收</x:v>
      </x:c>
      <x:c r="H213" s="64" t="str">
        <x:v>DOC-EVT-600276-00665</x:v>
      </x:c>
      <x:c r="I213" s="51" t="str">
        <x:v>H股公告-证券变动月报表</x:v>
      </x:c>
      <x:c r="J213" s="87" t="n">
        <x:v>46206</x:v>
      </x:c>
      <x:c r="K213" s="73" t="str">
        <x:v>http://static.cninfo.com.cn/finalpage/2026-07-03/1225405395.PDF</x:v>
      </x:c>
      <x:c r="L213" s="40" t="str">
        <x:v>第7页</x:v>
      </x:c>
      <x:c r="M213" s="51" t="str">
        <x:v>FF301 ∉  ః෰ṉọ ٳٺܢܢ⦁ "෮ഈ൧ 䩏 ڎ ⊈ಊսὂ ೂഈ൧  䪌ૼၞ෮ഈ൧Ď ࡱ ೂℳႨ ὥṄ۬ ứളರ௹ 䩏 Ọն὜๙Ἶರ௹ ೂℳႨ 㦆ഒ  ၘ ܢ Ď &amp; 㦆ഒ  ῠ Ď ࢩ ଢ 䩏 1).ٺܢ߭( ٺܢ)3.#  ୍ᄅರ     2).ٺܢ߭( ٺܢ)3.#  ୍ᄅರ     3).ٺܢ߭( ٺܢ)3.#  ୍ᄅರ     4).ٺܢ߭( ٺܢ)3.#  ୍ᄅರ     5).ٺܢ߭( ٺܢ)3.#  ୍ᄅರ     6).ٺܢ߭( ٺܢ)3.#  ୍ᄅರ     7).ٺܢ߭( ٺܢ)3.#  ୍ᄅರ     Ď &amp;&amp; "ܢ ٺܢ &amp;&amp; "ܢ  ބ"ܢ  ބ"ܢ</x:v>
      </x:c>
      <x:c r="N213" s="41" t="str">
        <x:v>0-无关</x:v>
      </x:c>
      <x:c r="O213" s="41" t="str">
        <x:v>否</x:v>
      </x:c>
      <x:c r="P213" s="57" t="str">
        <x:v>《H股公告-证券变动月报表》主要涉及治理、股权、会议、分红或其他事项，未披露“创新药商业化费用与新品销售放量”相关实质证据。</x:v>
      </x:c>
      <x:c r="Q213" s="41" t="str">
        <x:v>B-CODEX-FIN-01</x:v>
      </x:c>
      <x:c r="R213" s="80" t="inlineStr">
        <x:is>
          <x:t>2026-08-28T03:00:25+08:00</x:t>
        </x:is>
      </x:c>
    </x:row>
    <x:row r="214" ht="72" customHeight="1">
      <x:c r="A214" s="64" t="str">
        <x:v>V5-R-Q022-C07</x:v>
      </x:c>
      <x:c r="B214" s="64" t="str">
        <x:v>V5-E-600276-C07</x:v>
      </x:c>
      <x:c r="C214" s="64" t="str">
        <x:v>V5-Q022</x:v>
      </x:c>
      <x:c r="D214" s="40" t="str">
        <x:v>恒瑞医药</x:v>
      </x:c>
      <x:c r="E214" s="64" t="str">
        <x:v>600276</x:v>
      </x:c>
      <x:c r="F214" s="87" t="n">
        <x:v>46260.75</x:v>
      </x:c>
      <x:c r="G214" s="51" t="str">
        <x:v>创新药商业化费用增长能否被新品销售规模吸收</x:v>
      </x:c>
      <x:c r="H214" s="64" t="str">
        <x:v>DOC-EVT-600276-00644</x:v>
      </x:c>
      <x:c r="I214" s="51" t="str">
        <x:v>恒瑞医药关于召开2026年第一季度业绩说明会的公告</x:v>
      </x:c>
      <x:c r="J214" s="87" t="n">
        <x:v>46170</x:v>
      </x:c>
      <x:c r="K214" s="73" t="str">
        <x:v>http://static.cninfo.com.cn/finalpage/2026-05-28/1225332924.PDF</x:v>
      </x:c>
      <x:c r="L214" s="40" t="str">
        <x:v>第1页</x:v>
      </x:c>
      <x:c r="M214" s="51" t="str">
        <x:v>证券代码：600276 证券简称：恒瑞医药 公告编号：临 2026-079 江苏恒瑞医药股份有限公司 关于召开2026 年第一季度业绩说明会的公告 本公司董事会及全体董事保证本公告内容不存在任何虚假记载、误导性陈述 或者重大遗漏，并对其内容的真实性、准确性和完整性承担法律责任。 重要内容提示  会议内容：恒瑞医药 2026 年第一季度业绩说明会  会议时间：2026 年 6 月 3 日（星期三）下午 14:00-15:00  会 议 召 开 地 点 ： 上 海 证 券 交 易 所 上 证 路 演 中 心 （ 网 址 ： https://roadshow.sseinfo.com/）  会议形式：上证路演中心网络互动 问题征集方式：投资者可于 2026 年 6 月 2 日(星期二)16:00 前登录上证路演中 心网站首页点击“提问预征集”栏目或通过公司邮箱ir@hengrui.com进行提问。 公司将在说明会上对投资者普遍关注的问题进行回答。 江苏恒瑞医药股份有限公司（以下简称“公司”）已于2026 年 4 月 23 日发 布公司 2026 年第一季度报告，为便于广大投资者更全面深入地了解公司2026 年 第一季度经营成果、财务状况，公司计划于 2026 年 6 月 3 日下午 14:00-15:00 举行 2026 年第一季度业绩说明会，就投资者关心的问题进行交流。 一、说明会类型 本次投资者说明会以网络互动形式召开，公司将针对 2026 年第一季度的经 营成果及财务…</x:v>
      </x:c>
      <x:c r="N214" s="41" t="str">
        <x:v>0-无关</x:v>
      </x:c>
      <x:c r="O214" s="41" t="str">
        <x:v>否</x:v>
      </x:c>
      <x:c r="P214" s="57" t="str">
        <x:v>《恒瑞医药关于召开2026年第一季度业绩说明会的公告》主要涉及治理、股权、会议、分红或其他事项，未披露“创新药商业化费用与新品销售放量”相关实质证据。</x:v>
      </x:c>
      <x:c r="Q214" s="41" t="str">
        <x:v>B-CODEX-FIN-01</x:v>
      </x:c>
      <x:c r="R214" s="80" t="inlineStr">
        <x:is>
          <x:t>2026-08-28T03:00:25+08:00</x:t>
        </x:is>
      </x:c>
    </x:row>
    <x:row r="215" ht="72" customHeight="1">
      <x:c r="A215" s="64" t="str">
        <x:v>V5-R-Q022-C09</x:v>
      </x:c>
      <x:c r="B215" s="64" t="str">
        <x:v>V5-E-600276-C09</x:v>
      </x:c>
      <x:c r="C215" s="64" t="str">
        <x:v>V5-Q022</x:v>
      </x:c>
      <x:c r="D215" s="40" t="str">
        <x:v>恒瑞医药</x:v>
      </x:c>
      <x:c r="E215" s="64" t="str">
        <x:v>600276</x:v>
      </x:c>
      <x:c r="F215" s="87" t="n">
        <x:v>46260.75</x:v>
      </x:c>
      <x:c r="G215" s="51" t="str">
        <x:v>创新药商业化费用增长能否被新品销售规模吸收</x:v>
      </x:c>
      <x:c r="H215" s="64" t="str">
        <x:v>DOC-EVT-600276-00225</x:v>
      </x:c>
      <x:c r="I215" s="51" t="str">
        <x:v>恒瑞医药2024年第二次临时股东会法律意见书</x:v>
      </x:c>
      <x:c r="J215" s="87" t="n">
        <x:v>45653</x:v>
      </x:c>
      <x:c r="K215" s="73" t="str">
        <x:v>http://static.cninfo.com.cn/finalpage/2024-12-27/1222155648.PDF</x:v>
      </x:c>
      <x:c r="L215" s="40" t="str">
        <x:v>第1页</x:v>
      </x:c>
      <x:c r="M215" s="51" t="str">
        <x:v>1 www.grandall.com.cn 中国江苏省南京市汉中门大街309 号 B 座 5、7-8 层（210036） 5、7-8F/Block B, 309# Hanzhongmen Street, Nanjing, China Tel: 86-25-89660900 Fax: 86-25-89660966 国浩律师（南京）事务所 关于 江苏恒瑞医药股份有限公司 2024 年第二次临时股东会的 法律意见书 致：江苏恒瑞医药股份有限公司 根据《中华人民共和国公司法》 （以下简称“ 《公司法》 ” ） 、 《中华人民共和国 证券法》 （以下简称“ 《证券法》 ” ） 、 《上市公司股东大会规则》 （以下简称“ 《股东 大会规则》 ” ） 、 《上海证券交易所上市公司自律监管指引第1 号——规范运作》(以 下简称“ 《监管指引第1 号》 ”)及《江苏恒瑞医药股份有限公司章程》 （以下简称 “ 《公司章程》 ” ）的规定，国浩律师（南京）事务所（以下简称“本所” ）接受江 苏恒瑞医药股份有限公司（以下简称“公司” ）的委托，指派张秋子律师、祝静律 师（以下简称“本所律师” ）出席公司2024 年第二次临时股东会（以下简称“本 次股东会”或“本次会议” ） ，对本次股东会的召集和召开程序、出席会议人员的 资格、召集人资格以及会议表决程序和表决结果进行见证并出具法律意见书。 在本法律意见书中，本所律师仅对本次股东会的召集和召开程序、出席会议 人员的资格、召集人资格、会议表决程序和表…</x:v>
      </x:c>
      <x:c r="N215" s="41" t="str">
        <x:v>0-无关</x:v>
      </x:c>
      <x:c r="O215" s="41" t="str">
        <x:v>否</x:v>
      </x:c>
      <x:c r="P215" s="57" t="str">
        <x:v>《恒瑞医药2024年第二次临时股东会法律意见书》主要涉及治理、股权、会议、分红或其他事项，未披露“创新药商业化费用与新品销售放量”相关实质证据。</x:v>
      </x:c>
      <x:c r="Q215" s="41" t="str">
        <x:v>B-CODEX-FIN-01</x:v>
      </x:c>
      <x:c r="R215" s="80" t="inlineStr">
        <x:is>
          <x:t>2026-08-28T03:00:25+08:00</x:t>
        </x:is>
      </x:c>
    </x:row>
    <x:row r="216" ht="72" customHeight="1">
      <x:c r="A216" s="64" t="str">
        <x:v>V5-R-Q022-C04</x:v>
      </x:c>
      <x:c r="B216" s="64" t="str">
        <x:v>V5-E-600276-C04</x:v>
      </x:c>
      <x:c r="C216" s="64" t="str">
        <x:v>V5-Q022</x:v>
      </x:c>
      <x:c r="D216" s="40" t="str">
        <x:v>恒瑞医药</x:v>
      </x:c>
      <x:c r="E216" s="64" t="str">
        <x:v>600276</x:v>
      </x:c>
      <x:c r="F216" s="87" t="n">
        <x:v>46260.75</x:v>
      </x:c>
      <x:c r="G216" s="51" t="str">
        <x:v>创新药商业化费用增长能否被新品销售规模吸收</x:v>
      </x:c>
      <x:c r="H216" s="64" t="str">
        <x:v>DOC-EVT-600276-00690</x:v>
      </x:c>
      <x:c r="I216" s="51" t="str">
        <x:v>H股公告-证券变动月报表</x:v>
      </x:c>
      <x:c r="J216" s="87" t="n">
        <x:v>46239</x:v>
      </x:c>
      <x:c r="K216" s="73" t="str">
        <x:v>http://static.cninfo.com.cn/finalpage/2026-08-05/1225457436.PDF</x:v>
      </x:c>
      <x:c r="L216" s="40" t="str">
        <x:v>第1页</x:v>
      </x:c>
      <x:c r="M216" s="51" t="str">
        <x:v>FF301 ∉  ⊈ಊṉọᄅḸі ٺ୍ᄅರ ⊯Ⅲࢌ ඳ ඳ଀Ẁඳ ರ௹ ୍ᄅರ Чṉọ ٳٺܢܢ⦁ )෮ഈ൧ 䩏 ൞ ⊈ಊսὂ ೂഈ൧  䪌ૼܢ ଢ ૫ᆴЧ ᾵թ    3.#  3.#    㦆ഒ  3.# ᾵թ    3.#  3.#    ٳٺܢܢ⦁ "෮ഈ൧ 䩏 ڎ ⊈ಊսὂ ೂഈ൧  䪌ૼၞ෮ഈ൧Ď ଢ ૫ᆴЧ ᾵թ     3.#  3.#     㦆ഒ  3.# ᾵թ     3.#  3.#     Ч⊺ỡğ 3.#    </x:v>
      </x:c>
      <x:c r="N216" s="41" t="str">
        <x:v>0-无关</x:v>
      </x:c>
      <x:c r="O216" s="41" t="str">
        <x:v>否</x:v>
      </x:c>
      <x:c r="P216" s="57" t="str">
        <x:v>《H股公告-证券变动月报表》主要涉及治理、股权、会议、分红或其他事项，未披露“创新药商业化费用与新品销售放量”相关实质证据。</x:v>
      </x:c>
      <x:c r="Q216" s="41" t="str">
        <x:v>B-CODEX-FIN-01</x:v>
      </x:c>
      <x:c r="R216" s="80" t="inlineStr">
        <x:is>
          <x:t>2026-08-28T03:00:25+08:00</x:t>
        </x:is>
      </x:c>
    </x:row>
    <x:row r="217" ht="72" customHeight="1">
      <x:c r="A217" s="64" t="str">
        <x:v>V5-R-Q022-C08</x:v>
      </x:c>
      <x:c r="B217" s="64" t="str">
        <x:v>V5-E-600276-C08</x:v>
      </x:c>
      <x:c r="C217" s="64" t="str">
        <x:v>V5-Q022</x:v>
      </x:c>
      <x:c r="D217" s="40" t="str">
        <x:v>恒瑞医药</x:v>
      </x:c>
      <x:c r="E217" s="64" t="str">
        <x:v>600276</x:v>
      </x:c>
      <x:c r="F217" s="87" t="n">
        <x:v>46260.75</x:v>
      </x:c>
      <x:c r="G217" s="51" t="str">
        <x:v>创新药商业化费用增长能否被新品销售规模吸收</x:v>
      </x:c>
      <x:c r="H217" s="64" t="str">
        <x:v>DOC-EVT-600276-00386</x:v>
      </x:c>
      <x:c r="I217" s="51" t="str">
        <x:v>H股公告-截至2025年6月30日止六个月之中期业绩公告</x:v>
      </x:c>
      <x:c r="J217" s="87" t="n">
        <x:v>45890</x:v>
      </x:c>
      <x:c r="K217" s="73" t="str">
        <x:v>http://static.cninfo.com.cn/finalpage/2025-08-21/1224527059.PDF</x:v>
      </x:c>
      <x:c r="L217" s="40" t="str">
        <x:v>第12页</x:v>
      </x:c>
      <x:c r="M217" s="51" t="str">
        <x:v>12 ᐼ༟ପ ᐼ༟ପ͟࿚Ї 2024 ϋ12 ˜31ɛ͏࿆ 50,135.6 ϵຬʩᄣ̋ 25.4% Ї࿚ Ї2025 ϋ6˜30ɛ͏࿆ 62,893.5ʿვБഐቱ͟࿚Ї 2024 ϋ12 ˜31ɛ͏࿆ 24,802.5 ϵຬʩᄣ̋ 45.5% Ї࿚Ї2025 ϋ6˜30ɛ͏࿆ 36,094.0 ϵຬʩdʿଋ༟ପ͟࿚Ї 2024 ϋ12 ˜31ɛ͏࿆ 46,090.3 ϵຬʩᄣ̋ 28.1% Ї࿚Ї2025 ϋ6˜30ɛ͏࿆59,029.8͉ʮ̡ HΌଢ f ඎଋᕘ ࿚Ї2025 ϋ6˜30ɛ͏࿆ 4,300.5 ϵຬʩdΝˢᄣ̋ɛ͏࿆ 1,267.7௴อᖹቖ ਯʿ஢̙ϗɝᄣ̋f ඎଋᕘ ࿚Ї2025 ϋ6˜30ɛ͏࿆ 1,084.7 ϵຬʩdΝˢಯˇɛ͏࿆ 438.9ٙ ಯˇf ඎଋᕘ ࿚Ї2025 ϋ6˜30ɛ͏࿆ 8,039.5 జѓಂʫ͉ʮ̡ Hf</x:v>
      </x:c>
      <x:c r="N217" s="41" t="str">
        <x:v>2-间接相关</x:v>
      </x:c>
      <x:c r="O217" s="41" t="str">
        <x:v>是</x:v>
      </x:c>
      <x:c r="P217" s="57" t="str">
        <x:v>中期业绩披露创新药销售及费用变化，能够支持“创新药商业化费用与新品销售放量”的中间环节，但未完整量化最终影响。</x:v>
      </x:c>
      <x:c r="Q217" s="41" t="str">
        <x:v>B-CODEX-FIN-01</x:v>
      </x:c>
      <x:c r="R217" s="80" t="inlineStr">
        <x:is>
          <x:t>2026-08-28T03:00:25+08:00</x:t>
        </x:is>
      </x:c>
    </x:row>
    <x:row r="218" ht="72" customHeight="1">
      <x:c r="A218" s="64" t="str">
        <x:v>V5-R-Q022-C01</x:v>
      </x:c>
      <x:c r="B218" s="64" t="str">
        <x:v>V5-E-600276-C01</x:v>
      </x:c>
      <x:c r="C218" s="64" t="str">
        <x:v>V5-Q022</x:v>
      </x:c>
      <x:c r="D218" s="40" t="str">
        <x:v>恒瑞医药</x:v>
      </x:c>
      <x:c r="E218" s="64" t="str">
        <x:v>600276</x:v>
      </x:c>
      <x:c r="F218" s="87" t="n">
        <x:v>46260.75</x:v>
      </x:c>
      <x:c r="G218" s="51" t="str">
        <x:v>创新药商业化费用增长能否被新品销售规模吸收</x:v>
      </x:c>
      <x:c r="H218" s="64" t="str">
        <x:v>DOC-EVT-600276-00592</x:v>
      </x:c>
      <x:c r="I218" s="51" t="str">
        <x:v>恒瑞医药2025年年度报告</x:v>
      </x:c>
      <x:c r="J218" s="87" t="n">
        <x:v>46107</x:v>
      </x:c>
      <x:c r="K218" s="73" t="str">
        <x:v>http://static.cninfo.com.cn/finalpage/2026-03-26/1225032585.PDF</x:v>
      </x:c>
      <x:c r="L218" s="40" t="str">
        <x:v>第13页</x:v>
      </x:c>
      <x:c r="M218" s="51" t="str">
        <x:v>江苏恒瑞医药股份有限公司2025 年年度报告 13 / 236 过系统化的学术推广，为产品商业化奠定基础。凭借逾五十年的行业积淀与品牌声誉，公司与众 多权威临床专家及医疗卫生机构建立了长期稳定的学术合作关系。公司支持开展研究者发起的研 究，并推进产品上市后真实世界研究，旨在积累临床证据、拓展产品获益人群，并为临床实践提 供进一步依据。公司研发成果持续发表于国际高水平学术期刊，有助于提升专业界对公司差异化 创新产品的认知与认可。此外，公司依据品牌战略，积极参与和组织医学研究资助项目，助力医 学科学发展。 公司在国内主要通过分销模式获得药品销售收入，即通过授权分销商向医院、其他医疗机构 及药店供应产品。该模式有助于公司以经济高效的方式扩大市场覆盖，并保持对分销网络和营销 推广活动的适度管控。 公司依据业务资质、商业信誉、分销覆盖范围、销售实力、历史绩效、行业声誉及合规记录 等多项标准审慎选择分销商。公司定期对分销商进行运营评估与资质审核，确保其已获取相关产 品分销所需的许可、认证及资质。通过持续的绩效评价，公司动态优化合格分销商名单及其授权 销售区域。同时，公司积极监控分销商数量及存货水平，完善产品流向追踪体系，以持续提升供 应链效率与市场渗透率。此外，公司积极推进全球化布局，持续探索创新的国际合作模式，致力 于将更多优质创新药品惠及全球患者。 （三）市场地位 恒瑞医药是一家根植中国、全球领先的创新型制药企业。自 2019 年起，公司连续七年跻身美 国《制药经理人》(Pharm…</x:v>
      </x:c>
      <x:c r="N218" s="41" t="str">
        <x:v>3-直接相关</x:v>
      </x:c>
      <x:c r="O218" s="41" t="str">
        <x:v>是</x:v>
      </x:c>
      <x:c r="P218" s="57" t="str">
        <x:v>年报披露创新药商业化体系、销售推广和新品经营，直接覆盖“创新药商业化费用与新品销售放量”的关键变量，关系路径成立。</x:v>
      </x:c>
      <x:c r="Q218" s="41" t="str">
        <x:v>B-CODEX-FIN-01</x:v>
      </x:c>
      <x:c r="R218" s="80" t="inlineStr">
        <x:is>
          <x:t>2026-08-28T03:00:25+08:00</x:t>
        </x:is>
      </x:c>
    </x:row>
    <x:row r="219" ht="72" customHeight="1">
      <x:c r="A219" s="64" t="str">
        <x:v>V5-R-Q022-C03</x:v>
      </x:c>
      <x:c r="B219" s="64" t="str">
        <x:v>V5-E-600276-C03</x:v>
      </x:c>
      <x:c r="C219" s="64" t="str">
        <x:v>V5-Q022</x:v>
      </x:c>
      <x:c r="D219" s="40" t="str">
        <x:v>恒瑞医药</x:v>
      </x:c>
      <x:c r="E219" s="64" t="str">
        <x:v>600276</x:v>
      </x:c>
      <x:c r="F219" s="87" t="n">
        <x:v>46260.75</x:v>
      </x:c>
      <x:c r="G219" s="51" t="str">
        <x:v>创新药商业化费用增长能否被新品销售规模吸收</x:v>
      </x:c>
      <x:c r="H219" s="64" t="str">
        <x:v>DOC-EVT-600276-00660</x:v>
      </x:c>
      <x:c r="I219" s="51" t="str">
        <x:v>恒瑞医药关于药品上市许可申请获EMA受理的提示性公告</x:v>
      </x:c>
      <x:c r="J219" s="87" t="n">
        <x:v>46196</x:v>
      </x:c>
      <x:c r="K219" s="73" t="str">
        <x:v>http://static.cninfo.com.cn/finalpage/2026-06-23/1225380471.PDF</x:v>
      </x:c>
      <x:c r="L219" s="40" t="str">
        <x:v>第1页</x:v>
      </x:c>
      <x:c r="M219" s="51" t="str">
        <x:v>证券代码：600276 证券简称：恒瑞医药 公告编号：临 2026-087 江苏恒瑞医药股份有限公司 关于药品上市许可申请获EMA 受理的提示性公告 本公司董事会及全体董事保证本公告内容不存在任何虚假记载、误导性陈述 或者重大遗漏，并对其内容的真实性、准确性和完整性承担法律责任。 近日，江苏恒瑞医药股份有限公司（以下简称“公司”）收到了欧洲药品管 理局（European Medicines Agency，以下简称“EMA”）的通知,EMA 正式确认并 受理公司递交的瑞维鲁胺片的上市许可申请，这是公司首个自主研发的创新药向 欧盟递交上市申请。现将相关情况公告如下： 一、药品的基本情况 药品名称：瑞维鲁胺片 剂型：片剂 拟定适应症（或功能主治）：适用于联合雄激素剥夺治疗（ADT），治疗高 瘤负荷的转移性激素敏感性前列腺癌（mHSPC）成年男性患者。 二、药品的临床试验情况 此次申报上市，是基于一项国际多中心、随机、对照Ⅲ期临床试验 SHR-3680- Ⅲ-HSPC 研究（CHART 研究）。该研究旨在评估瑞维鲁胺联合 ADT 对比比卡鲁胺 联合 ADT，用于高瘤负荷转移性激素敏感性前列腺癌（mHSPC）患者的疗效与安全 性。此国际多中心临床研究由复旦大学附属肿瘤医院叶定伟教授担任全球主要研 究者，该研究在中国和欧洲的 72 家研究中心共同开展。研究共纳入 654 例高瘤 负荷 mHSPC 受试者，按 1:1 随机分配至试验组（瑞维鲁胺联合 ADT）和对照组（比 卡鲁胺联合 AD…</x:v>
      </x:c>
      <x:c r="N219" s="41" t="str">
        <x:v>1-弱相关</x:v>
      </x:c>
      <x:c r="O219" s="41" t="str">
        <x:v>否</x:v>
      </x:c>
      <x:c r="P219" s="57" t="str">
        <x:v>《恒瑞医药关于药品上市许可申请获EMA受理的提示性公告》仅提供公司阶段性经营、财务或相邻业务背景，未同时覆盖“创新药商业化费用与新品销售放量”的核心变量，相关性较弱。</x:v>
      </x:c>
      <x:c r="Q219" s="41" t="str">
        <x:v>B-CODEX-FIN-01</x:v>
      </x:c>
      <x:c r="R219" s="80" t="inlineStr">
        <x:is>
          <x:t>2026-08-28T03:00:25+08:00</x:t>
        </x:is>
      </x:c>
    </x:row>
    <x:row r="220" ht="72" customHeight="1">
      <x:c r="A220" s="64" t="str">
        <x:v>V5-R-Q022-C02</x:v>
      </x:c>
      <x:c r="B220" s="64" t="str">
        <x:v>V5-E-600276-C02</x:v>
      </x:c>
      <x:c r="C220" s="64" t="str">
        <x:v>V5-Q022</x:v>
      </x:c>
      <x:c r="D220" s="40" t="str">
        <x:v>恒瑞医药</x:v>
      </x:c>
      <x:c r="E220" s="64" t="str">
        <x:v>600276</x:v>
      </x:c>
      <x:c r="F220" s="87" t="n">
        <x:v>46260.75</x:v>
      </x:c>
      <x:c r="G220" s="51" t="str">
        <x:v>创新药商业化费用增长能否被新品销售规模吸收</x:v>
      </x:c>
      <x:c r="H220" s="64" t="str">
        <x:v>DOC-EVT-600276-00449</x:v>
      </x:c>
      <x:c r="I220" s="51" t="str">
        <x:v>恒瑞医药2025年第三季度报告</x:v>
      </x:c>
      <x:c r="J220" s="87" t="n">
        <x:v>45958</x:v>
      </x:c>
      <x:c r="K220" s="73" t="str">
        <x:v>http://static.cninfo.com.cn/finalpage/2025-10-28/1224743064.PDF</x:v>
      </x:c>
      <x:c r="L220" s="40" t="str">
        <x:v>第7页</x:v>
      </x:c>
      <x:c r="M220" s="51" t="str">
        <x:v>江苏恒瑞医药股份有限公司 2025 年第三季度报告 7 / 9 信用减值损失（损失以“-”号填列） -20,416,268.78 -14,287,748.84 资产减值损失（损失以“-”号填列） -13,599,294.17 9,250,184.59 资产处置收益（损失以“-”号填列） 2,453,471.77 2,149,624.80 三、营业利润（亏损以“-”号填列） 6,624,512,439.11 5,345,290,528.73 加：营业外收入 4,233,083.75 5,790,924.24 减：营业外支出 216,737,728.13 264,341,297.74 四、利润总额（亏损总额以“-”号填列） 6,412,007,794.73 5,086,740,155.23 减：所得税费用 651,772,642.71 470,409,977.77 五、净利润（净亏损以“-”号填列） 5,760,235,152.02 4,616,330,177.46 （一）按经营持续性分类 1.持续经营净利润（净亏损以“-”号填列） 5,760,235,152.02 4,616,330,177.46 2.终止经营净利润（净亏损以“-”号填列） — — （二）按所有权归属分类 1.归属于母公司股东的净利润（净亏损以 “-”号填列） 5,751,169,537.65 4,619,575,874.29 2.少数股东损益（净亏损以“-”号填列） 9,065,614.37 -3,245,…</x:v>
      </x:c>
      <x:c r="N220" s="41" t="str">
        <x:v>2-间接相关</x:v>
      </x:c>
      <x:c r="O220" s="41" t="str">
        <x:v>是</x:v>
      </x:c>
      <x:c r="P220" s="57" t="str">
        <x:v>三季报披露收入、费用和利润表现，能够支持“创新药商业化费用与新品销售放量”的中间环节，但未完整量化最终影响。</x:v>
      </x:c>
      <x:c r="Q220" s="41" t="str">
        <x:v>B-CODEX-FIN-01</x:v>
      </x:c>
      <x:c r="R220" s="80" t="inlineStr">
        <x:is>
          <x:t>2026-08-28T03:00:25+08:00</x:t>
        </x:is>
      </x:c>
    </x:row>
    <x:row r="221" ht="72" customHeight="1">
      <x:c r="A221" s="64" t="str">
        <x:v>V5-R-Q022-C10</x:v>
      </x:c>
      <x:c r="B221" s="64" t="str">
        <x:v>V5-E-600276-C10</x:v>
      </x:c>
      <x:c r="C221" s="64" t="str">
        <x:v>V5-Q022</x:v>
      </x:c>
      <x:c r="D221" s="40" t="str">
        <x:v>恒瑞医药</x:v>
      </x:c>
      <x:c r="E221" s="64" t="str">
        <x:v>600276</x:v>
      </x:c>
      <x:c r="F221" s="87" t="n">
        <x:v>46260.75</x:v>
      </x:c>
      <x:c r="G221" s="51" t="str">
        <x:v>创新药商业化费用增长能否被新品销售规模吸收</x:v>
      </x:c>
      <x:c r="H221" s="64" t="str">
        <x:v>DOC-EVT-600276-00691</x:v>
      </x:c>
      <x:c r="I221" s="51" t="str">
        <x:v>恒瑞医药关于获得药品注册批准的公告</x:v>
      </x:c>
      <x:c r="J221" s="87" t="n">
        <x:v>46241</x:v>
      </x:c>
      <x:c r="K221" s="73" t="str">
        <x:v>http://static.cninfo.com.cn/finalpage/2026-08-07/1225462416.PDF</x:v>
      </x:c>
      <x:c r="L221" s="40" t="str">
        <x:v>第1页</x:v>
      </x:c>
      <x:c r="M221" s="51" t="str">
        <x:v>证券代码：600276 证券简称：恒瑞医药 公告编号：临 2026-115 江苏恒瑞医药股份有限公司 关于获得药品注册批准的公告 本公司董事会及全体董事保证本公告内容不存在任何虚假记载、误导性陈述 或者重大遗漏，并对其内容的真实性、准确性和完整性承担法律责任。 近日，江苏恒瑞医药股份有限公司（以下简称“公司”）收到国家药品监督 管理局（以下简称“国家药监局”）的通知，批准公司自主研发的 1 类创新药硫 酸艾玛昔替尼片（SHR0302 片）新增第五项适应症。现将相关情况公告如下： 一、药品的基本情况 药品名称：硫酸艾玛昔替尼片 剂型：片剂 规格：4mg 注册分类：化学药品 2.4 类 受理号：CXHS2500141 处方药/非处方药：处方药 批准的适应症：本品适用于对非甾体抗炎药(NSAID)应答不佳或不耐受且存 在客观炎症征象（表现为 C 反应蛋白[CRP]升高和/或磁共振成像[MRI]异常）的 活动性放射学阴性中轴型脊柱关节炎成人患者。 二、药品的已获批适应症情况 硫酸艾玛昔替尼片此前已在国内获批上市四个适应症，分别为：1.用于对一 种或多种 TNF 抑制剂疗效不佳或不耐受的活动性强直性脊柱炎成人患者。2.用于 对一种或多种 TNF 抑制剂疗效不佳或不耐受的中重度活动性类风湿关节炎成人 患者。3.用于对局部外用治疗或其他系统性治疗应答不充分或不耐受的中重度特 应性皮炎成人患者。4.用于成人重度斑秃患者。 本次新适应症获批后，该产品已实现中轴型脊柱关节炎全疾病谱的口服靶向…</x:v>
      </x:c>
      <x:c r="N221" s="41" t="str">
        <x:v>2-间接相关</x:v>
      </x:c>
      <x:c r="O221" s="41" t="str">
        <x:v>是</x:v>
      </x:c>
      <x:c r="P221" s="57" t="str">
        <x:v>新适应症获批扩大已上市创新药的商业化空间，能够支持“创新药商业化费用与新品销售放量”的中间环节，但未完整量化最终影响。</x:v>
      </x:c>
      <x:c r="Q221" s="41" t="str">
        <x:v>B-CODEX-FIN-01</x:v>
      </x:c>
      <x:c r="R221" s="80" t="inlineStr">
        <x:is>
          <x:t>2026-08-28T03:00:25+08:00</x:t>
        </x:is>
      </x:c>
    </x:row>
    <x:row r="222" ht="72" customHeight="1">
      <x:c r="A222" s="64" t="str">
        <x:v>V5-R-Q023-C10</x:v>
      </x:c>
      <x:c r="B222" s="64" t="str">
        <x:v>V5-E-600276-C10</x:v>
      </x:c>
      <x:c r="C222" s="64" t="str">
        <x:v>V5-Q023</x:v>
      </x:c>
      <x:c r="D222" s="40" t="str">
        <x:v>恒瑞医药</x:v>
      </x:c>
      <x:c r="E222" s="64" t="str">
        <x:v>600276</x:v>
      </x:c>
      <x:c r="F222" s="87" t="n">
        <x:v>46260.75</x:v>
      </x:c>
      <x:c r="G222" s="51" t="str">
        <x:v>核心临床管线集中度是否放大研发失败风险</x:v>
      </x:c>
      <x:c r="H222" s="64" t="str">
        <x:v>DOC-EVT-600276-00691</x:v>
      </x:c>
      <x:c r="I222" s="51" t="str">
        <x:v>恒瑞医药关于获得药品注册批准的公告</x:v>
      </x:c>
      <x:c r="J222" s="87" t="n">
        <x:v>46241</x:v>
      </x:c>
      <x:c r="K222" s="73" t="str">
        <x:v>http://static.cninfo.com.cn/finalpage/2026-08-07/1225462416.PDF</x:v>
      </x:c>
      <x:c r="L222" s="40" t="str">
        <x:v>第1页</x:v>
      </x:c>
      <x:c r="M222" s="51" t="str">
        <x:v>证券代码：600276 证券简称：恒瑞医药 公告编号：临 2026-115 江苏恒瑞医药股份有限公司 关于获得药品注册批准的公告 本公司董事会及全体董事保证本公告内容不存在任何虚假记载、误导性陈述 或者重大遗漏，并对其内容的真实性、准确性和完整性承担法律责任。 近日，江苏恒瑞医药股份有限公司（以下简称“公司”）收到国家药品监督 管理局（以下简称“国家药监局”）的通知，批准公司自主研发的 1 类创新药硫 酸艾玛昔替尼片（SHR0302 片）新增第五项适应症。现将相关情况公告如下： 一、药品的基本情况 药品名称：硫酸艾玛昔替尼片 剂型：片剂 规格：4mg 注册分类：化学药品 2.4 类 受理号：CXHS2500141 处方药/非处方药：处方药 批准的适应症：本品适用于对非甾体抗炎药(NSAID)应答不佳或不耐受且存 在客观炎症征象（表现为 C 反应蛋白[CRP]升高和/或磁共振成像[MRI]异常）的 活动性放射学阴性中轴型脊柱关节炎成人患者。 二、药品的已获批适应症情况 硫酸艾玛昔替尼片此前已在国内获批上市四个适应症，分别为：1.用于对一 种或多种 TNF 抑制剂疗效不佳或不耐受的活动性强直性脊柱炎成人患者。2.用于 对一种或多种 TNF 抑制剂疗效不佳或不耐受的中重度活动性类风湿关节炎成人 患者。3.用于对局部外用治疗或其他系统性治疗应答不充分或不耐受的中重度特 应性皮炎成人患者。4.用于成人重度斑秃患者。 本次新适应症获批后，该产品已实现中轴型脊柱关节炎全疾病谱的口服靶向…</x:v>
      </x:c>
      <x:c r="N222" s="41" t="str">
        <x:v>2-间接相关</x:v>
      </x:c>
      <x:c r="O222" s="41" t="str">
        <x:v>是</x:v>
      </x:c>
      <x:c r="P222" s="57" t="str">
        <x:v>注册批准公告披露核心品种新增适应症及研发投入，能够支持“临床管线集中度及研发失败风险”的中间环节，但未完整量化最终影响。</x:v>
      </x:c>
      <x:c r="Q222" s="41" t="str">
        <x:v>B-CODEX-FIN-01</x:v>
      </x:c>
      <x:c r="R222" s="80" t="inlineStr">
        <x:is>
          <x:t>2026-08-28T03:00:25+08:00</x:t>
        </x:is>
      </x:c>
    </x:row>
    <x:row r="223" ht="72" customHeight="1">
      <x:c r="A223" s="64" t="str">
        <x:v>V5-R-Q023-C07</x:v>
      </x:c>
      <x:c r="B223" s="64" t="str">
        <x:v>V5-E-600276-C07</x:v>
      </x:c>
      <x:c r="C223" s="64" t="str">
        <x:v>V5-Q023</x:v>
      </x:c>
      <x:c r="D223" s="40" t="str">
        <x:v>恒瑞医药</x:v>
      </x:c>
      <x:c r="E223" s="64" t="str">
        <x:v>600276</x:v>
      </x:c>
      <x:c r="F223" s="87" t="n">
        <x:v>46260.75</x:v>
      </x:c>
      <x:c r="G223" s="51" t="str">
        <x:v>核心临床管线集中度是否放大研发失败风险</x:v>
      </x:c>
      <x:c r="H223" s="64" t="str">
        <x:v>DOC-EVT-600276-00644</x:v>
      </x:c>
      <x:c r="I223" s="51" t="str">
        <x:v>恒瑞医药关于召开2026年第一季度业绩说明会的公告</x:v>
      </x:c>
      <x:c r="J223" s="87" t="n">
        <x:v>46170</x:v>
      </x:c>
      <x:c r="K223" s="73" t="str">
        <x:v>http://static.cninfo.com.cn/finalpage/2026-05-28/1225332924.PDF</x:v>
      </x:c>
      <x:c r="L223" s="40" t="str">
        <x:v>第1页</x:v>
      </x:c>
      <x:c r="M223" s="51" t="str">
        <x:v>证券代码：600276 证券简称：恒瑞医药 公告编号：临 2026-079 江苏恒瑞医药股份有限公司 关于召开2026 年第一季度业绩说明会的公告 本公司董事会及全体董事保证本公告内容不存在任何虚假记载、误导性陈述 或者重大遗漏，并对其内容的真实性、准确性和完整性承担法律责任。 重要内容提示  会议内容：恒瑞医药 2026 年第一季度业绩说明会  会议时间：2026 年 6 月 3 日（星期三）下午 14:00-15:00  会 议 召 开 地 点 ： 上 海 证 券 交 易 所 上 证 路 演 中 心 （ 网 址 ： https://roadshow.sseinfo.com/）  会议形式：上证路演中心网络互动 问题征集方式：投资者可于 2026 年 6 月 2 日(星期二)16:00 前登录上证路演中 心网站首页点击“提问预征集”栏目或通过公司邮箱ir@hengrui.com进行提问。 公司将在说明会上对投资者普遍关注的问题进行回答。 江苏恒瑞医药股份有限公司（以下简称“公司”）已于2026 年 4 月 23 日发 布公司 2026 年第一季度报告，为便于广大投资者更全面深入地了解公司2026 年 第一季度经营成果、财务状况，公司计划于 2026 年 6 月 3 日下午 14:00-15:00 举行 2026 年第一季度业绩说明会，就投资者关心的问题进行交流。 一、说明会类型 本次投资者说明会以网络互动形式召开，公司将针对 2026 年第一季度的经 营成果及财务…</x:v>
      </x:c>
      <x:c r="N223" s="41" t="str">
        <x:v>0-无关</x:v>
      </x:c>
      <x:c r="O223" s="41" t="str">
        <x:v>否</x:v>
      </x:c>
      <x:c r="P223" s="57" t="str">
        <x:v>《恒瑞医药关于召开2026年第一季度业绩说明会的公告》主要涉及治理、股权、会议、分红或其他事项，未披露“临床管线集中度及研发失败风险”相关实质证据。</x:v>
      </x:c>
      <x:c r="Q223" s="41" t="str">
        <x:v>B-CODEX-FIN-01</x:v>
      </x:c>
      <x:c r="R223" s="80" t="inlineStr">
        <x:is>
          <x:t>2026-08-28T03:00:25+08:00</x:t>
        </x:is>
      </x:c>
    </x:row>
    <x:row r="224" ht="72" customHeight="1">
      <x:c r="A224" s="64" t="str">
        <x:v>V5-R-Q023-C02</x:v>
      </x:c>
      <x:c r="B224" s="64" t="str">
        <x:v>V5-E-600276-C02</x:v>
      </x:c>
      <x:c r="C224" s="64" t="str">
        <x:v>V5-Q023</x:v>
      </x:c>
      <x:c r="D224" s="40" t="str">
        <x:v>恒瑞医药</x:v>
      </x:c>
      <x:c r="E224" s="64" t="str">
        <x:v>600276</x:v>
      </x:c>
      <x:c r="F224" s="87" t="n">
        <x:v>46260.75</x:v>
      </x:c>
      <x:c r="G224" s="51" t="str">
        <x:v>核心临床管线集中度是否放大研发失败风险</x:v>
      </x:c>
      <x:c r="H224" s="64" t="str">
        <x:v>DOC-EVT-600276-00449</x:v>
      </x:c>
      <x:c r="I224" s="51" t="str">
        <x:v>恒瑞医药2025年第三季度报告</x:v>
      </x:c>
      <x:c r="J224" s="87" t="n">
        <x:v>45958</x:v>
      </x:c>
      <x:c r="K224" s="73" t="str">
        <x:v>http://static.cninfo.com.cn/finalpage/2025-10-28/1224743064.PDF</x:v>
      </x:c>
      <x:c r="L224" s="40" t="str">
        <x:v>第1页</x:v>
      </x:c>
      <x:c r="M224" s="51" t="str">
        <x:v>江苏恒瑞医药股份有限公司 2025 年第三季度报告 1 / 9 证券代码：600276 证券简称：恒瑞医药 江苏恒瑞医药股份有限公司 2025 年第三季度报告 本公司董事会及全体董事保证本公告内容不存在任何虚假记载、误导性陈述或者 重大遗漏，并对其内容的真实性、准确性和完整性承担法律责任。 重要内容提示： 公司董事会、监事会及董事、监事、高级管理人员保证季度报告内容的真实、准确、完整，不存 在虚假记载、误导性陈述或重大遗漏，并承担个别和连带的法律责任。 公司负责人、主管会计工作负责人及会计机构负责人（会计主管人员）保证季度报告中财务信息 的真实、准确、完整。 第三季度财务报表是否经审计 □是 √否 一、主要财务数据 （一） 主要会计数据和财务指标 单位：元 币种：人民币 项目 本报告期 本报告期 比上年同 期增减变 动幅度(%) 年初至报告期末 年初至报 告期末比 上年同期 增减变动 幅度(%) 营业收入 7,426,888,299.87 12.72 23,188,081,928.77 14.85 利润总额 1,361,073,585.78 1.94 6,412,007,794.73 26.05 归属于上市公司股东的净利润 1,301,063,153.19 9.53 5,751,169,537.65 24.50 归属于上市公司股东的扣除非经 常性损益的净利润 1,316,501,209.75 16.89 5,589,349,747.69 21.08 经营活动产生的现金流量净…</x:v>
      </x:c>
      <x:c r="N224" s="41" t="str">
        <x:v>1-弱相关</x:v>
      </x:c>
      <x:c r="O224" s="41" t="str">
        <x:v>否</x:v>
      </x:c>
      <x:c r="P224" s="57" t="str">
        <x:v>《恒瑞医药2025年第三季度报告》仅提供公司阶段性经营、财务或相邻业务背景，未同时覆盖“临床管线集中度及研发失败风险”的核心变量，相关性较弱。</x:v>
      </x:c>
      <x:c r="Q224" s="41" t="str">
        <x:v>B-CODEX-FIN-01</x:v>
      </x:c>
      <x:c r="R224" s="80" t="inlineStr">
        <x:is>
          <x:t>2026-08-28T03:00:25+08:00</x:t>
        </x:is>
      </x:c>
    </x:row>
    <x:row r="225" ht="72" customHeight="1">
      <x:c r="A225" s="64" t="str">
        <x:v>V5-R-Q023-C08</x:v>
      </x:c>
      <x:c r="B225" s="64" t="str">
        <x:v>V5-E-600276-C08</x:v>
      </x:c>
      <x:c r="C225" s="64" t="str">
        <x:v>V5-Q023</x:v>
      </x:c>
      <x:c r="D225" s="40" t="str">
        <x:v>恒瑞医药</x:v>
      </x:c>
      <x:c r="E225" s="64" t="str">
        <x:v>600276</x:v>
      </x:c>
      <x:c r="F225" s="87" t="n">
        <x:v>46260.75</x:v>
      </x:c>
      <x:c r="G225" s="51" t="str">
        <x:v>核心临床管线集中度是否放大研发失败风险</x:v>
      </x:c>
      <x:c r="H225" s="64" t="str">
        <x:v>DOC-EVT-600276-00386</x:v>
      </x:c>
      <x:c r="I225" s="51" t="str">
        <x:v>H股公告-截至2025年6月30日止六个月之中期业绩公告</x:v>
      </x:c>
      <x:c r="J225" s="87" t="n">
        <x:v>45890</x:v>
      </x:c>
      <x:c r="K225" s="73" t="str">
        <x:v>http://static.cninfo.com.cn/finalpage/2025-08-21/1224527059.PDF</x:v>
      </x:c>
      <x:c r="L225" s="40" t="str">
        <x:v>第12页</x:v>
      </x:c>
      <x:c r="M225" s="51" t="str">
        <x:v>12 ᐼ༟ପ ᐼ༟ପ͟࿚Ї 2024 ϋ12 ˜31ɛ͏࿆ 50,135.6 ϵຬʩᄣ̋ 25.4% Ї࿚ Ї2025 ϋ6˜30ɛ͏࿆ 62,893.5ʿვБഐቱ͟࿚Ї 2024 ϋ12 ˜31ɛ͏࿆ 24,802.5 ϵຬʩᄣ̋ 45.5% Ї࿚Ї2025 ϋ6˜30ɛ͏࿆ 36,094.0 ϵຬʩdʿଋ༟ପ͟࿚Ї 2024 ϋ12 ˜31ɛ͏࿆ 46,090.3 ϵຬʩᄣ̋ 28.1% Ї࿚Ї2025 ϋ6˜30ɛ͏࿆59,029.8͉ʮ̡ HΌଢ f ඎଋᕘ ࿚Ї2025 ϋ6˜30ɛ͏࿆ 4,300.5 ϵຬʩdΝˢᄣ̋ɛ͏࿆ 1,267.7௴อᖹቖ ਯʿ஢̙ϗɝᄣ̋f ඎଋᕘ ࿚Ї2025 ϋ6˜30ɛ͏࿆ 1,084.7 ϵຬʩdΝˢಯˇɛ͏࿆ 438.9ٙ ಯˇf ඎଋᕘ ࿚Ї2025 ϋ6˜30ɛ͏࿆ 8,039.5 జѓಂʫ͉ʮ̡ Hf</x:v>
      </x:c>
      <x:c r="N225" s="41" t="str">
        <x:v>2-间接相关</x:v>
      </x:c>
      <x:c r="O225" s="41" t="str">
        <x:v>是</x:v>
      </x:c>
      <x:c r="P225" s="57" t="str">
        <x:v>中期业绩覆盖研发管线及阶段性成果，能够支持“临床管线集中度及研发失败风险”的中间环节，但未完整量化最终影响。</x:v>
      </x:c>
      <x:c r="Q225" s="41" t="str">
        <x:v>B-CODEX-FIN-01</x:v>
      </x:c>
      <x:c r="R225" s="80" t="inlineStr">
        <x:is>
          <x:t>2026-08-28T03:00:25+08:00</x:t>
        </x:is>
      </x:c>
    </x:row>
    <x:row r="226" ht="72" customHeight="1">
      <x:c r="A226" s="64" t="str">
        <x:v>V5-R-Q023-C01</x:v>
      </x:c>
      <x:c r="B226" s="64" t="str">
        <x:v>V5-E-600276-C01</x:v>
      </x:c>
      <x:c r="C226" s="64" t="str">
        <x:v>V5-Q023</x:v>
      </x:c>
      <x:c r="D226" s="40" t="str">
        <x:v>恒瑞医药</x:v>
      </x:c>
      <x:c r="E226" s="64" t="str">
        <x:v>600276</x:v>
      </x:c>
      <x:c r="F226" s="87" t="n">
        <x:v>46260.75</x:v>
      </x:c>
      <x:c r="G226" s="51" t="str">
        <x:v>核心临床管线集中度是否放大研发失败风险</x:v>
      </x:c>
      <x:c r="H226" s="64" t="str">
        <x:v>DOC-EVT-600276-00592</x:v>
      </x:c>
      <x:c r="I226" s="51" t="str">
        <x:v>恒瑞医药2025年年度报告</x:v>
      </x:c>
      <x:c r="J226" s="87" t="n">
        <x:v>46107</x:v>
      </x:c>
      <x:c r="K226" s="73" t="str">
        <x:v>http://static.cninfo.com.cn/finalpage/2026-03-26/1225032585.PDF</x:v>
      </x:c>
      <x:c r="L226" s="40" t="str">
        <x:v>第18页</x:v>
      </x:c>
      <x:c r="M226" s="51" t="str">
        <x:v>江苏恒瑞医药股份有限公司2025 年年度报告 18 / 236 和激发药品创新，为产业发展提供透明、稳定、可预期的政策环境，并明确通过多种措施努力缩 短审评审批时限，进一步加快创新药品上市进程。2025 年 3月，全国两会发布《政府工作报告》 明确提出，要培育生物制造等未来产业，优化药品和耗材集采政策，健全药品价格形成机制，制 定创新药目录，支持创新药发展，持续强化对创新药发展的全链条支持。2025 年 7 月，国家医保 局及国家卫健委联合发布《支持创新药高质量发展的若干措施》，从加大研发支持力度、支持进 入基本医保目录和增设商保创新药目录、支持创新药临床应用、提高多元支付能力等方面进一步 完善全链条支持创新药发展举措。2025 年 10 月，《中共中央关于制定国民经济和社会发展第十 五个五年规划的建议》明确了医药行业创新驱动与高质量发展的战略方向，提出前瞻布局未来产 业，重点将生物制造等领域培育为新的经济增长点。地方层面也纷纷出台支持创新药全链条发展 的有利政策。随着各项举措逐步落实，创新有望成为产业升级的核心引擎，为医药行业开启新一 轮增长空间。 药品研发方面，国家药监局针对创新药临床试验数据保护、临床试验审评审批时限优化发布 相关制度文件，支持新药研发。《药品试验数据保护实施办法（试行，征求意见稿）》及其配套 文件明确，对含有新型化学成份等符合条件的上市药品，给予其自行取得且未披露的试验数据最 长不超过 6 年的保护期，以进一步保障创新药的市场回报。同时，针对泛肿瘤药…</x:v>
      </x:c>
      <x:c r="N226" s="41" t="str">
        <x:v>3-直接相关</x:v>
      </x:c>
      <x:c r="O226" s="41" t="str">
        <x:v>是</x:v>
      </x:c>
      <x:c r="P226" s="57" t="str">
        <x:v>年报系统披露临床管线、研发阶段及风险因素，直接覆盖“临床管线集中度及研发失败风险”的关键变量，关系路径成立。</x:v>
      </x:c>
      <x:c r="Q226" s="41" t="str">
        <x:v>B-CODEX-FIN-01</x:v>
      </x:c>
      <x:c r="R226" s="80" t="inlineStr">
        <x:is>
          <x:t>2026-08-28T03:00:25+08:00</x:t>
        </x:is>
      </x:c>
    </x:row>
    <x:row r="227" ht="72" customHeight="1">
      <x:c r="A227" s="64" t="str">
        <x:v>V5-R-Q023-C05</x:v>
      </x:c>
      <x:c r="B227" s="64" t="str">
        <x:v>V5-E-600276-C05</x:v>
      </x:c>
      <x:c r="C227" s="64" t="str">
        <x:v>V5-Q023</x:v>
      </x:c>
      <x:c r="D227" s="40" t="str">
        <x:v>恒瑞医药</x:v>
      </x:c>
      <x:c r="E227" s="64" t="str">
        <x:v>600276</x:v>
      </x:c>
      <x:c r="F227" s="87" t="n">
        <x:v>46260.75</x:v>
      </x:c>
      <x:c r="G227" s="51" t="str">
        <x:v>核心临床管线集中度是否放大研发失败风险</x:v>
      </x:c>
      <x:c r="H227" s="64" t="str">
        <x:v>DOC-EVT-600276-00269</x:v>
      </x:c>
      <x:c r="I227" s="51" t="str">
        <x:v>关于江苏恒瑞医药股份有限公司2024年度非经营性资金占用及其他关联资金往来情况的专项说明</x:v>
      </x:c>
      <x:c r="J227" s="87" t="n">
        <x:v>45747</x:v>
      </x:c>
      <x:c r="K227" s="73" t="str">
        <x:v>http://static.cninfo.com.cn/finalpage/2025-03-31/1222961967.PDF</x:v>
      </x:c>
      <x:c r="L227" s="40" t="str">
        <x:v>第2页</x:v>
      </x:c>
      <x:c r="M227" s="51" t="str">
        <x:v>关于江苏恒瑞医药股份有限公司 2024年度非经营性资金占用及其他关联资金往来情况的专项说明 安永华明（2025）专字第70043287_B02号 江苏恒瑞医药股份有限公司 江苏恒瑞医药股份有限公司董事会： 我们审计了江苏恒瑞医药股份有限公司的2024年度财务报表，包括2024年12月31 日的合并及公司资产负债表，2024年度的合并及公司利润表、股东权益变动表和现金 流量表以及相关财务报表附注，并于 2025年3月28日出具了编号为安永华明（2025） 审字第70043287_B01号的无保留意见审计报告。 按照《上市公司监管指引第8号——上市公司资金往来、对外担保的监管要求》的 要求，江苏恒瑞医药股份有限公司编制了后附的 2024年度非经营性资金占用及其他关 联资金往来情况汇总表（以下简称“汇总表” ） 。 如实编制和对外披露汇总表，并确保其真实性、合法性、完整性是江苏恒瑞医药 股份有限公司的责任。我们对汇总表所载资料与我们审计江苏恒瑞医药股份有限公司 2024年度财务报表时所复核的会计资料和经审计的财务报表的相关内容进行了核对， 在所有重大方面没有发现不一致之处。除了对江苏恒瑞医药股份有限公司 2024年度财 务报表出具审计报告而执行的审计程序外，我 们并未对汇总表所载资料执行额外的审 计程序。 为了更好地理解江苏恒瑞医药股份有限公司2024年度非经营性资金占用及其他关 联资金往来情况，汇总表应当与经审计的财务报表一并阅读。 本专项说明仅供江苏恒瑞医药股份有限公司为20…</x:v>
      </x:c>
      <x:c r="N227" s="41" t="str">
        <x:v>0-无关</x:v>
      </x:c>
      <x:c r="O227" s="41" t="str">
        <x:v>否</x:v>
      </x:c>
      <x:c r="P227" s="57" t="str">
        <x:v>《关于江苏恒瑞医药股份有限公司2024年度非经营性资金占用及其他关联资金往来情况的专项说明》主要涉及治理、股权、会议、分红或其他事项，未披露“临床管线集中度及研发失败风险”相关实质证据。</x:v>
      </x:c>
      <x:c r="Q227" s="41" t="str">
        <x:v>B-CODEX-FIN-01</x:v>
      </x:c>
      <x:c r="R227" s="80" t="inlineStr">
        <x:is>
          <x:t>2026-08-28T03:00:25+08:00</x:t>
        </x:is>
      </x:c>
    </x:row>
    <x:row r="228" ht="72" customHeight="1">
      <x:c r="A228" s="64" t="str">
        <x:v>V5-R-Q023-C04</x:v>
      </x:c>
      <x:c r="B228" s="64" t="str">
        <x:v>V5-E-600276-C04</x:v>
      </x:c>
      <x:c r="C228" s="64" t="str">
        <x:v>V5-Q023</x:v>
      </x:c>
      <x:c r="D228" s="40" t="str">
        <x:v>恒瑞医药</x:v>
      </x:c>
      <x:c r="E228" s="64" t="str">
        <x:v>600276</x:v>
      </x:c>
      <x:c r="F228" s="87" t="n">
        <x:v>46260.75</x:v>
      </x:c>
      <x:c r="G228" s="51" t="str">
        <x:v>核心临床管线集中度是否放大研发失败风险</x:v>
      </x:c>
      <x:c r="H228" s="64" t="str">
        <x:v>DOC-EVT-600276-00690</x:v>
      </x:c>
      <x:c r="I228" s="51" t="str">
        <x:v>H股公告-证券变动月报表</x:v>
      </x:c>
      <x:c r="J228" s="87" t="n">
        <x:v>46239</x:v>
      </x:c>
      <x:c r="K228" s="73" t="str">
        <x:v>http://static.cninfo.com.cn/finalpage/2026-08-05/1225457436.PDF</x:v>
      </x:c>
      <x:c r="L228" s="40" t="str">
        <x:v>第1页</x:v>
      </x:c>
      <x:c r="M228" s="51" t="str">
        <x:v>FF301 ∉  ⊈ಊṉọᄅḸі ٺ୍ᄅರ ⊯Ⅲࢌ ඳ ඳ଀Ẁඳ ರ௹ ୍ᄅರ Чṉọ ٳٺܢܢ⦁ )෮ഈ൧ 䩏 ൞ ⊈ಊսὂ ೂഈ൧  䪌ૼܢ ଢ ૫ᆴЧ ᾵թ    3.#  3.#    㦆ഒ  3.# ᾵թ    3.#  3.#    ٳٺܢܢ⦁ "෮ഈ൧ 䩏 ڎ ⊈ಊսὂ ೂഈ൧  䪌ૼၞ෮ഈ൧Ď ଢ ૫ᆴЧ ᾵թ     3.#  3.#     㦆ഒ  3.# ᾵թ     3.#  3.#     Ч⊺ỡğ 3.#    </x:v>
      </x:c>
      <x:c r="N228" s="41" t="str">
        <x:v>0-无关</x:v>
      </x:c>
      <x:c r="O228" s="41" t="str">
        <x:v>否</x:v>
      </x:c>
      <x:c r="P228" s="57" t="str">
        <x:v>《H股公告-证券变动月报表》主要涉及治理、股权、会议、分红或其他事项，未披露“临床管线集中度及研发失败风险”相关实质证据。</x:v>
      </x:c>
      <x:c r="Q228" s="41" t="str">
        <x:v>B-CODEX-FIN-01</x:v>
      </x:c>
      <x:c r="R228" s="80" t="inlineStr">
        <x:is>
          <x:t>2026-08-28T03:00:25+08:00</x:t>
        </x:is>
      </x:c>
    </x:row>
    <x:row r="229" ht="72" customHeight="1">
      <x:c r="A229" s="64" t="str">
        <x:v>V5-R-Q023-C06</x:v>
      </x:c>
      <x:c r="B229" s="64" t="str">
        <x:v>V5-E-600276-C06</x:v>
      </x:c>
      <x:c r="C229" s="64" t="str">
        <x:v>V5-Q023</x:v>
      </x:c>
      <x:c r="D229" s="40" t="str">
        <x:v>恒瑞医药</x:v>
      </x:c>
      <x:c r="E229" s="64" t="str">
        <x:v>600276</x:v>
      </x:c>
      <x:c r="F229" s="87" t="n">
        <x:v>46260.75</x:v>
      </x:c>
      <x:c r="G229" s="51" t="str">
        <x:v>核心临床管线集中度是否放大研发失败风险</x:v>
      </x:c>
      <x:c r="H229" s="64" t="str">
        <x:v>DOC-EVT-600276-00665</x:v>
      </x:c>
      <x:c r="I229" s="51" t="str">
        <x:v>H股公告-证券变动月报表</x:v>
      </x:c>
      <x:c r="J229" s="87" t="n">
        <x:v>46206</x:v>
      </x:c>
      <x:c r="K229" s="73" t="str">
        <x:v>http://static.cninfo.com.cn/finalpage/2026-07-03/1225405395.PDF</x:v>
      </x:c>
      <x:c r="L229" s="40" t="str">
        <x:v>第7页</x:v>
      </x:c>
      <x:c r="M229" s="51" t="str">
        <x:v>FF301 ∉  ః෰ṉọ ٳٺܢܢ⦁ "෮ഈ൧ 䩏 ڎ ⊈ಊսὂ ೂഈ൧  䪌ૼၞ෮ഈ൧Ď ࡱ ೂℳႨ ὥṄ۬ ứളರ௹ 䩏 Ọն὜๙Ἶರ௹ ೂℳႨ 㦆ഒ  ၘ ܢ Ď &amp; 㦆ഒ  ῠ Ď ࢩ ଢ 䩏 1).ٺܢ߭( ٺܢ)3.#  ୍ᄅರ     2).ٺܢ߭( ٺܢ)3.#  ୍ᄅರ     3).ٺܢ߭( ٺܢ)3.#  ୍ᄅರ     4).ٺܢ߭( ٺܢ)3.#  ୍ᄅರ     5).ٺܢ߭( ٺܢ)3.#  ୍ᄅರ     6).ٺܢ߭( ٺܢ)3.#  ୍ᄅರ     7).ٺܢ߭( ٺܢ)3.#  ୍ᄅರ     Ď &amp;&amp; "ܢ ٺܢ &amp;&amp; "ܢ  ބ"ܢ  ބ"ܢ</x:v>
      </x:c>
      <x:c r="N229" s="41" t="str">
        <x:v>0-无关</x:v>
      </x:c>
      <x:c r="O229" s="41" t="str">
        <x:v>否</x:v>
      </x:c>
      <x:c r="P229" s="57" t="str">
        <x:v>《H股公告-证券变动月报表》主要涉及治理、股权、会议、分红或其他事项，未披露“临床管线集中度及研发失败风险”相关实质证据。</x:v>
      </x:c>
      <x:c r="Q229" s="41" t="str">
        <x:v>B-CODEX-FIN-01</x:v>
      </x:c>
      <x:c r="R229" s="80" t="inlineStr">
        <x:is>
          <x:t>2026-08-28T03:00:25+08:00</x:t>
        </x:is>
      </x:c>
    </x:row>
    <x:row r="230" ht="72" customHeight="1">
      <x:c r="A230" s="64" t="str">
        <x:v>V5-R-Q023-C03</x:v>
      </x:c>
      <x:c r="B230" s="64" t="str">
        <x:v>V5-E-600276-C03</x:v>
      </x:c>
      <x:c r="C230" s="64" t="str">
        <x:v>V5-Q023</x:v>
      </x:c>
      <x:c r="D230" s="40" t="str">
        <x:v>恒瑞医药</x:v>
      </x:c>
      <x:c r="E230" s="64" t="str">
        <x:v>600276</x:v>
      </x:c>
      <x:c r="F230" s="87" t="n">
        <x:v>46260.75</x:v>
      </x:c>
      <x:c r="G230" s="51" t="str">
        <x:v>核心临床管线集中度是否放大研发失败风险</x:v>
      </x:c>
      <x:c r="H230" s="64" t="str">
        <x:v>DOC-EVT-600276-00660</x:v>
      </x:c>
      <x:c r="I230" s="51" t="str">
        <x:v>恒瑞医药关于药品上市许可申请获EMA受理的提示性公告</x:v>
      </x:c>
      <x:c r="J230" s="87" t="n">
        <x:v>46196</x:v>
      </x:c>
      <x:c r="K230" s="73" t="str">
        <x:v>http://static.cninfo.com.cn/finalpage/2026-06-23/1225380471.PDF</x:v>
      </x:c>
      <x:c r="L230" s="40" t="str">
        <x:v>第1页</x:v>
      </x:c>
      <x:c r="M230" s="51" t="str">
        <x:v>证券代码：600276 证券简称：恒瑞医药 公告编号：临 2026-087 江苏恒瑞医药股份有限公司 关于药品上市许可申请获EMA 受理的提示性公告 本公司董事会及全体董事保证本公告内容不存在任何虚假记载、误导性陈述 或者重大遗漏，并对其内容的真实性、准确性和完整性承担法律责任。 近日，江苏恒瑞医药股份有限公司（以下简称“公司”）收到了欧洲药品管 理局（European Medicines Agency，以下简称“EMA”）的通知,EMA 正式确认并 受理公司递交的瑞维鲁胺片的上市许可申请，这是公司首个自主研发的创新药向 欧盟递交上市申请。现将相关情况公告如下： 一、药品的基本情况 药品名称：瑞维鲁胺片 剂型：片剂 拟定适应症（或功能主治）：适用于联合雄激素剥夺治疗（ADT），治疗高 瘤负荷的转移性激素敏感性前列腺癌（mHSPC）成年男性患者。 二、药品的临床试验情况 此次申报上市，是基于一项国际多中心、随机、对照Ⅲ期临床试验 SHR-3680- Ⅲ-HSPC 研究（CHART 研究）。该研究旨在评估瑞维鲁胺联合 ADT 对比比卡鲁胺 联合 ADT，用于高瘤负荷转移性激素敏感性前列腺癌（mHSPC）患者的疗效与安全 性。此国际多中心临床研究由复旦大学附属肿瘤医院叶定伟教授担任全球主要研 究者，该研究在中国和欧洲的 72 家研究中心共同开展。研究共纳入 654 例高瘤 负荷 mHSPC 受试者，按 1:1 随机分配至试验组（瑞维鲁胺联合 ADT）和对照组（比 卡鲁胺联合 AD…</x:v>
      </x:c>
      <x:c r="N230" s="41" t="str">
        <x:v>2-间接相关</x:v>
      </x:c>
      <x:c r="O230" s="41" t="str">
        <x:v>是</x:v>
      </x:c>
      <x:c r="P230" s="57" t="str">
        <x:v>EMA受理公告披露单一核心品种的国际三期进展及审批风险，能够支持“临床管线集中度及研发失败风险”的中间环节，但未完整量化最终影响。</x:v>
      </x:c>
      <x:c r="Q230" s="41" t="str">
        <x:v>B-CODEX-FIN-01</x:v>
      </x:c>
      <x:c r="R230" s="80" t="inlineStr">
        <x:is>
          <x:t>2026-08-28T03:00:25+08:00</x:t>
        </x:is>
      </x:c>
    </x:row>
    <x:row r="231" ht="72" customHeight="1">
      <x:c r="A231" s="64" t="str">
        <x:v>V5-R-Q023-C09</x:v>
      </x:c>
      <x:c r="B231" s="64" t="str">
        <x:v>V5-E-600276-C09</x:v>
      </x:c>
      <x:c r="C231" s="64" t="str">
        <x:v>V5-Q023</x:v>
      </x:c>
      <x:c r="D231" s="40" t="str">
        <x:v>恒瑞医药</x:v>
      </x:c>
      <x:c r="E231" s="64" t="str">
        <x:v>600276</x:v>
      </x:c>
      <x:c r="F231" s="87" t="n">
        <x:v>46260.75</x:v>
      </x:c>
      <x:c r="G231" s="51" t="str">
        <x:v>核心临床管线集中度是否放大研发失败风险</x:v>
      </x:c>
      <x:c r="H231" s="64" t="str">
        <x:v>DOC-EVT-600276-00225</x:v>
      </x:c>
      <x:c r="I231" s="51" t="str">
        <x:v>恒瑞医药2024年第二次临时股东会法律意见书</x:v>
      </x:c>
      <x:c r="J231" s="87" t="n">
        <x:v>45653</x:v>
      </x:c>
      <x:c r="K231" s="73" t="str">
        <x:v>http://static.cninfo.com.cn/finalpage/2024-12-27/1222155648.PDF</x:v>
      </x:c>
      <x:c r="L231" s="40" t="str">
        <x:v>第1页</x:v>
      </x:c>
      <x:c r="M231" s="51" t="str">
        <x:v>1 www.grandall.com.cn 中国江苏省南京市汉中门大街309 号 B 座 5、7-8 层（210036） 5、7-8F/Block B, 309# Hanzhongmen Street, Nanjing, China Tel: 86-25-89660900 Fax: 86-25-89660966 国浩律师（南京）事务所 关于 江苏恒瑞医药股份有限公司 2024 年第二次临时股东会的 法律意见书 致：江苏恒瑞医药股份有限公司 根据《中华人民共和国公司法》 （以下简称“ 《公司法》 ” ） 、 《中华人民共和国 证券法》 （以下简称“ 《证券法》 ” ） 、 《上市公司股东大会规则》 （以下简称“ 《股东 大会规则》 ” ） 、 《上海证券交易所上市公司自律监管指引第1 号——规范运作》(以 下简称“ 《监管指引第1 号》 ”)及《江苏恒瑞医药股份有限公司章程》 （以下简称 “ 《公司章程》 ” ）的规定，国浩律师（南京）事务所（以下简称“本所” ）接受江 苏恒瑞医药股份有限公司（以下简称“公司” ）的委托，指派张秋子律师、祝静律 师（以下简称“本所律师” ）出席公司2024 年第二次临时股东会（以下简称“本 次股东会”或“本次会议” ） ，对本次股东会的召集和召开程序、出席会议人员的 资格、召集人资格以及会议表决程序和表决结果进行见证并出具法律意见书。 在本法律意见书中，本所律师仅对本次股东会的召集和召开程序、出席会议 人员的资格、召集人资格、会议表决程序和表…</x:v>
      </x:c>
      <x:c r="N231" s="41" t="str">
        <x:v>0-无关</x:v>
      </x:c>
      <x:c r="O231" s="41" t="str">
        <x:v>否</x:v>
      </x:c>
      <x:c r="P231" s="57" t="str">
        <x:v>《恒瑞医药2024年第二次临时股东会法律意见书》主要涉及治理、股权、会议、分红或其他事项，未披露“临床管线集中度及研发失败风险”相关实质证据。</x:v>
      </x:c>
      <x:c r="Q231" s="41" t="str">
        <x:v>B-CODEX-FIN-01</x:v>
      </x:c>
      <x:c r="R231" s="80" t="inlineStr">
        <x:is>
          <x:t>2026-08-28T03:00:25+08:00</x:t>
        </x:is>
      </x:c>
    </x:row>
    <x:row r="232" ht="72" customHeight="1">
      <x:c r="A232" s="64" t="str">
        <x:v>V5-R-Q024-C07</x:v>
      </x:c>
      <x:c r="B232" s="64" t="str">
        <x:v>V5-E-600276-C07</x:v>
      </x:c>
      <x:c r="C232" s="64" t="str">
        <x:v>V5-Q024</x:v>
      </x:c>
      <x:c r="D232" s="40" t="str">
        <x:v>恒瑞医药</x:v>
      </x:c>
      <x:c r="E232" s="64" t="str">
        <x:v>600276</x:v>
      </x:c>
      <x:c r="F232" s="87" t="n">
        <x:v>46260.75</x:v>
      </x:c>
      <x:c r="G232" s="51" t="str">
        <x:v>应收账款与回款变化是否影响销售增长的现金质量</x:v>
      </x:c>
      <x:c r="H232" s="64" t="str">
        <x:v>DOC-EVT-600276-00644</x:v>
      </x:c>
      <x:c r="I232" s="51" t="str">
        <x:v>恒瑞医药关于召开2026年第一季度业绩说明会的公告</x:v>
      </x:c>
      <x:c r="J232" s="87" t="n">
        <x:v>46170</x:v>
      </x:c>
      <x:c r="K232" s="73" t="str">
        <x:v>http://static.cninfo.com.cn/finalpage/2026-05-28/1225332924.PDF</x:v>
      </x:c>
      <x:c r="L232" s="40" t="str">
        <x:v>第1页</x:v>
      </x:c>
      <x:c r="M232" s="51" t="str">
        <x:v>证券代码：600276 证券简称：恒瑞医药 公告编号：临 2026-079 江苏恒瑞医药股份有限公司 关于召开2026 年第一季度业绩说明会的公告 本公司董事会及全体董事保证本公告内容不存在任何虚假记载、误导性陈述 或者重大遗漏，并对其内容的真实性、准确性和完整性承担法律责任。 重要内容提示  会议内容：恒瑞医药 2026 年第一季度业绩说明会  会议时间：2026 年 6 月 3 日（星期三）下午 14:00-15:00  会 议 召 开 地 点 ： 上 海 证 券 交 易 所 上 证 路 演 中 心 （ 网 址 ： https://roadshow.sseinfo.com/）  会议形式：上证路演中心网络互动 问题征集方式：投资者可于 2026 年 6 月 2 日(星期二)16:00 前登录上证路演中 心网站首页点击“提问预征集”栏目或通过公司邮箱ir@hengrui.com进行提问。 公司将在说明会上对投资者普遍关注的问题进行回答。 江苏恒瑞医药股份有限公司（以下简称“公司”）已于2026 年 4 月 23 日发 布公司 2026 年第一季度报告，为便于广大投资者更全面深入地了解公司2026 年 第一季度经营成果、财务状况，公司计划于 2026 年 6 月 3 日下午 14:00-15:00 举行 2026 年第一季度业绩说明会，就投资者关心的问题进行交流。 一、说明会类型 本次投资者说明会以网络互动形式召开，公司将针对 2026 年第一季度的经 营成果及财务…</x:v>
      </x:c>
      <x:c r="N232" s="41" t="str">
        <x:v>0-无关</x:v>
      </x:c>
      <x:c r="O232" s="41" t="str">
        <x:v>否</x:v>
      </x:c>
      <x:c r="P232" s="57" t="str">
        <x:v>《恒瑞医药关于召开2026年第一季度业绩说明会的公告》主要涉及治理、股权、会议、分红或其他事项，未披露“应收账款、回款及销售现金质量”相关实质证据。</x:v>
      </x:c>
      <x:c r="Q232" s="41" t="str">
        <x:v>B-CODEX-FIN-01</x:v>
      </x:c>
      <x:c r="R232" s="80" t="inlineStr">
        <x:is>
          <x:t>2026-08-28T03:00:25+08:00</x:t>
        </x:is>
      </x:c>
    </x:row>
    <x:row r="233" ht="72" customHeight="1">
      <x:c r="A233" s="64" t="str">
        <x:v>V5-R-Q024-C06</x:v>
      </x:c>
      <x:c r="B233" s="64" t="str">
        <x:v>V5-E-600276-C06</x:v>
      </x:c>
      <x:c r="C233" s="64" t="str">
        <x:v>V5-Q024</x:v>
      </x:c>
      <x:c r="D233" s="40" t="str">
        <x:v>恒瑞医药</x:v>
      </x:c>
      <x:c r="E233" s="64" t="str">
        <x:v>600276</x:v>
      </x:c>
      <x:c r="F233" s="87" t="n">
        <x:v>46260.75</x:v>
      </x:c>
      <x:c r="G233" s="51" t="str">
        <x:v>应收账款与回款变化是否影响销售增长的现金质量</x:v>
      </x:c>
      <x:c r="H233" s="64" t="str">
        <x:v>DOC-EVT-600276-00665</x:v>
      </x:c>
      <x:c r="I233" s="51" t="str">
        <x:v>H股公告-证券变动月报表</x:v>
      </x:c>
      <x:c r="J233" s="87" t="n">
        <x:v>46206</x:v>
      </x:c>
      <x:c r="K233" s="73" t="str">
        <x:v>http://static.cninfo.com.cn/finalpage/2026-07-03/1225405395.PDF</x:v>
      </x:c>
      <x:c r="L233" s="40" t="str">
        <x:v>第7页</x:v>
      </x:c>
      <x:c r="M233" s="51" t="str">
        <x:v>FF301 ∉  ః෰ṉọ ٳٺܢܢ⦁ "෮ഈ൧ 䩏 ڎ ⊈ಊսὂ ೂഈ൧  䪌ૼၞ෮ഈ൧Ď ࡱ ೂℳႨ ὥṄ۬ ứളರ௹ 䩏 Ọն὜๙Ἶರ௹ ೂℳႨ 㦆ഒ  ၘ ܢ Ď &amp; 㦆ഒ  ῠ Ď ࢩ ଢ 䩏 1).ٺܢ߭( ٺܢ)3.#  ୍ᄅರ     2).ٺܢ߭( ٺܢ)3.#  ୍ᄅರ     3).ٺܢ߭( ٺܢ)3.#  ୍ᄅರ     4).ٺܢ߭( ٺܢ)3.#  ୍ᄅರ     5).ٺܢ߭( ٺܢ)3.#  ୍ᄅರ     6).ٺܢ߭( ٺܢ)3.#  ୍ᄅರ     7).ٺܢ߭( ٺܢ)3.#  ୍ᄅರ     Ď &amp;&amp; "ܢ ٺܢ &amp;&amp; "ܢ  ބ"ܢ  ބ"ܢ</x:v>
      </x:c>
      <x:c r="N233" s="41" t="str">
        <x:v>0-无关</x:v>
      </x:c>
      <x:c r="O233" s="41" t="str">
        <x:v>否</x:v>
      </x:c>
      <x:c r="P233" s="57" t="str">
        <x:v>《H股公告-证券变动月报表》主要涉及治理、股权、会议、分红或其他事项，未披露“应收账款、回款及销售现金质量”相关实质证据。</x:v>
      </x:c>
      <x:c r="Q233" s="41" t="str">
        <x:v>B-CODEX-FIN-01</x:v>
      </x:c>
      <x:c r="R233" s="80" t="inlineStr">
        <x:is>
          <x:t>2026-08-28T03:00:25+08:00</x:t>
        </x:is>
      </x:c>
    </x:row>
    <x:row r="234" ht="72" customHeight="1">
      <x:c r="A234" s="64" t="str">
        <x:v>V5-R-Q024-C03</x:v>
      </x:c>
      <x:c r="B234" s="64" t="str">
        <x:v>V5-E-600276-C03</x:v>
      </x:c>
      <x:c r="C234" s="64" t="str">
        <x:v>V5-Q024</x:v>
      </x:c>
      <x:c r="D234" s="40" t="str">
        <x:v>恒瑞医药</x:v>
      </x:c>
      <x:c r="E234" s="64" t="str">
        <x:v>600276</x:v>
      </x:c>
      <x:c r="F234" s="87" t="n">
        <x:v>46260.75</x:v>
      </x:c>
      <x:c r="G234" s="51" t="str">
        <x:v>应收账款与回款变化是否影响销售增长的现金质量</x:v>
      </x:c>
      <x:c r="H234" s="64" t="str">
        <x:v>DOC-EVT-600276-00660</x:v>
      </x:c>
      <x:c r="I234" s="51" t="str">
        <x:v>恒瑞医药关于药品上市许可申请获EMA受理的提示性公告</x:v>
      </x:c>
      <x:c r="J234" s="87" t="n">
        <x:v>46196</x:v>
      </x:c>
      <x:c r="K234" s="73" t="str">
        <x:v>http://static.cninfo.com.cn/finalpage/2026-06-23/1225380471.PDF</x:v>
      </x:c>
      <x:c r="L234" s="40" t="str">
        <x:v>第1页</x:v>
      </x:c>
      <x:c r="M234" s="51" t="str">
        <x:v>证券代码：600276 证券简称：恒瑞医药 公告编号：临 2026-087 江苏恒瑞医药股份有限公司 关于药品上市许可申请获EMA 受理的提示性公告 本公司董事会及全体董事保证本公告内容不存在任何虚假记载、误导性陈述 或者重大遗漏，并对其内容的真实性、准确性和完整性承担法律责任。 近日，江苏恒瑞医药股份有限公司（以下简称“公司”）收到了欧洲药品管 理局（European Medicines Agency，以下简称“EMA”）的通知,EMA 正式确认并 受理公司递交的瑞维鲁胺片的上市许可申请，这是公司首个自主研发的创新药向 欧盟递交上市申请。现将相关情况公告如下： 一、药品的基本情况 药品名称：瑞维鲁胺片 剂型：片剂 拟定适应症（或功能主治）：适用于联合雄激素剥夺治疗（ADT），治疗高 瘤负荷的转移性激素敏感性前列腺癌（mHSPC）成年男性患者。 二、药品的临床试验情况 此次申报上市，是基于一项国际多中心、随机、对照Ⅲ期临床试验 SHR-3680- Ⅲ-HSPC 研究（CHART 研究）。该研究旨在评估瑞维鲁胺联合 ADT 对比比卡鲁胺 联合 ADT，用于高瘤负荷转移性激素敏感性前列腺癌（mHSPC）患者的疗效与安全 性。此国际多中心临床研究由复旦大学附属肿瘤医院叶定伟教授担任全球主要研 究者，该研究在中国和欧洲的 72 家研究中心共同开展。研究共纳入 654 例高瘤 负荷 mHSPC 受试者，按 1:1 随机分配至试验组（瑞维鲁胺联合 ADT）和对照组（比 卡鲁胺联合 AD…</x:v>
      </x:c>
      <x:c r="N234" s="41" t="str">
        <x:v>0-无关</x:v>
      </x:c>
      <x:c r="O234" s="41" t="str">
        <x:v>否</x:v>
      </x:c>
      <x:c r="P234" s="57" t="str">
        <x:v>《恒瑞医药关于药品上市许可申请获EMA受理的提示性公告》主要涉及治理、股权、会议、分红或其他事项，未披露“应收账款、回款及销售现金质量”相关实质证据。</x:v>
      </x:c>
      <x:c r="Q234" s="41" t="str">
        <x:v>B-CODEX-FIN-01</x:v>
      </x:c>
      <x:c r="R234" s="80" t="inlineStr">
        <x:is>
          <x:t>2026-08-28T03:00:25+08:00</x:t>
        </x:is>
      </x:c>
    </x:row>
    <x:row r="235" ht="72" customHeight="1">
      <x:c r="A235" s="64" t="str">
        <x:v>V5-R-Q024-C05</x:v>
      </x:c>
      <x:c r="B235" s="64" t="str">
        <x:v>V5-E-600276-C05</x:v>
      </x:c>
      <x:c r="C235" s="64" t="str">
        <x:v>V5-Q024</x:v>
      </x:c>
      <x:c r="D235" s="40" t="str">
        <x:v>恒瑞医药</x:v>
      </x:c>
      <x:c r="E235" s="64" t="str">
        <x:v>600276</x:v>
      </x:c>
      <x:c r="F235" s="87" t="n">
        <x:v>46260.75</x:v>
      </x:c>
      <x:c r="G235" s="51" t="str">
        <x:v>应收账款与回款变化是否影响销售增长的现金质量</x:v>
      </x:c>
      <x:c r="H235" s="64" t="str">
        <x:v>DOC-EVT-600276-00269</x:v>
      </x:c>
      <x:c r="I235" s="51" t="str">
        <x:v>关于江苏恒瑞医药股份有限公司2024年度非经营性资金占用及其他关联资金往来情况的专项说明</x:v>
      </x:c>
      <x:c r="J235" s="87" t="n">
        <x:v>45747</x:v>
      </x:c>
      <x:c r="K235" s="73" t="str">
        <x:v>http://static.cninfo.com.cn/finalpage/2025-03-31/1222961967.PDF</x:v>
      </x:c>
      <x:c r="L235" s="40" t="str">
        <x:v>第2页</x:v>
      </x:c>
      <x:c r="M235" s="51" t="str">
        <x:v>关于江苏恒瑞医药股份有限公司 2024年度非经营性资金占用及其他关联资金往来情况的专项说明 安永华明（2025）专字第70043287_B02号 江苏恒瑞医药股份有限公司 江苏恒瑞医药股份有限公司董事会： 我们审计了江苏恒瑞医药股份有限公司的2024年度财务报表，包括2024年12月31 日的合并及公司资产负债表，2024年度的合并及公司利润表、股东权益变动表和现金 流量表以及相关财务报表附注，并于 2025年3月28日出具了编号为安永华明（2025） 审字第70043287_B01号的无保留意见审计报告。 按照《上市公司监管指引第8号——上市公司资金往来、对外担保的监管要求》的 要求，江苏恒瑞医药股份有限公司编制了后附的 2024年度非经营性资金占用及其他关 联资金往来情况汇总表（以下简称“汇总表” ） 。 如实编制和对外披露汇总表，并确保其真实性、合法性、完整性是江苏恒瑞医药 股份有限公司的责任。我们对汇总表所载资料与我们审计江苏恒瑞医药股份有限公司 2024年度财务报表时所复核的会计资料和经审计的财务报表的相关内容进行了核对， 在所有重大方面没有发现不一致之处。除了对江苏恒瑞医药股份有限公司 2024年度财 务报表出具审计报告而执行的审计程序外，我 们并未对汇总表所载资料执行额外的审 计程序。 为了更好地理解江苏恒瑞医药股份有限公司2024年度非经营性资金占用及其他关 联资金往来情况，汇总表应当与经审计的财务报表一并阅读。 本专项说明仅供江苏恒瑞医药股份有限公司为20…</x:v>
      </x:c>
      <x:c r="N235" s="41" t="str">
        <x:v>1-弱相关</x:v>
      </x:c>
      <x:c r="O235" s="41" t="str">
        <x:v>否</x:v>
      </x:c>
      <x:c r="P235" s="57" t="str">
        <x:v>《关于江苏恒瑞医药股份有限公司2024年度非经营性资金占用及其他关联资金往来情况的专项说明》仅提供公司阶段性经营、财务或相邻业务背景，未同时覆盖“应收账款、回款及销售现金质量”的核心变量，相关性较弱。</x:v>
      </x:c>
      <x:c r="Q235" s="41" t="str">
        <x:v>B-CODEX-FIN-01</x:v>
      </x:c>
      <x:c r="R235" s="80" t="inlineStr">
        <x:is>
          <x:t>2026-08-28T03:00:25+08:00</x:t>
        </x:is>
      </x:c>
    </x:row>
    <x:row r="236" ht="72" customHeight="1">
      <x:c r="A236" s="64" t="str">
        <x:v>V5-R-Q024-C01</x:v>
      </x:c>
      <x:c r="B236" s="64" t="str">
        <x:v>V5-E-600276-C01</x:v>
      </x:c>
      <x:c r="C236" s="64" t="str">
        <x:v>V5-Q024</x:v>
      </x:c>
      <x:c r="D236" s="40" t="str">
        <x:v>恒瑞医药</x:v>
      </x:c>
      <x:c r="E236" s="64" t="str">
        <x:v>600276</x:v>
      </x:c>
      <x:c r="F236" s="87" t="n">
        <x:v>46260.75</x:v>
      </x:c>
      <x:c r="G236" s="51" t="str">
        <x:v>应收账款与回款变化是否影响销售增长的现金质量</x:v>
      </x:c>
      <x:c r="H236" s="64" t="str">
        <x:v>DOC-EVT-600276-00592</x:v>
      </x:c>
      <x:c r="I236" s="51" t="str">
        <x:v>恒瑞医药2025年年度报告</x:v>
      </x:c>
      <x:c r="J236" s="87" t="n">
        <x:v>46107</x:v>
      </x:c>
      <x:c r="K236" s="73" t="str">
        <x:v>http://static.cninfo.com.cn/finalpage/2026-03-26/1225032585.PDF</x:v>
      </x:c>
      <x:c r="L236" s="40" t="str">
        <x:v>第227页</x:v>
      </x:c>
      <x:c r="M236" s="51" t="str">
        <x:v>江苏恒瑞医药股份有限公司2025 年年度报告 227 / 236 2、 重要债务重组 □适用 √不适用 3、 资产置换 (1).非货币性资产交换 □适用 √不适用 (2).其他资产置换 □适用 √不适用 4、 年金计划 □适用 √不适用 5、 终止经营 □适用 √不适用 6、 分部信息 (1).报告分部的确定依据与会计政策 □适用 √不适用 (2).报告分部的财务信息 □适用 √不适用 (3).公司无报告分部的，或者不能披露各报告分部的资产总额和负债总额的，应说明原因 □适用 √不适用 (4).其他说明 □适用 √不适用 7、 其他对投资者决策有影响的重要交易和事项 □适用 √不适用 8、 其他 □适用 √不适用 十九、 母公司财务报表主要项目注释 1、 应收账款 (1).按账龄披露 √适用 □不适用 单位：元 币种：人民币 账龄 期末账面余额 期初账面余额 1年以内（含 1年） 4,379,939,502.15 3,508,462,540.60 3个月以内 4,315,828,876.78 3,372,144,480.66 3个月至 6个月 56,863,419.32 65,719,785.91 6个月至 1年 7,247,206.05 70,598,274.03 1至 2年 130,684.45 87,338,412.02 2至 3年 - 161,056,831.42 3年以上 31,916,392.80 726,797.55 合计 4,411,986,579.40 3…</x:v>
      </x:c>
      <x:c r="N236" s="41" t="str">
        <x:v>2-间接相关</x:v>
      </x:c>
      <x:c r="O236" s="41" t="str">
        <x:v>是</x:v>
      </x:c>
      <x:c r="P236" s="57" t="str">
        <x:v>年报包含应收账款、信用减值和经营现金流数据，能够支持“应收账款、回款及销售现金质量”的中间环节，但未完整量化最终影响。</x:v>
      </x:c>
      <x:c r="Q236" s="41" t="str">
        <x:v>B-CODEX-FIN-01</x:v>
      </x:c>
      <x:c r="R236" s="80" t="inlineStr">
        <x:is>
          <x:t>2026-08-28T03:00:25+08:00</x:t>
        </x:is>
      </x:c>
    </x:row>
    <x:row r="237" ht="72" customHeight="1">
      <x:c r="A237" s="64" t="str">
        <x:v>V5-R-Q024-C10</x:v>
      </x:c>
      <x:c r="B237" s="64" t="str">
        <x:v>V5-E-600276-C10</x:v>
      </x:c>
      <x:c r="C237" s="64" t="str">
        <x:v>V5-Q024</x:v>
      </x:c>
      <x:c r="D237" s="40" t="str">
        <x:v>恒瑞医药</x:v>
      </x:c>
      <x:c r="E237" s="64" t="str">
        <x:v>600276</x:v>
      </x:c>
      <x:c r="F237" s="87" t="n">
        <x:v>46260.75</x:v>
      </x:c>
      <x:c r="G237" s="51" t="str">
        <x:v>应收账款与回款变化是否影响销售增长的现金质量</x:v>
      </x:c>
      <x:c r="H237" s="64" t="str">
        <x:v>DOC-EVT-600276-00691</x:v>
      </x:c>
      <x:c r="I237" s="51" t="str">
        <x:v>恒瑞医药关于获得药品注册批准的公告</x:v>
      </x:c>
      <x:c r="J237" s="87" t="n">
        <x:v>46241</x:v>
      </x:c>
      <x:c r="K237" s="73" t="str">
        <x:v>http://static.cninfo.com.cn/finalpage/2026-08-07/1225462416.PDF</x:v>
      </x:c>
      <x:c r="L237" s="40" t="str">
        <x:v>第1页</x:v>
      </x:c>
      <x:c r="M237" s="51" t="str">
        <x:v>证券代码：600276 证券简称：恒瑞医药 公告编号：临 2026-115 江苏恒瑞医药股份有限公司 关于获得药品注册批准的公告 本公司董事会及全体董事保证本公告内容不存在任何虚假记载、误导性陈述 或者重大遗漏，并对其内容的真实性、准确性和完整性承担法律责任。 近日，江苏恒瑞医药股份有限公司（以下简称“公司”）收到国家药品监督 管理局（以下简称“国家药监局”）的通知，批准公司自主研发的 1 类创新药硫 酸艾玛昔替尼片（SHR0302 片）新增第五项适应症。现将相关情况公告如下： 一、药品的基本情况 药品名称：硫酸艾玛昔替尼片 剂型：片剂 规格：4mg 注册分类：化学药品 2.4 类 受理号：CXHS2500141 处方药/非处方药：处方药 批准的适应症：本品适用于对非甾体抗炎药(NSAID)应答不佳或不耐受且存 在客观炎症征象（表现为 C 反应蛋白[CRP]升高和/或磁共振成像[MRI]异常）的 活动性放射学阴性中轴型脊柱关节炎成人患者。 二、药品的已获批适应症情况 硫酸艾玛昔替尼片此前已在国内获批上市四个适应症，分别为：1.用于对一 种或多种 TNF 抑制剂疗效不佳或不耐受的活动性强直性脊柱炎成人患者。2.用于 对一种或多种 TNF 抑制剂疗效不佳或不耐受的中重度活动性类风湿关节炎成人 患者。3.用于对局部外用治疗或其他系统性治疗应答不充分或不耐受的中重度特 应性皮炎成人患者。4.用于成人重度斑秃患者。 本次新适应症获批后，该产品已实现中轴型脊柱关节炎全疾病谱的口服靶向…</x:v>
      </x:c>
      <x:c r="N237" s="41" t="str">
        <x:v>0-无关</x:v>
      </x:c>
      <x:c r="O237" s="41" t="str">
        <x:v>否</x:v>
      </x:c>
      <x:c r="P237" s="57" t="str">
        <x:v>《恒瑞医药关于获得药品注册批准的公告》主要涉及治理、股权、会议、分红或其他事项，未披露“应收账款、回款及销售现金质量”相关实质证据。</x:v>
      </x:c>
      <x:c r="Q237" s="41" t="str">
        <x:v>B-CODEX-FIN-01</x:v>
      </x:c>
      <x:c r="R237" s="80" t="inlineStr">
        <x:is>
          <x:t>2026-08-28T03:00:25+08:00</x:t>
        </x:is>
      </x:c>
    </x:row>
    <x:row r="238" ht="72" customHeight="1">
      <x:c r="A238" s="64" t="str">
        <x:v>V5-R-Q024-C04</x:v>
      </x:c>
      <x:c r="B238" s="64" t="str">
        <x:v>V5-E-600276-C04</x:v>
      </x:c>
      <x:c r="C238" s="64" t="str">
        <x:v>V5-Q024</x:v>
      </x:c>
      <x:c r="D238" s="40" t="str">
        <x:v>恒瑞医药</x:v>
      </x:c>
      <x:c r="E238" s="64" t="str">
        <x:v>600276</x:v>
      </x:c>
      <x:c r="F238" s="87" t="n">
        <x:v>46260.75</x:v>
      </x:c>
      <x:c r="G238" s="51" t="str">
        <x:v>应收账款与回款变化是否影响销售增长的现金质量</x:v>
      </x:c>
      <x:c r="H238" s="64" t="str">
        <x:v>DOC-EVT-600276-00690</x:v>
      </x:c>
      <x:c r="I238" s="51" t="str">
        <x:v>H股公告-证券变动月报表</x:v>
      </x:c>
      <x:c r="J238" s="87" t="n">
        <x:v>46239</x:v>
      </x:c>
      <x:c r="K238" s="73" t="str">
        <x:v>http://static.cninfo.com.cn/finalpage/2026-08-05/1225457436.PDF</x:v>
      </x:c>
      <x:c r="L238" s="40" t="str">
        <x:v>第1页</x:v>
      </x:c>
      <x:c r="M238" s="51" t="str">
        <x:v>FF301 ∉  ⊈ಊṉọᄅḸі ٺ୍ᄅರ ⊯Ⅲࢌ ඳ ඳ଀Ẁඳ ರ௹ ୍ᄅರ Чṉọ ٳٺܢܢ⦁ )෮ഈ൧ 䩏 ൞ ⊈ಊսὂ ೂഈ൧  䪌ૼܢ ଢ ૫ᆴЧ ᾵թ    3.#  3.#    㦆ഒ  3.# ᾵թ    3.#  3.#    ٳٺܢܢ⦁ "෮ഈ൧ 䩏 ڎ ⊈ಊսὂ ೂഈ൧  䪌ૼၞ෮ഈ൧Ď ଢ ૫ᆴЧ ᾵թ     3.#  3.#     㦆ഒ  3.# ᾵թ     3.#  3.#     Ч⊺ỡğ 3.#    </x:v>
      </x:c>
      <x:c r="N238" s="41" t="str">
        <x:v>0-无关</x:v>
      </x:c>
      <x:c r="O238" s="41" t="str">
        <x:v>否</x:v>
      </x:c>
      <x:c r="P238" s="57" t="str">
        <x:v>《H股公告-证券变动月报表》主要涉及治理、股权、会议、分红或其他事项，未披露“应收账款、回款及销售现金质量”相关实质证据。</x:v>
      </x:c>
      <x:c r="Q238" s="41" t="str">
        <x:v>B-CODEX-FIN-01</x:v>
      </x:c>
      <x:c r="R238" s="80" t="inlineStr">
        <x:is>
          <x:t>2026-08-28T03:00:25+08:00</x:t>
        </x:is>
      </x:c>
    </x:row>
    <x:row r="239" ht="72" customHeight="1">
      <x:c r="A239" s="64" t="str">
        <x:v>V5-R-Q024-C09</x:v>
      </x:c>
      <x:c r="B239" s="64" t="str">
        <x:v>V5-E-600276-C09</x:v>
      </x:c>
      <x:c r="C239" s="64" t="str">
        <x:v>V5-Q024</x:v>
      </x:c>
      <x:c r="D239" s="40" t="str">
        <x:v>恒瑞医药</x:v>
      </x:c>
      <x:c r="E239" s="64" t="str">
        <x:v>600276</x:v>
      </x:c>
      <x:c r="F239" s="87" t="n">
        <x:v>46260.75</x:v>
      </x:c>
      <x:c r="G239" s="51" t="str">
        <x:v>应收账款与回款变化是否影响销售增长的现金质量</x:v>
      </x:c>
      <x:c r="H239" s="64" t="str">
        <x:v>DOC-EVT-600276-00225</x:v>
      </x:c>
      <x:c r="I239" s="51" t="str">
        <x:v>恒瑞医药2024年第二次临时股东会法律意见书</x:v>
      </x:c>
      <x:c r="J239" s="87" t="n">
        <x:v>45653</x:v>
      </x:c>
      <x:c r="K239" s="73" t="str">
        <x:v>http://static.cninfo.com.cn/finalpage/2024-12-27/1222155648.PDF</x:v>
      </x:c>
      <x:c r="L239" s="40" t="str">
        <x:v>第1页</x:v>
      </x:c>
      <x:c r="M239" s="51" t="str">
        <x:v>1 www.grandall.com.cn 中国江苏省南京市汉中门大街309 号 B 座 5、7-8 层（210036） 5、7-8F/Block B, 309# Hanzhongmen Street, Nanjing, China Tel: 86-25-89660900 Fax: 86-25-89660966 国浩律师（南京）事务所 关于 江苏恒瑞医药股份有限公司 2024 年第二次临时股东会的 法律意见书 致：江苏恒瑞医药股份有限公司 根据《中华人民共和国公司法》 （以下简称“ 《公司法》 ” ） 、 《中华人民共和国 证券法》 （以下简称“ 《证券法》 ” ） 、 《上市公司股东大会规则》 （以下简称“ 《股东 大会规则》 ” ） 、 《上海证券交易所上市公司自律监管指引第1 号——规范运作》(以 下简称“ 《监管指引第1 号》 ”)及《江苏恒瑞医药股份有限公司章程》 （以下简称 “ 《公司章程》 ” ）的规定，国浩律师（南京）事务所（以下简称“本所” ）接受江 苏恒瑞医药股份有限公司（以下简称“公司” ）的委托，指派张秋子律师、祝静律 师（以下简称“本所律师” ）出席公司2024 年第二次临时股东会（以下简称“本 次股东会”或“本次会议” ） ，对本次股东会的召集和召开程序、出席会议人员的 资格、召集人资格以及会议表决程序和表决结果进行见证并出具法律意见书。 在本法律意见书中，本所律师仅对本次股东会的召集和召开程序、出席会议 人员的资格、召集人资格、会议表决程序和表…</x:v>
      </x:c>
      <x:c r="N239" s="41" t="str">
        <x:v>0-无关</x:v>
      </x:c>
      <x:c r="O239" s="41" t="str">
        <x:v>否</x:v>
      </x:c>
      <x:c r="P239" s="57" t="str">
        <x:v>《恒瑞医药2024年第二次临时股东会法律意见书》主要涉及治理、股权、会议、分红或其他事项，未披露“应收账款、回款及销售现金质量”相关实质证据。</x:v>
      </x:c>
      <x:c r="Q239" s="41" t="str">
        <x:v>B-CODEX-FIN-01</x:v>
      </x:c>
      <x:c r="R239" s="80" t="inlineStr">
        <x:is>
          <x:t>2026-08-28T03:00:25+08:00</x:t>
        </x:is>
      </x:c>
    </x:row>
    <x:row r="240" ht="72" customHeight="1">
      <x:c r="A240" s="64" t="str">
        <x:v>V5-R-Q024-C02</x:v>
      </x:c>
      <x:c r="B240" s="64" t="str">
        <x:v>V5-E-600276-C02</x:v>
      </x:c>
      <x:c r="C240" s="64" t="str">
        <x:v>V5-Q024</x:v>
      </x:c>
      <x:c r="D240" s="40" t="str">
        <x:v>恒瑞医药</x:v>
      </x:c>
      <x:c r="E240" s="64" t="str">
        <x:v>600276</x:v>
      </x:c>
      <x:c r="F240" s="87" t="n">
        <x:v>46260.75</x:v>
      </x:c>
      <x:c r="G240" s="51" t="str">
        <x:v>应收账款与回款变化是否影响销售增长的现金质量</x:v>
      </x:c>
      <x:c r="H240" s="64" t="str">
        <x:v>DOC-EVT-600276-00449</x:v>
      </x:c>
      <x:c r="I240" s="51" t="str">
        <x:v>恒瑞医药2025年第三季度报告</x:v>
      </x:c>
      <x:c r="J240" s="87" t="n">
        <x:v>45958</x:v>
      </x:c>
      <x:c r="K240" s="73" t="str">
        <x:v>http://static.cninfo.com.cn/finalpage/2025-10-28/1224743064.PDF</x:v>
      </x:c>
      <x:c r="L240" s="40" t="str">
        <x:v>第5页</x:v>
      </x:c>
      <x:c r="M240" s="51" t="str">
        <x:v>江苏恒瑞医药股份有限公司 2025 年第三季度报告 5 / 9 四、季度财务报表 （一）审计意见类型 □适用 √不适用 （二）财务报表 合并资产负债表 2025 年 9 月 30 日 编制单位：江苏恒瑞医药股份有限公司 单位：元 币种：人民币 审计类型：未经审计 项目 2025 年 9 月 30 日 2024 年 12 月 31 日 流动资产： 货币资金 40,364,073,830.44 24,815,905,657.75 交易性金融资产 111,451,738.49 273,344,684.37 应收票据 119,926,761.39 149,872,397.37 应收账款 5,095,387,377.48 4,914,872,611.28 应收款项融资 1,006,795,080.85 1,094,724,979.82 预付款项 1,434,115,084.05 1,147,239,443.44 其他应收款 41,500,309.05 66,413,247.50 存货 2,740,688,248.38 2,417,118,478.12 其他流动资产 485,599,435.38 435,435,740.94 流动资产合计 51,399,537,865.51 35,314,927,240.59 非流动资产： 长期股权投资 610,854,242.82 666,353,806.05 其他非流动金融资产 1,171,708,744.84 1,065,410,856.58 固…</x:v>
      </x:c>
      <x:c r="N240" s="41" t="str">
        <x:v>3-直接相关</x:v>
      </x:c>
      <x:c r="O240" s="41" t="str">
        <x:v>是</x:v>
      </x:c>
      <x:c r="P240" s="57" t="str">
        <x:v>三季报直接披露应收账款、销售回款和经营现金流，直接覆盖“应收账款、回款及销售现金质量”的关键变量，关系路径成立。</x:v>
      </x:c>
      <x:c r="Q240" s="41" t="str">
        <x:v>B-CODEX-FIN-01</x:v>
      </x:c>
      <x:c r="R240" s="80" t="inlineStr">
        <x:is>
          <x:t>2026-08-28T03:00:25+08:00</x:t>
        </x:is>
      </x:c>
    </x:row>
    <x:row r="241" ht="72" customHeight="1">
      <x:c r="A241" s="64" t="str">
        <x:v>V5-R-Q024-C08</x:v>
      </x:c>
      <x:c r="B241" s="64" t="str">
        <x:v>V5-E-600276-C08</x:v>
      </x:c>
      <x:c r="C241" s="64" t="str">
        <x:v>V5-Q024</x:v>
      </x:c>
      <x:c r="D241" s="40" t="str">
        <x:v>恒瑞医药</x:v>
      </x:c>
      <x:c r="E241" s="64" t="str">
        <x:v>600276</x:v>
      </x:c>
      <x:c r="F241" s="87" t="n">
        <x:v>46260.75</x:v>
      </x:c>
      <x:c r="G241" s="51" t="str">
        <x:v>应收账款与回款变化是否影响销售增长的现金质量</x:v>
      </x:c>
      <x:c r="H241" s="64" t="str">
        <x:v>DOC-EVT-600276-00386</x:v>
      </x:c>
      <x:c r="I241" s="51" t="str">
        <x:v>H股公告-截至2025年6月30日止六个月之中期业绩公告</x:v>
      </x:c>
      <x:c r="J241" s="87" t="n">
        <x:v>45890</x:v>
      </x:c>
      <x:c r="K241" s="73" t="str">
        <x:v>http://static.cninfo.com.cn/finalpage/2025-08-21/1224527059.PDF</x:v>
      </x:c>
      <x:c r="L241" s="40" t="str">
        <x:v>第12页</x:v>
      </x:c>
      <x:c r="M241" s="51" t="str">
        <x:v>12 ᐼ༟ପ ᐼ༟ପ͟࿚Ї 2024 ϋ12 ˜31ɛ͏࿆ 50,135.6 ϵຬʩᄣ̋ 25.4% Ї࿚ Ї2025 ϋ6˜30ɛ͏࿆ 62,893.5ʿვБഐቱ͟࿚Ї 2024 ϋ12 ˜31ɛ͏࿆ 24,802.5 ϵຬʩᄣ̋ 45.5% Ї࿚Ї2025 ϋ6˜30ɛ͏࿆ 36,094.0 ϵຬʩdʿଋ༟ପ͟࿚Ї 2024 ϋ12 ˜31ɛ͏࿆ 46,090.3 ϵຬʩᄣ̋ 28.1% Ї࿚Ї2025 ϋ6˜30ɛ͏࿆59,029.8͉ʮ̡ HΌଢ f ඎଋᕘ ࿚Ї2025 ϋ6˜30ɛ͏࿆ 4,300.5 ϵຬʩdΝˢᄣ̋ɛ͏࿆ 1,267.7௴อᖹቖ ਯʿ஢̙ϗɝᄣ̋f ඎଋᕘ ࿚Ї2025 ϋ6˜30ɛ͏࿆ 1,084.7 ϵຬʩdΝˢಯˇɛ͏࿆ 438.9ٙ ಯˇf ඎଋᕘ ࿚Ї2025 ϋ6˜30ɛ͏࿆ 8,039.5 జѓಂʫ͉ʮ̡ Hf</x:v>
      </x:c>
      <x:c r="N241" s="41" t="str">
        <x:v>2-间接相关</x:v>
      </x:c>
      <x:c r="O241" s="41" t="str">
        <x:v>是</x:v>
      </x:c>
      <x:c r="P241" s="57" t="str">
        <x:v>中期业绩披露应收与现金流变化，能够支持“应收账款、回款及销售现金质量”的中间环节，但未完整量化最终影响。</x:v>
      </x:c>
      <x:c r="Q241" s="41" t="str">
        <x:v>B-CODEX-FIN-01</x:v>
      </x:c>
      <x:c r="R241" s="80" t="inlineStr">
        <x:is>
          <x:t>2026-08-28T03:00:25+08:00</x:t>
        </x:is>
      </x:c>
    </x:row>
    <x:row r="242" ht="72" customHeight="1">
      <x:c r="A242" s="64" t="str">
        <x:v>V5-R-Q025-C04</x:v>
      </x:c>
      <x:c r="B242" s="64" t="str">
        <x:v>V5-E-603259-C04</x:v>
      </x:c>
      <x:c r="C242" s="64" t="str">
        <x:v>V5-Q025</x:v>
      </x:c>
      <x:c r="D242" s="40" t="str">
        <x:v>药明康德</x:v>
      </x:c>
      <x:c r="E242" s="64" t="str">
        <x:v>603259</x:v>
      </x:c>
      <x:c r="F242" s="87" t="n">
        <x:v>46260.75</x:v>
      </x:c>
      <x:c r="G242" s="51" t="str">
        <x:v>D&amp;M业务新分子项目能否成为订单增长的主要来源</x:v>
      </x:c>
      <x:c r="H242" s="64" t="str">
        <x:v>DOC-EVT-603259-00398</x:v>
      </x:c>
      <x:c r="I242" s="51" t="str">
        <x:v>无锡药明康德新药开发股份有限公司信息披露管理制度（2025年修订）</x:v>
      </x:c>
      <x:c r="J242" s="87" t="n">
        <x:v>45903</x:v>
      </x:c>
      <x:c r="K242" s="73" t="str">
        <x:v>http://static.cninfo.com.cn/finalpage/2025-09-03/1224634473.PDF</x:v>
      </x:c>
      <x:c r="L242" s="40" t="str">
        <x:v>第2页</x:v>
      </x:c>
      <x:c r="M242" s="51" t="str">
        <x:v>1 无锡药明康德新药开发股份有限公司 信息披露管理制度 第一章 总则 第一条 为规范无锡药明康德新药开发股份有限公司 （以下简称“本公司”或 “公司”）的信息披露行为，加强信息披露事务管理，保护投资者合法权益，根 据《中华人民共和国公司法》、《中华人民共和国证券法》、《上市公司信息 披露管理办法》、 《上海证券交易所股票上市规则》 （以下简称“《上交所上市 规则》”）、《上海证券交易所上市公司自律监管指引第2号——信息披露事务 管理》、 《香港联合交易所有限公司证券上市规则》 （以下简称“《香港上市规 则》”） 、 香港证券及期货事务监察委员会 （以下简称“香港证监会”） 发布的 《证 券及期货条例》和《内幕消息披露指引》等相关法律、法规、规范性文件、公 司股票上市地证券交易所的上市规则和 《无锡药明康德新药开发股份有限公司 章程》（以下简称“《公司章程》”）的有关规定，特制定本制度。 第二条 信息披露义务人应当及时依法履行信息披露义务， 披露的信息应当 真实、准确、完整，简明清晰、通俗易懂，不得有虚假记载、误导性陈述或重 大遗漏。信息披露义务人应当同时向所有投资者公开披露信息，不得提前向任 何单位和个人泄露。但是，法律、行政法规另有规定的除外。 公司应当按照公司股票上市地证券交易所有关披露指引的规定， 主动披露 对投资者决策有重大影响的行业经营性信息。行业经营性信息，指与上市公司 业务相关的行业信息和经营性信息。 第三条 公司证券同时在境内境外公开发行、交易，信息披露义务…</x:v>
      </x:c>
      <x:c r="N242" s="41" t="str">
        <x:v>0-无关</x:v>
      </x:c>
      <x:c r="O242" s="41" t="str">
        <x:v>否</x:v>
      </x:c>
      <x:c r="P242" s="57" t="str">
        <x:v>《无锡药明康德新药开发股份有限公司信息披露管理制度（2025年修订）》主要涉及治理、股权、会议、分红或其他事项，未披露“D&amp;M新分子项目、管线扩张与订单增长”相关实质证据。</x:v>
      </x:c>
      <x:c r="Q242" s="41" t="str">
        <x:v>B-CODEX-FIN-01</x:v>
      </x:c>
      <x:c r="R242" s="80" t="inlineStr">
        <x:is>
          <x:t>2026-08-28T03:00:25+08:00</x:t>
        </x:is>
      </x:c>
    </x:row>
    <x:row r="243" ht="72" customHeight="1">
      <x:c r="A243" s="64" t="str">
        <x:v>V5-R-Q025-C08</x:v>
      </x:c>
      <x:c r="B243" s="64" t="str">
        <x:v>V5-E-603259-C08</x:v>
      </x:c>
      <x:c r="C243" s="64" t="str">
        <x:v>V5-Q025</x:v>
      </x:c>
      <x:c r="D243" s="40" t="str">
        <x:v>药明康德</x:v>
      </x:c>
      <x:c r="E243" s="64" t="str">
        <x:v>603259</x:v>
      </x:c>
      <x:c r="F243" s="87" t="n">
        <x:v>46260.75</x:v>
      </x:c>
      <x:c r="G243" s="51" t="str">
        <x:v>D&amp;M业务新分子项目能否成为订单增长的主要来源</x:v>
      </x:c>
      <x:c r="H243" s="64" t="str">
        <x:v>DOC-EVT-603259-00468</x:v>
      </x:c>
      <x:c r="I243" s="51" t="str">
        <x:v>关于召开2025年度业绩说明会的公告</x:v>
      </x:c>
      <x:c r="J243" s="87" t="n">
        <x:v>46114</x:v>
      </x:c>
      <x:c r="K243" s="73" t="str">
        <x:v>http://static.cninfo.com.cn/finalpage/2026-04-02/1225070294.PDF</x:v>
      </x:c>
      <x:c r="L243" s="40" t="str">
        <x:v>第1页</x:v>
      </x:c>
      <x:c r="M243" s="51" t="str">
        <x:v>证券代码：603259 证券简称：药明康德 公告编号：临 2026-016 无锡药明康德新药开发股份有限公司 关于召开2025 年度业绩说明会的公告 本公司董事会及全体董事保证本公告内容不存在任何虚假记载、误导性陈述 或者重大遗漏，并对其内容的真实性、准确性和完整性承担法律责任。 重要内容提示：  会议召开时间：2026 年 4 月 13 日（星期一）上午 10:00-11:00  会议召开地点：上海证券交易所上证路演中心（http://roadshow.sseinfo.com/）  会议召开方式：上证路演中心视频直播和网络互动  投资者可于 2026 年 4 月 3 日（星期五）至 2026 年 4 月 10 日（星期五）16:00 前登录上证路演中心网站首页，点击“提问预征集”栏目或将相关问题通过 电子邮件的形式发送至本公司投资者关系邮箱：ir@wuxiapptec.com。本公司 将于 2025 年度业绩说明会（以下简称“业绩说明会”）上对投资者普遍关注 的问题进行回答。 无锡药明康德新药开发股份有限公司（以下简称“本公司”）已于 2026 年 3 月 24 日在上海证券交易所网站（www.sse.com.cn）及指定媒体披露《无锡药明 康德新药开发股份有限公司 2025 年年度报告》。为了便于广大投资者更全面深入 地了解本公司 2025 年度业绩和经营情况，本公司拟于 2026 年 4 月 13 日（星期 一）上午 10:00-11:00 召开业绩说明会，就…</x:v>
      </x:c>
      <x:c r="N243" s="41" t="str">
        <x:v>0-无关</x:v>
      </x:c>
      <x:c r="O243" s="41" t="str">
        <x:v>否</x:v>
      </x:c>
      <x:c r="P243" s="57" t="str">
        <x:v>《关于召开2025年度业绩说明会的公告》主要涉及治理、股权、会议、分红或其他事项，未披露“D&amp;M新分子项目、管线扩张与订单增长”相关实质证据。</x:v>
      </x:c>
      <x:c r="Q243" s="41" t="str">
        <x:v>B-CODEX-FIN-01</x:v>
      </x:c>
      <x:c r="R243" s="80" t="inlineStr">
        <x:is>
          <x:t>2026-08-28T03:00:25+08:00</x:t>
        </x:is>
      </x:c>
    </x:row>
    <x:row r="244" ht="72" customHeight="1">
      <x:c r="A244" s="64" t="str">
        <x:v>V5-R-Q025-C10</x:v>
      </x:c>
      <x:c r="B244" s="64" t="str">
        <x:v>V5-E-603259-C10</x:v>
      </x:c>
      <x:c r="C244" s="64" t="str">
        <x:v>V5-Q025</x:v>
      </x:c>
      <x:c r="D244" s="40" t="str">
        <x:v>药明康德</x:v>
      </x:c>
      <x:c r="E244" s="64" t="str">
        <x:v>603259</x:v>
      </x:c>
      <x:c r="F244" s="87" t="n">
        <x:v>46260.75</x:v>
      </x:c>
      <x:c r="G244" s="51" t="str">
        <x:v>D&amp;M业务新分子项目能否成为订单增长的主要来源</x:v>
      </x:c>
      <x:c r="H244" s="64" t="str">
        <x:v>DOC-EVT-603259-00526</x:v>
      </x:c>
      <x:c r="I244" s="51" t="str">
        <x:v>H股公告</x:v>
      </x:c>
      <x:c r="J244" s="87" t="n">
        <x:v>46239</x:v>
      </x:c>
      <x:c r="K244" s="73" t="str">
        <x:v>http://static.cninfo.com.cn/finalpage/2026-08-05/1225457419.PDF</x:v>
      </x:c>
      <x:c r="L244" s="40" t="str">
        <x:v>第1页</x:v>
      </x:c>
      <x:c r="M244" s="51" t="str">
        <x:v>FF301 ∉  ⊈ಊṉọᄅḸі ٺ୍ᄅರ ⊯Ⅲࢌ ඳ ඳ଀Ẁඳ ರ௹ ୍ᄅರ Чṉọ ٳٺܢܢ⦁ )෮ഈ൧ 䩏 ൞ ⊈ಊսὂ ೂഈ൧  䪌ૼ ଢ ૫ᆴЧ ᾵թ    3.#  3.#    㦆ഒ   3.#  ᾵թ    3.#  3.#    ٳٺܢܢ⦁ "෮ഈ൧ 䩏 ڎ ⊈ಊսὂ ೂഈ൧  䪌ૼၞ෮ഈ൧ ଢ ૫ᆴЧ ᾵թ     3.#  3.#     㦆ഒ   3.#  ᾵թ     3.#  3.#     Ч⊺ỡğ 3.#     Ḿ䩏ğ</x:v>
      </x:c>
      <x:c r="N244" s="41" t="str">
        <x:v>0-无关</x:v>
      </x:c>
      <x:c r="O244" s="41" t="str">
        <x:v>否</x:v>
      </x:c>
      <x:c r="P244" s="57" t="str">
        <x:v>《H股公告》主要涉及治理、股权、会议、分红或其他事项，未披露“D&amp;M新分子项目、管线扩张与订单增长”相关实质证据。</x:v>
      </x:c>
      <x:c r="Q244" s="41" t="str">
        <x:v>B-CODEX-FIN-01</x:v>
      </x:c>
      <x:c r="R244" s="80" t="inlineStr">
        <x:is>
          <x:t>2026-08-28T03:00:25+08:00</x:t>
        </x:is>
      </x:c>
    </x:row>
    <x:row r="245" ht="72" customHeight="1">
      <x:c r="A245" s="64" t="str">
        <x:v>V5-R-Q025-C06</x:v>
      </x:c>
      <x:c r="B245" s="64" t="str">
        <x:v>V5-E-603259-C06</x:v>
      </x:c>
      <x:c r="C245" s="64" t="str">
        <x:v>V5-Q025</x:v>
      </x:c>
      <x:c r="D245" s="40" t="str">
        <x:v>药明康德</x:v>
      </x:c>
      <x:c r="E245" s="64" t="str">
        <x:v>603259</x:v>
      </x:c>
      <x:c r="F245" s="87" t="n">
        <x:v>46260.75</x:v>
      </x:c>
      <x:c r="G245" s="51" t="str">
        <x:v>D&amp;M业务新分子项目能否成为订单增长的主要来源</x:v>
      </x:c>
      <x:c r="H245" s="64" t="str">
        <x:v>DOC-EVT-603259-00415</x:v>
      </x:c>
      <x:c r="I245" s="51" t="str">
        <x:v>2025年第三季度报告</x:v>
      </x:c>
      <x:c r="J245" s="87" t="n">
        <x:v>45957</x:v>
      </x:c>
      <x:c r="K245" s="73" t="str">
        <x:v>http://static.cninfo.com.cn/finalpage/2025-10-27/1224737987.PDF</x:v>
      </x:c>
      <x:c r="L245" s="40" t="str">
        <x:v>第7页</x:v>
      </x:c>
      <x:c r="M245" s="51" t="str">
        <x:v>无锡药明康德新药开发股份有限公司 2025 年第三季度报告 7 / 24 - 新分子类型药物发现服务延续良好表现，所贡献收入占生物学业务总收入超 30%。 公司预计 2025 年持续经营业务收入重回双位数增长，增速从 13-17%上调至 17-18%。公司预 计全年整体收入从人民币 425-435 亿元上调至人民币 435-440 亿元。公司将聚焦 CRDMO 核心业 务，持续提高生产经营效率。 上述提及的 2025 年全年经营业绩展望以公司目前在手订单情况为基础预测，并以全球医药行 业发展平稳、国际贸易环境和主要运营所在地国家监管环境稳定等为前提基础，并不代表公司管 理层对 2025 年度全年经营业绩的盈利预测，不构成公司对投资者的实质承诺，能否实现取决于内 外部环境变化等多种因素影响，存在较大的不确定性。 二、股东信息 （一） 普通股股东总数和表决权恢复的优先股股东数量及前十名股东持股情况表 单位：股 报告期末普通股股东总数（注 1） 274,117 报告期末表决权恢复的优先股股 东总数（如有） 0 前 10 名股东持股情况（不含通过转融通出借股份） 股东名称 股东性质 持股数量 持股比 例(%) 持有有 限售条 件股份 数量 质押、标记 或冻结情况 股份 状态 数量 HKSCC NOMINEES LIMITED （注 2） 境外法人 478,124,762 16.1219 0 未知 0 香港中央结算有限公司（注 3） 境外法人 248,930,541 8.3937 0…</x:v>
      </x:c>
      <x:c r="N245" s="41" t="str">
        <x:v>3-直接相关</x:v>
      </x:c>
      <x:c r="O245" s="41" t="str">
        <x:v>是</x:v>
      </x:c>
      <x:c r="P245" s="57" t="str">
        <x:v>三季报披露新分子收入贡献、在手订单基础及增长指引，直接覆盖“D&amp;M新分子项目、管线扩张与订单增长”的关键变量，关系路径成立。</x:v>
      </x:c>
      <x:c r="Q245" s="41" t="str">
        <x:v>B-CODEX-FIN-01</x:v>
      </x:c>
      <x:c r="R245" s="80" t="inlineStr">
        <x:is>
          <x:t>2026-08-28T03:00:25+08:00</x:t>
        </x:is>
      </x:c>
    </x:row>
    <x:row r="246" ht="72" customHeight="1">
      <x:c r="A246" s="64" t="str">
        <x:v>V5-R-Q025-C07</x:v>
      </x:c>
      <x:c r="B246" s="64" t="str">
        <x:v>V5-E-603259-C07</x:v>
      </x:c>
      <x:c r="C246" s="64" t="str">
        <x:v>V5-Q025</x:v>
      </x:c>
      <x:c r="D246" s="40" t="str">
        <x:v>药明康德</x:v>
      </x:c>
      <x:c r="E246" s="64" t="str">
        <x:v>603259</x:v>
      </x:c>
      <x:c r="F246" s="87" t="n">
        <x:v>46260.75</x:v>
      </x:c>
      <x:c r="G246" s="51" t="str">
        <x:v>D&amp;M业务新分子项目能否成为订单增长的主要来源</x:v>
      </x:c>
      <x:c r="H246" s="64" t="str">
        <x:v>DOC-EVT-603259-00115</x:v>
      </x:c>
      <x:c r="I246" s="51" t="str">
        <x:v>2024年第一季度报告</x:v>
      </x:c>
      <x:c r="J246" s="87" t="n">
        <x:v>45412</x:v>
      </x:c>
      <x:c r="K246" s="73" t="str">
        <x:v>http://static.cninfo.com.cn/finalpage/2024-04-30/1219917570.PDF</x:v>
      </x:c>
      <x:c r="L246" s="40" t="str">
        <x:v>第5页</x:v>
      </x:c>
      <x:c r="M246" s="51" t="str">
        <x:v>2024 年第一季度报告 5 / 20 （3）生物学业务实现收入人民币5.6 亿元。公司着力建设新分子种类相关的生物学能力。报 告期内，生物学业务板块新分子种类相关收入同比增长 12.2%，占比持续提升至生物学业务收入 的29.2%。核酸类新分子平台服务客户数及项目数持续增加， 已累计为超过230 家客户提供服务， 自2021 年以来已成功交付超过1,000 个项目。公司进一步整合体内药理学平台资源，持续提升平 台能力和效率。2024 年3 月底苏州郭巷智研平台正式投入运营，加强体外生物学和体内药理药效 新能力布局。生物学业务作为公司下游业务的重要“流量入口”，在报告期内为公司持续贡献超过 20%的新客户。 （4）高端治疗 CTDMO 业务实现收入人民币 2.8 亿元。公司持续加强 CTDMO 服务平台建 设。截至2024 年第一季度末，为总计65 个项目提供工艺开发、检测与生产服务，包括2 个商业 化项目，5 个临床III 期项目（其中2 个项目处于上市申请准备阶段），9 个临床II 期项目，以及 49 个临床前和临床I 期项目，其中，报告期内新增1 个美国客户的世界首个创新肿瘤淋巴细胞疗 法（TIL）商业化项目。公司正在为一项商业化CAR-T 产品的LVV 生产做BLA 申报准备，已完 成工艺验证（PPQ），同时已开始PPQ 后的生产，预计将在2024 年下半年申报 FDA。另外，公 司正在为一项重磅商业化 CAR-T 产品的生产做 BLA 申报准备，预计将在 2024…</x:v>
      </x:c>
      <x:c r="N246" s="41" t="str">
        <x:v>2-间接相关</x:v>
      </x:c>
      <x:c r="O246" s="41" t="str">
        <x:v>是</x:v>
      </x:c>
      <x:c r="P246" s="57" t="str">
        <x:v>一季报披露新分子客户数、项目数和收入占比，能够支持“D&amp;M新分子项目、管线扩张与订单增长”的中间环节，但未完整量化最终影响。</x:v>
      </x:c>
      <x:c r="Q246" s="41" t="str">
        <x:v>B-CODEX-FIN-01</x:v>
      </x:c>
      <x:c r="R246" s="80" t="inlineStr">
        <x:is>
          <x:t>2026-08-28T03:00:25+08:00</x:t>
        </x:is>
      </x:c>
    </x:row>
    <x:row r="247" ht="72" customHeight="1">
      <x:c r="A247" s="64" t="str">
        <x:v>V5-R-Q025-C09</x:v>
      </x:c>
      <x:c r="B247" s="64" t="str">
        <x:v>V5-E-603259-C09</x:v>
      </x:c>
      <x:c r="C247" s="64" t="str">
        <x:v>V5-Q025</x:v>
      </x:c>
      <x:c r="D247" s="40" t="str">
        <x:v>药明康德</x:v>
      </x:c>
      <x:c r="E247" s="64" t="str">
        <x:v>603259</x:v>
      </x:c>
      <x:c r="F247" s="87" t="n">
        <x:v>46260.75</x:v>
      </x:c>
      <x:c r="G247" s="51" t="str">
        <x:v>D&amp;M业务新分子项目能否成为订单增长的主要来源</x:v>
      </x:c>
      <x:c r="H247" s="64" t="str">
        <x:v>DOC-EVT-603259-00234</x:v>
      </x:c>
      <x:c r="I247" s="51" t="str">
        <x:v>关于2025年回报股东特别分红方案的公告</x:v>
      </x:c>
      <x:c r="J247" s="87" t="n">
        <x:v>45734</x:v>
      </x:c>
      <x:c r="K247" s="73" t="str">
        <x:v>http://static.cninfo.com.cn/finalpage/2025-03-18/1222822830.PDF</x:v>
      </x:c>
      <x:c r="L247" s="40" t="str">
        <x:v>第1页</x:v>
      </x:c>
      <x:c r="M247" s="51" t="str">
        <x:v>1 证券代码：603259 证券简称：药明康德 公告编号：临 2025-008 无锡药明康德新药开发股份有限公司 关于 2025 年回报股东特别分红方案的公告 本公司董事会及全体董事保证本公告内容不存在任何虚假记载、误导性陈述 或者重大遗漏，并对其内容的真实性、准确性和完整性承担法律责任。 重要内容提示： 分配方案：每 10 股派发现金红利人民币 3.5000 元（含税）。 此次回报股东特别分红方案以实施此次权益分派股权登记日的总股本 为基数，具体日期将在权益分派实施公告中明确。在实施权益分派股权登记日前 公司总股本发生变动的，按照每股分配金额不变的原则进行分配，相应调整分配 总额，并将另行公告具体调整情况。 一、特别分红方案 无锡药明康德新药开发股份有限公司（以下简称“本公司”或“公司”）于 2024 年 12 月 25 日公告通过其全资子公司 WuXi ATU (Ireland) Holding Limited、 WuXi ATU (Hong Kong) Limited 向Altaris LLC（包括其所控制的主体） 转让WuXi ATU 业务的美国及英国运营主体的全部股权， 并于2025 年 3 月 7 日（美国时间） 完成交割。该部分业务的出售主要是为了确保所有迫切需要 WuXi ATU 细胞治 疗服务的客户和患者得到不受中断的服务和及时救治，同时 WuXi ATU 美国和 英国业务的相关科学家、技术人员和其他员工可继续为实现“让天下没有难做的 药，难治的…</x:v>
      </x:c>
      <x:c r="N247" s="41" t="str">
        <x:v>0-无关</x:v>
      </x:c>
      <x:c r="O247" s="41" t="str">
        <x:v>否</x:v>
      </x:c>
      <x:c r="P247" s="57" t="str">
        <x:v>《关于2025年回报股东特别分红方案的公告》主要涉及治理、股权、会议、分红或其他事项，未披露“D&amp;M新分子项目、管线扩张与订单增长”相关实质证据。</x:v>
      </x:c>
      <x:c r="Q247" s="41" t="str">
        <x:v>B-CODEX-FIN-01</x:v>
      </x:c>
      <x:c r="R247" s="80" t="inlineStr">
        <x:is>
          <x:t>2026-08-28T03:00:25+08:00</x:t>
        </x:is>
      </x:c>
    </x:row>
    <x:row r="248" ht="72" customHeight="1">
      <x:c r="A248" s="64" t="str">
        <x:v>V5-R-Q025-C05</x:v>
      </x:c>
      <x:c r="B248" s="64" t="str">
        <x:v>V5-E-603259-C05</x:v>
      </x:c>
      <x:c r="C248" s="64" t="str">
        <x:v>V5-Q025</x:v>
      </x:c>
      <x:c r="D248" s="40" t="str">
        <x:v>药明康德</x:v>
      </x:c>
      <x:c r="E248" s="64" t="str">
        <x:v>603259</x:v>
      </x:c>
      <x:c r="F248" s="87" t="n">
        <x:v>46260.75</x:v>
      </x:c>
      <x:c r="G248" s="51" t="str">
        <x:v>D&amp;M业务新分子项目能否成为订单增长的主要来源</x:v>
      </x:c>
      <x:c r="H248" s="64" t="str">
        <x:v>DOC-EVT-603259-00207</x:v>
      </x:c>
      <x:c r="I248" s="51" t="str">
        <x:v>关于WuXi ATU业务事项的进展公告</x:v>
      </x:c>
      <x:c r="J248" s="87" t="n">
        <x:v>45651</x:v>
      </x:c>
      <x:c r="K248" s="73" t="str">
        <x:v>http://static.cninfo.com.cn/finalpage/2024-12-25/1222130365.PDF</x:v>
      </x:c>
      <x:c r="L248" s="40" t="str">
        <x:v>第1页</x:v>
      </x:c>
      <x:c r="M248" s="51" t="str">
        <x:v>1 证券代码：603259 证券简称：药明康德 公告编号：临 2024-079 无锡药明康德新药开发股份有限公司 关于 WuXi ATU 业务事项的进展公告 本公司董事会及全体董事保证本公告内容不存在任何虚假记载、误导性陈 述或者重大遗漏，并对其内容的真实性、准确性和完整性依法承担法律责任。 无锡药明康德新药开发股份有限公司（以下简称“公司” ）于 2024 年 10 月 8 日发布了《关于 WuXi ATU 媒体报道的自愿性公告》 （公告编号：临 2024- 067） ，就该公告提及的有关事项，公司间接全资子公司 WuXi ATU (Ireland) Holding Limited、WuXi ATU (Hong Kong) Limited 与 Altaris LLC（包括其所控 制的主体，以下简称“Altaris”）于 2024 年 12 月 24 日（美国时间）签署《股权 购买 协议》（SHARE PURCHASE AGREEMENT ），分别将其持有的 WuXi Advanced Therapies Inc. （WuXi ATU 业 务 的 美 国 运 营 主 体 ，以下简称 “Advanced Therapies”）全部股权及 Oxford Genetics Limited（WuXi ATU 业务 的英国运营主体，以下简称“Oxford Genetics ”）全部股权以现金对价方式转让 给 Altaris（以下简称“本次交易” ）。Altaris 为一家设立于美国的…</x:v>
      </x:c>
      <x:c r="N248" s="41" t="str">
        <x:v>1-弱相关</x:v>
      </x:c>
      <x:c r="O248" s="41" t="str">
        <x:v>否</x:v>
      </x:c>
      <x:c r="P248" s="57" t="str">
        <x:v>《关于WuXi ATU业务事项的进展公告》仅提供公司阶段性经营、财务或相邻业务背景，未同时覆盖“D&amp;M新分子项目、管线扩张与订单增长”的核心变量，相关性较弱。</x:v>
      </x:c>
      <x:c r="Q248" s="41" t="str">
        <x:v>B-CODEX-FIN-01</x:v>
      </x:c>
      <x:c r="R248" s="80" t="inlineStr">
        <x:is>
          <x:t>2026-08-28T03:00:25+08:00</x:t>
        </x:is>
      </x:c>
    </x:row>
    <x:row r="249" ht="72" customHeight="1">
      <x:c r="A249" s="64" t="str">
        <x:v>V5-R-Q025-C03</x:v>
      </x:c>
      <x:c r="B249" s="64" t="str">
        <x:v>V5-E-603259-C03</x:v>
      </x:c>
      <x:c r="C249" s="64" t="str">
        <x:v>V5-Q025</x:v>
      </x:c>
      <x:c r="D249" s="40" t="str">
        <x:v>药明康德</x:v>
      </x:c>
      <x:c r="E249" s="64" t="str">
        <x:v>603259</x:v>
      </x:c>
      <x:c r="F249" s="87" t="n">
        <x:v>46260.75</x:v>
      </x:c>
      <x:c r="G249" s="51" t="str">
        <x:v>D&amp;M业务新分子项目能否成为订单增长的主要来源</x:v>
      </x:c>
      <x:c r="H249" s="64" t="str">
        <x:v>DOC-EVT-603259-00244</x:v>
      </x:c>
      <x:c r="I249" s="51" t="str">
        <x:v>关于2025年以集中竞价交易方式回购A股股份的预案</x:v>
      </x:c>
      <x:c r="J249" s="87" t="n">
        <x:v>45734</x:v>
      </x:c>
      <x:c r="K249" s="73" t="str">
        <x:v>http://static.cninfo.com.cn/finalpage/2025-03-18/1222822844.PDF</x:v>
      </x:c>
      <x:c r="L249" s="40" t="str">
        <x:v>第1页</x:v>
      </x:c>
      <x:c r="M249" s="51" t="str">
        <x:v>证券代码：603259 证券简称：药明康德 公告编号：2025-017 无锡药明康德新药开发股份有限公司 关于2025年以集中竞价交易方式回购A股股份的预案 本公司董事会及全体董事保证本公告内容不存在任何虚假记载、误导性陈述 或者重大遗漏，并对其内容的真实性、准确性和完整性依法承担法律责任。 重要内容提示： ● 回购股份金额：无锡药明康德新药开发股份有限公司（以下简称“公司”） 本次回购资金总额为人民币 10 亿元。 ● 回购股份资金来源：公司自有资金及自筹资金。 ● 回购股份用途：本次回购的股份将用于注销并减少公司注册资本。 ● 回购股份价格：本次回购股份价格不超过人民币 92.05 元/股（含），即不高 于董事会通过本次回购股份方案的决议前30 个交易日公司股票交易均价的150%。 ● 回购股份方式：通过上海证券交易所系统以集中竞价交易方式回购 A 股股 票。 ● 回购股份期限：本次回购股份的期限自股东大会批准方案之日起不超过 12 个月（但受限于公司 A 股回购一般性授权的授权期限）。 ● 相关股东是否存在减持计划：经问询，公司董事、监事、高级管理人员、 实际控制人控制的股东、与实际控制人签署一致行动协议的股东、与实际控制人 签署投票委托书的股东截至董事会作出回购股份决议日无减持公司 A 股股票的计 划。若前述主体未来拟实施股份减持计划，相关方将严格按照有关法律、法规及 规范性文件的相关规定及时履行信息披露义务。 ● 相关风险提示： 1、本次回购股份方案尚需提交股东大…</x:v>
      </x:c>
      <x:c r="N249" s="41" t="str">
        <x:v>0-无关</x:v>
      </x:c>
      <x:c r="O249" s="41" t="str">
        <x:v>否</x:v>
      </x:c>
      <x:c r="P249" s="57" t="str">
        <x:v>《关于2025年以集中竞价交易方式回购A股股份的预案》主要涉及治理、股权、会议、分红或其他事项，未披露“D&amp;M新分子项目、管线扩张与订单增长”相关实质证据。</x:v>
      </x:c>
      <x:c r="Q249" s="41" t="str">
        <x:v>B-CODEX-FIN-01</x:v>
      </x:c>
      <x:c r="R249" s="80" t="inlineStr">
        <x:is>
          <x:t>2026-08-28T03:00:25+08:00</x:t>
        </x:is>
      </x:c>
    </x:row>
    <x:row r="250" ht="72" customHeight="1">
      <x:c r="A250" s="64" t="str">
        <x:v>V5-R-Q025-C02</x:v>
      </x:c>
      <x:c r="B250" s="64" t="str">
        <x:v>V5-E-603259-C02</x:v>
      </x:c>
      <x:c r="C250" s="64" t="str">
        <x:v>V5-Q025</x:v>
      </x:c>
      <x:c r="D250" s="40" t="str">
        <x:v>药明康德</x:v>
      </x:c>
      <x:c r="E250" s="64" t="str">
        <x:v>603259</x:v>
      </x:c>
      <x:c r="F250" s="87" t="n">
        <x:v>46260.75</x:v>
      </x:c>
      <x:c r="G250" s="51" t="str">
        <x:v>D&amp;M业务新分子项目能否成为订单增长的主要来源</x:v>
      </x:c>
      <x:c r="H250" s="64" t="str">
        <x:v>DOC-EVT-603259-00385</x:v>
      </x:c>
      <x:c r="I250" s="51" t="str">
        <x:v>无锡药明康德新药开发股份有限公司信息披露暂缓与豁免业务管理制度（2025年修订）</x:v>
      </x:c>
      <x:c r="J250" s="87" t="n">
        <x:v>45903</x:v>
      </x:c>
      <x:c r="K250" s="73" t="str">
        <x:v>http://static.cninfo.com.cn/finalpage/2025-09-03/1224634474.PDF</x:v>
      </x:c>
      <x:c r="L250" s="40" t="str">
        <x:v>第4页</x:v>
      </x:c>
      <x:c r="M250" s="51" t="str">
        <x:v>3 （三）豁免披露的信息类型，包括临时报告中的重大交易、日常交易或者 关联交易，年度报告中的客户、供应商名称等； （四）内部审核程序； （五）其他公司认为有必要登记的事项。 因涉及商业秘密暂缓或者豁免披露的，除及时登记前款规定的事项外，还 应当登记相关信息是否已通过其他方式公开、认定属于商业秘密的主要理由、 披露对公司或者他人可能产生的影响、内幕信息知情人名单等事项。 第十条 公司和其他信息披露义务人应当在年度报告、半年度报告、季度报 告公告后十日内， 将报告期内暂缓或者豁免披露的相关登记材料报送公司注册 地证监局和证券交易所（如适用） 。 第四章 附则 第十一条 本制度未尽事宜按照相关法律法规及公司股票上市地证券交易 所的业务规则及《公司章程》 、 《公司信息披露管理制度》的规定执行。公司其 他制度中有关信息披露暂缓与豁免的规定与本制度有冲突的，以本制度为准。 第十二条 本制度由董事会制定并解释。 第十三条 本制度经董事会决议通过后生效。自本制度生效之日起，原《无 锡药明康德新药开发股份有限公司信息披露暂缓与豁免业务管理制度》 自动失 效。</x:v>
      </x:c>
      <x:c r="N250" s="41" t="str">
        <x:v>0-无关</x:v>
      </x:c>
      <x:c r="O250" s="41" t="str">
        <x:v>否</x:v>
      </x:c>
      <x:c r="P250" s="57" t="str">
        <x:v>《无锡药明康德新药开发股份有限公司信息披露暂缓与豁免业务管理制度（2025年修订）》主要涉及治理、股权、会议、分红或其他事项，未披露“D&amp;M新分子项目、管线扩张与订单增长”相关实质证据。</x:v>
      </x:c>
      <x:c r="Q250" s="41" t="str">
        <x:v>B-CODEX-FIN-01</x:v>
      </x:c>
      <x:c r="R250" s="80" t="inlineStr">
        <x:is>
          <x:t>2026-08-28T03:00:25+08:00</x:t>
        </x:is>
      </x:c>
    </x:row>
    <x:row r="251" ht="72" customHeight="1">
      <x:c r="A251" s="64" t="str">
        <x:v>V5-R-Q025-C01</x:v>
      </x:c>
      <x:c r="B251" s="64" t="str">
        <x:v>V5-E-603259-C01</x:v>
      </x:c>
      <x:c r="C251" s="64" t="str">
        <x:v>V5-Q025</x:v>
      </x:c>
      <x:c r="D251" s="40" t="str">
        <x:v>药明康德</x:v>
      </x:c>
      <x:c r="E251" s="64" t="str">
        <x:v>603259</x:v>
      </x:c>
      <x:c r="F251" s="87" t="n">
        <x:v>46260.75</x:v>
      </x:c>
      <x:c r="G251" s="51" t="str">
        <x:v>D&amp;M业务新分子项目能否成为订单增长的主要来源</x:v>
      </x:c>
      <x:c r="H251" s="64" t="str">
        <x:v>DOC-EVT-603259-00464</x:v>
      </x:c>
      <x:c r="I251" s="51" t="str">
        <x:v>2025年年度报告</x:v>
      </x:c>
      <x:c r="J251" s="87" t="n">
        <x:v>46105</x:v>
      </x:c>
      <x:c r="K251" s="73" t="str">
        <x:v>http://static.cninfo.com.cn/finalpage/2026-03-24/1225025225.PDF</x:v>
      </x:c>
      <x:c r="L251" s="40" t="str">
        <x:v>第13页</x:v>
      </x:c>
      <x:c r="M251" s="51" t="str">
        <x:v>无锡药明康德新药开发股份有限公司2025 年年度报告 13 / 249 过程中，公司持续驱动新知识、新技术的发展，提高研发效率、降低研发成本，平台创新赋能的 能力不断增强，并形成一个良性循环的生态圈。 报告期内，公司举办药明康德全球论坛和多场创新日系列活动，与行业顶尖意见领袖一起聚 焦行业未来的重大挑战和机遇，探讨全球创新合作，分享行业最新的突破性进展，线下总参会人 数超 4,300人。报告期内，公司还通过“药明直播间”及第三方直播平台，面向全球客户开展专 业技术类直播交流，内容涵盖新药研发的前沿技术，尤其是新分子类型相关的药物研发，听众覆 盖超过 100个国家和地区。 （五）管理层团队经验丰富，富有远见和抱负 公司拥有具备全球视野及产业战略眼光的卓越管理团队。由李革博士领导的公司管理层团队 拥有丰富的医药行业从业经历，具备极强的执行力及多年医药行业投资经验、管理经验及国际化 视野，并在全球医药及生命科学领域有较高知名度。经验丰富、视野广阔的管理团队使公司得以 在全球经济运行周期及医药行业整体发展趋势方面有独到而敏锐的认知。在公司管理层的带领下， 公司有能力深入理解市场及行业发展趋势、政策变化动向及其对客户需求的影响，迅速调整经营 模式、提高决策速度和灵活性以匹配客户需求，带动公司各板块业务快速发展，并成为全球医药 健康生态圈的主要创新赋能者和行业贡献者。 五、报告期内主要经营情况 报告期内，公司发挥全球布局、全产业链覆盖的优势，各个地区联动，并抓住新的业务机遇， 持续为客…</x:v>
      </x:c>
      <x:c r="N251" s="41" t="str">
        <x:v>3-直接相关</x:v>
      </x:c>
      <x:c r="O251" s="41" t="str">
        <x:v>是</x:v>
      </x:c>
      <x:c r="P251" s="57" t="str">
        <x:v>年报披露小分子D&amp;M收入、管线总数及新增分子，直接覆盖“D&amp;M新分子项目、管线扩张与订单增长”的关键变量，关系路径成立。</x:v>
      </x:c>
      <x:c r="Q251" s="41" t="str">
        <x:v>B-CODEX-FIN-01</x:v>
      </x:c>
      <x:c r="R251" s="80" t="inlineStr">
        <x:is>
          <x:t>2026-08-28T03:00:25+08:00</x:t>
        </x:is>
      </x:c>
    </x:row>
    <x:row r="252" ht="72" customHeight="1">
      <x:c r="A252" s="64" t="str">
        <x:v>V5-R-Q026-C07</x:v>
      </x:c>
      <x:c r="B252" s="64" t="str">
        <x:v>V5-E-603259-C07</x:v>
      </x:c>
      <x:c r="C252" s="64" t="str">
        <x:v>V5-Q026</x:v>
      </x:c>
      <x:c r="D252" s="40" t="str">
        <x:v>药明康德</x:v>
      </x:c>
      <x:c r="E252" s="64" t="str">
        <x:v>603259</x:v>
      </x:c>
      <x:c r="F252" s="87" t="n">
        <x:v>46260.75</x:v>
      </x:c>
      <x:c r="G252" s="51" t="str">
        <x:v>资本开支节奏是否与自由现金流和产能需求匹配</x:v>
      </x:c>
      <x:c r="H252" s="64" t="str">
        <x:v>DOC-EVT-603259-00115</x:v>
      </x:c>
      <x:c r="I252" s="51" t="str">
        <x:v>2024年第一季度报告</x:v>
      </x:c>
      <x:c r="J252" s="87" t="n">
        <x:v>45412</x:v>
      </x:c>
      <x:c r="K252" s="73" t="str">
        <x:v>http://static.cninfo.com.cn/finalpage/2024-04-30/1219917570.PDF</x:v>
      </x:c>
      <x:c r="L252" s="40" t="str">
        <x:v>第2页</x:v>
      </x:c>
      <x:c r="M252" s="51" t="str">
        <x:v>2024 年第一季度报告 2 / 20 IND 申报 指 研究性新药（Investigational New Drug, IND）的临床试验申报， 指在进行临床试验前必须进行的研究性新药及申请相关阶段 SMO 指 Site Management Organization，临床试验现场管理服务 公司基本情况 公司为全球医药行业提供一体化、端到端的新药研发和生产服务，在亚洲、欧洲、北美等地 均设有运营基地。公司通过独特的“CRDMO”和“CTDMO”业务模式，不断降低研发门槛，助力客 户提升研发效率，为患者带来更多突破性的治疗方案，服务范围涵盖化学药研发和生产、生物学 研究、临床前测试和临床试验研发、精准医疗研发、测试和生产等领域。 公司始终恪守最高国际质量监管标准，自成立以来，凭借优异的服务纪录以及完善的知识产 权保护体系，在全球医药研发行业赢得了公认的优秀声誉。公司所形成的服务数据在业内具备极 高认可度和公信力。公司不断优化和发掘跨板块间的业务协同性以更好地服务全球客户，持续强 化公司独特的一体化CRDMO 和 CTDMO 业务模式，并提供真正的一站式服务，满足客户从药物 发现、开发到生产的服务需求。 一、 主要财务数据 (一)主要会计数据和财务指标 单位：元 币种：人民币 项目 本报告期 本报告期比上年同期增减 变动幅度(%) 营业收入 7,981,934,236.96 -10.95 归属于上市公司股东的净利润 1,942,210,693.65 -10.42 归属于上市公…</x:v>
      </x:c>
      <x:c r="N252" s="41" t="str">
        <x:v>2-间接相关</x:v>
      </x:c>
      <x:c r="O252" s="41" t="str">
        <x:v>是</x:v>
      </x:c>
      <x:c r="P252" s="57" t="str">
        <x:v>一季报披露全球运营基地、产能与现金流信息，能够支持“资本开支、产能需求与自由现金流”的中间环节，但未完整量化最终影响。</x:v>
      </x:c>
      <x:c r="Q252" s="41" t="str">
        <x:v>B-CODEX-FIN-01</x:v>
      </x:c>
      <x:c r="R252" s="80" t="inlineStr">
        <x:is>
          <x:t>2026-08-28T03:00:25+08:00</x:t>
        </x:is>
      </x:c>
    </x:row>
    <x:row r="253" ht="72" customHeight="1">
      <x:c r="A253" s="64" t="str">
        <x:v>V5-R-Q026-C10</x:v>
      </x:c>
      <x:c r="B253" s="64" t="str">
        <x:v>V5-E-603259-C10</x:v>
      </x:c>
      <x:c r="C253" s="64" t="str">
        <x:v>V5-Q026</x:v>
      </x:c>
      <x:c r="D253" s="40" t="str">
        <x:v>药明康德</x:v>
      </x:c>
      <x:c r="E253" s="64" t="str">
        <x:v>603259</x:v>
      </x:c>
      <x:c r="F253" s="87" t="n">
        <x:v>46260.75</x:v>
      </x:c>
      <x:c r="G253" s="51" t="str">
        <x:v>资本开支节奏是否与自由现金流和产能需求匹配</x:v>
      </x:c>
      <x:c r="H253" s="64" t="str">
        <x:v>DOC-EVT-603259-00526</x:v>
      </x:c>
      <x:c r="I253" s="51" t="str">
        <x:v>H股公告</x:v>
      </x:c>
      <x:c r="J253" s="87" t="n">
        <x:v>46239</x:v>
      </x:c>
      <x:c r="K253" s="73" t="str">
        <x:v>http://static.cninfo.com.cn/finalpage/2026-08-05/1225457419.PDF</x:v>
      </x:c>
      <x:c r="L253" s="40" t="str">
        <x:v>第1页</x:v>
      </x:c>
      <x:c r="M253" s="51" t="str">
        <x:v>FF301 ∉  ⊈ಊṉọᄅḸі ٺ୍ᄅರ ⊯Ⅲࢌ ඳ ඳ଀Ẁඳ ರ௹ ୍ᄅರ Чṉọ ٳٺܢܢ⦁ )෮ഈ൧ 䩏 ൞ ⊈ಊսὂ ೂഈ൧  䪌ૼ ଢ ૫ᆴЧ ᾵թ    3.#  3.#    㦆ഒ   3.#  ᾵թ    3.#  3.#    ٳٺܢܢ⦁ "෮ഈ൧ 䩏 ڎ ⊈ಊսὂ ೂഈ൧  䪌ૼၞ෮ഈ൧ ଢ ૫ᆴЧ ᾵թ     3.#  3.#     㦆ഒ   3.#  ᾵թ     3.#  3.#     Ч⊺ỡğ 3.#     Ḿ䩏ğ</x:v>
      </x:c>
      <x:c r="N253" s="41" t="str">
        <x:v>0-无关</x:v>
      </x:c>
      <x:c r="O253" s="41" t="str">
        <x:v>否</x:v>
      </x:c>
      <x:c r="P253" s="57" t="str">
        <x:v>《H股公告》主要涉及治理、股权、会议、分红或其他事项，未披露“资本开支、产能需求与自由现金流”相关实质证据。</x:v>
      </x:c>
      <x:c r="Q253" s="41" t="str">
        <x:v>B-CODEX-FIN-01</x:v>
      </x:c>
      <x:c r="R253" s="80" t="inlineStr">
        <x:is>
          <x:t>2026-08-28T03:00:25+08:00</x:t>
        </x:is>
      </x:c>
    </x:row>
    <x:row r="254" ht="72" customHeight="1">
      <x:c r="A254" s="64" t="str">
        <x:v>V5-R-Q026-C01</x:v>
      </x:c>
      <x:c r="B254" s="64" t="str">
        <x:v>V5-E-603259-C01</x:v>
      </x:c>
      <x:c r="C254" s="64" t="str">
        <x:v>V5-Q026</x:v>
      </x:c>
      <x:c r="D254" s="40" t="str">
        <x:v>药明康德</x:v>
      </x:c>
      <x:c r="E254" s="64" t="str">
        <x:v>603259</x:v>
      </x:c>
      <x:c r="F254" s="87" t="n">
        <x:v>46260.75</x:v>
      </x:c>
      <x:c r="G254" s="51" t="str">
        <x:v>资本开支节奏是否与自由现金流和产能需求匹配</x:v>
      </x:c>
      <x:c r="H254" s="64" t="str">
        <x:v>DOC-EVT-603259-00464</x:v>
      </x:c>
      <x:c r="I254" s="51" t="str">
        <x:v>2025年年度报告</x:v>
      </x:c>
      <x:c r="J254" s="87" t="n">
        <x:v>46105</x:v>
      </x:c>
      <x:c r="K254" s="73" t="str">
        <x:v>http://static.cninfo.com.cn/finalpage/2026-03-24/1225025225.PDF</x:v>
      </x:c>
      <x:c r="L254" s="40" t="str">
        <x:v>第20页</x:v>
      </x:c>
      <x:c r="M254" s="51" t="str">
        <x:v>无锡药明康德新药开发股份有限公司2025 年年度报告 20 / 249 (三) 资产、负债情况分析 √适用 □不适用 1、 资产及负债状况 单位：元 币种：人民币 项目名称 本期期末数 本期期末 数占总资 产的比例 （%） 上期期末数 上期期末 数占总资 产的比例 （%） 本期期末金 额较上期期 末变动比例 （%） 情况说明 货币资金 35,131,309,638.47 34.07 18,322,034,067.70 22.81 91.74 主要系报告期内公司业务高质量发展和持续优化运营流程，自由现金流持续增长，叠加 H 股配售等多重因素影响。 交易性金融资产 5,806,211,811.42 5.63 1,233,983,963.56 1.54 370.53 主要系报告期内购买理财产品以优化资金组合，提升资金效益。 衍生金融资产 68,657,103.15 0.07 - - 不适用 主要系报告期间衍生金融工具的公允价值波动所致。 应收票据 18,672,249.95 0.02 92,672,778.12 0.12 -79.85 主要系上年末收取的票据于报告期内到期兑付所致。 其他应收款 724,565,155.08 0.70 123,871,411.09 0.15 484.93 主要系报告期内剥离部分业务形成的应收股权转让款增加所致。 存货 8,993,244,894.24 8.72 5,399,747,062.06 6.72 66.55 主要系随着业务持续发展，在手订单…</x:v>
      </x:c>
      <x:c r="N254" s="41" t="str">
        <x:v>3-直接相关</x:v>
      </x:c>
      <x:c r="O254" s="41" t="str">
        <x:v>是</x:v>
      </x:c>
      <x:c r="P254" s="57" t="str">
        <x:v>年报披露自由现金流增长、资本开支及产能利用，直接覆盖“资本开支、产能需求与自由现金流”的关键变量，关系路径成立。</x:v>
      </x:c>
      <x:c r="Q254" s="41" t="str">
        <x:v>B-CODEX-FIN-01</x:v>
      </x:c>
      <x:c r="R254" s="80" t="inlineStr">
        <x:is>
          <x:t>2026-08-28T03:00:25+08:00</x:t>
        </x:is>
      </x:c>
    </x:row>
    <x:row r="255" ht="72" customHeight="1">
      <x:c r="A255" s="64" t="str">
        <x:v>V5-R-Q026-C02</x:v>
      </x:c>
      <x:c r="B255" s="64" t="str">
        <x:v>V5-E-603259-C02</x:v>
      </x:c>
      <x:c r="C255" s="64" t="str">
        <x:v>V5-Q026</x:v>
      </x:c>
      <x:c r="D255" s="40" t="str">
        <x:v>药明康德</x:v>
      </x:c>
      <x:c r="E255" s="64" t="str">
        <x:v>603259</x:v>
      </x:c>
      <x:c r="F255" s="87" t="n">
        <x:v>46260.75</x:v>
      </x:c>
      <x:c r="G255" s="51" t="str">
        <x:v>资本开支节奏是否与自由现金流和产能需求匹配</x:v>
      </x:c>
      <x:c r="H255" s="64" t="str">
        <x:v>DOC-EVT-603259-00385</x:v>
      </x:c>
      <x:c r="I255" s="51" t="str">
        <x:v>无锡药明康德新药开发股份有限公司信息披露暂缓与豁免业务管理制度（2025年修订）</x:v>
      </x:c>
      <x:c r="J255" s="87" t="n">
        <x:v>45903</x:v>
      </x:c>
      <x:c r="K255" s="73" t="str">
        <x:v>http://static.cninfo.com.cn/finalpage/2025-09-03/1224634474.PDF</x:v>
      </x:c>
      <x:c r="L255" s="40" t="str">
        <x:v>第2页</x:v>
      </x:c>
      <x:c r="M255" s="51" t="str">
        <x:v>1 无锡药明康德新药开发股份有限公司 信息披露暂缓与豁免业务管理制度 第一章 总则 第一条 为规范无锡药明康德新药开发股份有限公司（以下简称“公司”）信 息披露暂缓与豁免行为，确保公司依法合规履行信息披露义务，保护投资者的 合法权益，依据《中华人民共和国公司法》 、 《中华人民共和国证券法》 、《上市 公司信息披露暂缓与豁免管理规定》 、《上海证券交易所股票上市规则》 （以下 简称“《股票上市规则》”）和《上海证券交易所上市公司自律监管指引第2 号 ——信息披露事务管理》 、 《香港联合交易所有限公司证券上市规则》 、香港证 券及期货事务监察委员会发布的《证券及期货条例》（以下简称“ 《证券及期货 条例》 ” ）和《内幕消息披露指引》等法律、法规、规范性文件（以下合称“相关 法律法规及公司股票上市地证券交易所的业务规则”）的相关规定以及《无锡 药明康德新药开发股份有限公司章程》 （以下简称“《公司章程》”）以及《无锡 药明康德新药开发股份有限公司信息披露管理制度》 （以下简称“《公司信息披 露管理制度》”） ，制定本制度。 第二条 公司和其他信息披露义务人按照相关法律法规及公司股票上市地 证券交易所的业务规则的规定，暂缓、豁免披露临时报告，在定期报告、临时 报告中豁免披露相关法律法规及公司股票上市地证券交易所 规定或者要求披 露的内容，适用本制度。 第三条 公司和其他信息披露义务人应审慎确定信息披露暂缓、豁免事项， 履行内部审核程序后实施。 第二章 暂缓、豁免披露信息的范围…</x:v>
      </x:c>
      <x:c r="N255" s="41" t="str">
        <x:v>0-无关</x:v>
      </x:c>
      <x:c r="O255" s="41" t="str">
        <x:v>否</x:v>
      </x:c>
      <x:c r="P255" s="57" t="str">
        <x:v>《无锡药明康德新药开发股份有限公司信息披露暂缓与豁免业务管理制度（2025年修订）》主要涉及治理、股权、会议、分红或其他事项，未披露“资本开支、产能需求与自由现金流”相关实质证据。</x:v>
      </x:c>
      <x:c r="Q255" s="41" t="str">
        <x:v>B-CODEX-FIN-01</x:v>
      </x:c>
      <x:c r="R255" s="80" t="inlineStr">
        <x:is>
          <x:t>2026-08-28T03:00:25+08:00</x:t>
        </x:is>
      </x:c>
    </x:row>
    <x:row r="256" ht="72" customHeight="1">
      <x:c r="A256" s="64" t="str">
        <x:v>V5-R-Q026-C06</x:v>
      </x:c>
      <x:c r="B256" s="64" t="str">
        <x:v>V5-E-603259-C06</x:v>
      </x:c>
      <x:c r="C256" s="64" t="str">
        <x:v>V5-Q026</x:v>
      </x:c>
      <x:c r="D256" s="40" t="str">
        <x:v>药明康德</x:v>
      </x:c>
      <x:c r="E256" s="64" t="str">
        <x:v>603259</x:v>
      </x:c>
      <x:c r="F256" s="87" t="n">
        <x:v>46260.75</x:v>
      </x:c>
      <x:c r="G256" s="51" t="str">
        <x:v>资本开支节奏是否与自由现金流和产能需求匹配</x:v>
      </x:c>
      <x:c r="H256" s="64" t="str">
        <x:v>DOC-EVT-603259-00415</x:v>
      </x:c>
      <x:c r="I256" s="51" t="str">
        <x:v>2025年第三季度报告</x:v>
      </x:c>
      <x:c r="J256" s="87" t="n">
        <x:v>45957</x:v>
      </x:c>
      <x:c r="K256" s="73" t="str">
        <x:v>http://static.cninfo.com.cn/finalpage/2025-10-27/1224737987.PDF</x:v>
      </x:c>
      <x:c r="L256" s="40" t="str">
        <x:v>第5页</x:v>
      </x:c>
      <x:c r="M256" s="51" t="str">
        <x:v>无锡药明康德新药开发股份有限公司 2025 年第三季度报告 5 / 24 （三） 主要会计数据、财务指标发生变动的情况、原因 √适用 □不适用 项目名称 本报告期 变动比例 （%） 年初至报 告期末变 动比例 （%） 主要原因 营业收入 15.26 18.61 详见如下分析。 利润总额 82.89 91.45 主要系公司持续聚焦及加强 CRDMO 业务 模式，营业收入持续增长，同时持续优化生 产工艺和经营效率，以及临床后期和商业化 大项目增长带来的产能效率不断提升，提高 了整体的盈利能力；同时，公司出售持有的 联营企业 WuXi XDC Cayman Inc.部分股票 的收益，进一步提升了公司的利润。 归属于上市公司股东的净 利润 53.27 84.84 归属于上市公司股东的扣 除非经常性损益的净利润 73.75 42.51 主要系公司在保持营业收入稳健增长的同 时，通过不断优化经营效率，持续提升产能 利用率，规模效应进一步显现。 基本每股收益（元/股） 55.00 88.89 主要系公司净利润强劲增长。 稀释每股收益（元/股） 54.43 87.95 经营活动产生的现金流量 净额 不适用 36.21 主要由于公司经营利润显著提升的同时，健 康的运营资金周转管理以及不断提升的财 务管理能力，进一步增强了财务稳健性。 单位：万元 币种：人民币 报告分部 2025 年 前三季度 2024 年 前三季度 变动比例（%） 化学业务 （WuXi Chemistry） 2,597,80…</x:v>
      </x:c>
      <x:c r="N256" s="41" t="str">
        <x:v>2-间接相关</x:v>
      </x:c>
      <x:c r="O256" s="41" t="str">
        <x:v>是</x:v>
      </x:c>
      <x:c r="P256" s="57" t="str">
        <x:v>三季报披露产能效率、盈利和现金指标，能够支持“资本开支、产能需求与自由现金流”的中间环节，但未完整量化最终影响。</x:v>
      </x:c>
      <x:c r="Q256" s="41" t="str">
        <x:v>B-CODEX-FIN-01</x:v>
      </x:c>
      <x:c r="R256" s="80" t="inlineStr">
        <x:is>
          <x:t>2026-08-28T03:00:25+08:00</x:t>
        </x:is>
      </x:c>
    </x:row>
    <x:row r="257" ht="72" customHeight="1">
      <x:c r="A257" s="64" t="str">
        <x:v>V5-R-Q026-C08</x:v>
      </x:c>
      <x:c r="B257" s="64" t="str">
        <x:v>V5-E-603259-C08</x:v>
      </x:c>
      <x:c r="C257" s="64" t="str">
        <x:v>V5-Q026</x:v>
      </x:c>
      <x:c r="D257" s="40" t="str">
        <x:v>药明康德</x:v>
      </x:c>
      <x:c r="E257" s="64" t="str">
        <x:v>603259</x:v>
      </x:c>
      <x:c r="F257" s="87" t="n">
        <x:v>46260.75</x:v>
      </x:c>
      <x:c r="G257" s="51" t="str">
        <x:v>资本开支节奏是否与自由现金流和产能需求匹配</x:v>
      </x:c>
      <x:c r="H257" s="64" t="str">
        <x:v>DOC-EVT-603259-00468</x:v>
      </x:c>
      <x:c r="I257" s="51" t="str">
        <x:v>关于召开2025年度业绩说明会的公告</x:v>
      </x:c>
      <x:c r="J257" s="87" t="n">
        <x:v>46114</x:v>
      </x:c>
      <x:c r="K257" s="73" t="str">
        <x:v>http://static.cninfo.com.cn/finalpage/2026-04-02/1225070294.PDF</x:v>
      </x:c>
      <x:c r="L257" s="40" t="str">
        <x:v>第1页</x:v>
      </x:c>
      <x:c r="M257" s="51" t="str">
        <x:v>证券代码：603259 证券简称：药明康德 公告编号：临 2026-016 无锡药明康德新药开发股份有限公司 关于召开2025 年度业绩说明会的公告 本公司董事会及全体董事保证本公告内容不存在任何虚假记载、误导性陈述 或者重大遗漏，并对其内容的真实性、准确性和完整性承担法律责任。 重要内容提示：  会议召开时间：2026 年 4 月 13 日（星期一）上午 10:00-11:00  会议召开地点：上海证券交易所上证路演中心（http://roadshow.sseinfo.com/）  会议召开方式：上证路演中心视频直播和网络互动  投资者可于 2026 年 4 月 3 日（星期五）至 2026 年 4 月 10 日（星期五）16:00 前登录上证路演中心网站首页，点击“提问预征集”栏目或将相关问题通过 电子邮件的形式发送至本公司投资者关系邮箱：ir@wuxiapptec.com。本公司 将于 2025 年度业绩说明会（以下简称“业绩说明会”）上对投资者普遍关注 的问题进行回答。 无锡药明康德新药开发股份有限公司（以下简称“本公司”）已于 2026 年 3 月 24 日在上海证券交易所网站（www.sse.com.cn）及指定媒体披露《无锡药明 康德新药开发股份有限公司 2025 年年度报告》。为了便于广大投资者更全面深入 地了解本公司 2025 年度业绩和经营情况，本公司拟于 2026 年 4 月 13 日（星期 一）上午 10:00-11:00 召开业绩说明会，就…</x:v>
      </x:c>
      <x:c r="N257" s="41" t="str">
        <x:v>0-无关</x:v>
      </x:c>
      <x:c r="O257" s="41" t="str">
        <x:v>否</x:v>
      </x:c>
      <x:c r="P257" s="57" t="str">
        <x:v>《关于召开2025年度业绩说明会的公告》主要涉及治理、股权、会议、分红或其他事项，未披露“资本开支、产能需求与自由现金流”相关实质证据。</x:v>
      </x:c>
      <x:c r="Q257" s="41" t="str">
        <x:v>B-CODEX-FIN-01</x:v>
      </x:c>
      <x:c r="R257" s="80" t="inlineStr">
        <x:is>
          <x:t>2026-08-28T03:00:25+08:00</x:t>
        </x:is>
      </x:c>
    </x:row>
    <x:row r="258" ht="72" customHeight="1">
      <x:c r="A258" s="64" t="str">
        <x:v>V5-R-Q026-C09</x:v>
      </x:c>
      <x:c r="B258" s="64" t="str">
        <x:v>V5-E-603259-C09</x:v>
      </x:c>
      <x:c r="C258" s="64" t="str">
        <x:v>V5-Q026</x:v>
      </x:c>
      <x:c r="D258" s="40" t="str">
        <x:v>药明康德</x:v>
      </x:c>
      <x:c r="E258" s="64" t="str">
        <x:v>603259</x:v>
      </x:c>
      <x:c r="F258" s="87" t="n">
        <x:v>46260.75</x:v>
      </x:c>
      <x:c r="G258" s="51" t="str">
        <x:v>资本开支节奏是否与自由现金流和产能需求匹配</x:v>
      </x:c>
      <x:c r="H258" s="64" t="str">
        <x:v>DOC-EVT-603259-00234</x:v>
      </x:c>
      <x:c r="I258" s="51" t="str">
        <x:v>关于2025年回报股东特别分红方案的公告</x:v>
      </x:c>
      <x:c r="J258" s="87" t="n">
        <x:v>45734</x:v>
      </x:c>
      <x:c r="K258" s="73" t="str">
        <x:v>http://static.cninfo.com.cn/finalpage/2025-03-18/1222822830.PDF</x:v>
      </x:c>
      <x:c r="L258" s="40" t="str">
        <x:v>第1页</x:v>
      </x:c>
      <x:c r="M258" s="51" t="str">
        <x:v>1 证券代码：603259 证券简称：药明康德 公告编号：临 2025-008 无锡药明康德新药开发股份有限公司 关于 2025 年回报股东特别分红方案的公告 本公司董事会及全体董事保证本公告内容不存在任何虚假记载、误导性陈述 或者重大遗漏，并对其内容的真实性、准确性和完整性承担法律责任。 重要内容提示： 分配方案：每 10 股派发现金红利人民币 3.5000 元（含税）。 此次回报股东特别分红方案以实施此次权益分派股权登记日的总股本 为基数，具体日期将在权益分派实施公告中明确。在实施权益分派股权登记日前 公司总股本发生变动的，按照每股分配金额不变的原则进行分配，相应调整分配 总额，并将另行公告具体调整情况。 一、特别分红方案 无锡药明康德新药开发股份有限公司（以下简称“本公司”或“公司”）于 2024 年 12 月 25 日公告通过其全资子公司 WuXi ATU (Ireland) Holding Limited、 WuXi ATU (Hong Kong) Limited 向Altaris LLC（包括其所控制的主体） 转让WuXi ATU 业务的美国及英国运营主体的全部股权， 并于2025 年 3 月 7 日（美国时间） 完成交割。该部分业务的出售主要是为了确保所有迫切需要 WuXi ATU 细胞治 疗服务的客户和患者得到不受中断的服务和及时救治，同时 WuXi ATU 美国和 英国业务的相关科学家、技术人员和其他员工可继续为实现“让天下没有难做的 药，难治的…</x:v>
      </x:c>
      <x:c r="N258" s="41" t="str">
        <x:v>1-弱相关</x:v>
      </x:c>
      <x:c r="O258" s="41" t="str">
        <x:v>否</x:v>
      </x:c>
      <x:c r="P258" s="57" t="str">
        <x:v>《关于2025年回报股东特别分红方案的公告》仅提供公司阶段性经营、财务或相邻业务背景，未同时覆盖“资本开支、产能需求与自由现金流”的核心变量，相关性较弱。</x:v>
      </x:c>
      <x:c r="Q258" s="41" t="str">
        <x:v>B-CODEX-FIN-01</x:v>
      </x:c>
      <x:c r="R258" s="80" t="inlineStr">
        <x:is>
          <x:t>2026-08-28T03:00:25+08:00</x:t>
        </x:is>
      </x:c>
    </x:row>
    <x:row r="259" ht="72" customHeight="1">
      <x:c r="A259" s="64" t="str">
        <x:v>V5-R-Q026-C04</x:v>
      </x:c>
      <x:c r="B259" s="64" t="str">
        <x:v>V5-E-603259-C04</x:v>
      </x:c>
      <x:c r="C259" s="64" t="str">
        <x:v>V5-Q026</x:v>
      </x:c>
      <x:c r="D259" s="40" t="str">
        <x:v>药明康德</x:v>
      </x:c>
      <x:c r="E259" s="64" t="str">
        <x:v>603259</x:v>
      </x:c>
      <x:c r="F259" s="87" t="n">
        <x:v>46260.75</x:v>
      </x:c>
      <x:c r="G259" s="51" t="str">
        <x:v>资本开支节奏是否与自由现金流和产能需求匹配</x:v>
      </x:c>
      <x:c r="H259" s="64" t="str">
        <x:v>DOC-EVT-603259-00398</x:v>
      </x:c>
      <x:c r="I259" s="51" t="str">
        <x:v>无锡药明康德新药开发股份有限公司信息披露管理制度（2025年修订）</x:v>
      </x:c>
      <x:c r="J259" s="87" t="n">
        <x:v>45903</x:v>
      </x:c>
      <x:c r="K259" s="73" t="str">
        <x:v>http://static.cninfo.com.cn/finalpage/2025-09-03/1224634473.PDF</x:v>
      </x:c>
      <x:c r="L259" s="40" t="str">
        <x:v>第2页</x:v>
      </x:c>
      <x:c r="M259" s="51" t="str">
        <x:v>1 无锡药明康德新药开发股份有限公司 信息披露管理制度 第一章 总则 第一条 为规范无锡药明康德新药开发股份有限公司 （以下简称“本公司”或 “公司”）的信息披露行为，加强信息披露事务管理，保护投资者合法权益，根 据《中华人民共和国公司法》、《中华人民共和国证券法》、《上市公司信息 披露管理办法》、 《上海证券交易所股票上市规则》 （以下简称“《上交所上市 规则》”）、《上海证券交易所上市公司自律监管指引第2号——信息披露事务 管理》、 《香港联合交易所有限公司证券上市规则》 （以下简称“《香港上市规 则》”） 、 香港证券及期货事务监察委员会 （以下简称“香港证监会”） 发布的 《证 券及期货条例》和《内幕消息披露指引》等相关法律、法规、规范性文件、公 司股票上市地证券交易所的上市规则和 《无锡药明康德新药开发股份有限公司 章程》（以下简称“《公司章程》”）的有关规定，特制定本制度。 第二条 信息披露义务人应当及时依法履行信息披露义务， 披露的信息应当 真实、准确、完整，简明清晰、通俗易懂，不得有虚假记载、误导性陈述或重 大遗漏。信息披露义务人应当同时向所有投资者公开披露信息，不得提前向任 何单位和个人泄露。但是，法律、行政法规另有规定的除外。 公司应当按照公司股票上市地证券交易所有关披露指引的规定， 主动披露 对投资者决策有重大影响的行业经营性信息。行业经营性信息，指与上市公司 业务相关的行业信息和经营性信息。 第三条 公司证券同时在境内境外公开发行、交易，信息披露义务…</x:v>
      </x:c>
      <x:c r="N259" s="41" t="str">
        <x:v>0-无关</x:v>
      </x:c>
      <x:c r="O259" s="41" t="str">
        <x:v>否</x:v>
      </x:c>
      <x:c r="P259" s="57" t="str">
        <x:v>《无锡药明康德新药开发股份有限公司信息披露管理制度（2025年修订）》主要涉及治理、股权、会议、分红或其他事项，未披露“资本开支、产能需求与自由现金流”相关实质证据。</x:v>
      </x:c>
      <x:c r="Q259" s="41" t="str">
        <x:v>B-CODEX-FIN-01</x:v>
      </x:c>
      <x:c r="R259" s="80" t="inlineStr">
        <x:is>
          <x:t>2026-08-28T03:00:25+08:00</x:t>
        </x:is>
      </x:c>
    </x:row>
    <x:row r="260" ht="72" customHeight="1">
      <x:c r="A260" s="64" t="str">
        <x:v>V5-R-Q026-C05</x:v>
      </x:c>
      <x:c r="B260" s="64" t="str">
        <x:v>V5-E-603259-C05</x:v>
      </x:c>
      <x:c r="C260" s="64" t="str">
        <x:v>V5-Q026</x:v>
      </x:c>
      <x:c r="D260" s="40" t="str">
        <x:v>药明康德</x:v>
      </x:c>
      <x:c r="E260" s="64" t="str">
        <x:v>603259</x:v>
      </x:c>
      <x:c r="F260" s="87" t="n">
        <x:v>46260.75</x:v>
      </x:c>
      <x:c r="G260" s="51" t="str">
        <x:v>资本开支节奏是否与自由现金流和产能需求匹配</x:v>
      </x:c>
      <x:c r="H260" s="64" t="str">
        <x:v>DOC-EVT-603259-00207</x:v>
      </x:c>
      <x:c r="I260" s="51" t="str">
        <x:v>关于WuXi ATU业务事项的进展公告</x:v>
      </x:c>
      <x:c r="J260" s="87" t="n">
        <x:v>45651</x:v>
      </x:c>
      <x:c r="K260" s="73" t="str">
        <x:v>http://static.cninfo.com.cn/finalpage/2024-12-25/1222130365.PDF</x:v>
      </x:c>
      <x:c r="L260" s="40" t="str">
        <x:v>第1页</x:v>
      </x:c>
      <x:c r="M260" s="51" t="str">
        <x:v>1 证券代码：603259 证券简称：药明康德 公告编号：临 2024-079 无锡药明康德新药开发股份有限公司 关于 WuXi ATU 业务事项的进展公告 本公司董事会及全体董事保证本公告内容不存在任何虚假记载、误导性陈 述或者重大遗漏，并对其内容的真实性、准确性和完整性依法承担法律责任。 无锡药明康德新药开发股份有限公司（以下简称“公司” ）于 2024 年 10 月 8 日发布了《关于 WuXi ATU 媒体报道的自愿性公告》 （公告编号：临 2024- 067） ，就该公告提及的有关事项，公司间接全资子公司 WuXi ATU (Ireland) Holding Limited、WuXi ATU (Hong Kong) Limited 与 Altaris LLC（包括其所控 制的主体，以下简称“Altaris”）于 2024 年 12 月 24 日（美国时间）签署《股权 购买 协议》（SHARE PURCHASE AGREEMENT ），分别将其持有的 WuXi Advanced Therapies Inc. （WuXi ATU 业 务 的 美 国 运 营 主 体 ，以下简称 “Advanced Therapies”）全部股权及 Oxford Genetics Limited（WuXi ATU 业务 的英国运营主体，以下简称“Oxford Genetics ”）全部股权以现金对价方式转让 给 Altaris（以下简称“本次交易” ）。Altaris 为一家设立于美国的…</x:v>
      </x:c>
      <x:c r="N260" s="41" t="str">
        <x:v>1-弱相关</x:v>
      </x:c>
      <x:c r="O260" s="41" t="str">
        <x:v>否</x:v>
      </x:c>
      <x:c r="P260" s="57" t="str">
        <x:v>《关于WuXi ATU业务事项的进展公告》仅提供公司阶段性经营、财务或相邻业务背景，未同时覆盖“资本开支、产能需求与自由现金流”的核心变量，相关性较弱。</x:v>
      </x:c>
      <x:c r="Q260" s="41" t="str">
        <x:v>B-CODEX-FIN-01</x:v>
      </x:c>
      <x:c r="R260" s="80" t="inlineStr">
        <x:is>
          <x:t>2026-08-28T03:00:25+08:00</x:t>
        </x:is>
      </x:c>
    </x:row>
    <x:row r="261" ht="72" customHeight="1">
      <x:c r="A261" s="64" t="str">
        <x:v>V5-R-Q026-C03</x:v>
      </x:c>
      <x:c r="B261" s="64" t="str">
        <x:v>V5-E-603259-C03</x:v>
      </x:c>
      <x:c r="C261" s="64" t="str">
        <x:v>V5-Q026</x:v>
      </x:c>
      <x:c r="D261" s="40" t="str">
        <x:v>药明康德</x:v>
      </x:c>
      <x:c r="E261" s="64" t="str">
        <x:v>603259</x:v>
      </x:c>
      <x:c r="F261" s="87" t="n">
        <x:v>46260.75</x:v>
      </x:c>
      <x:c r="G261" s="51" t="str">
        <x:v>资本开支节奏是否与自由现金流和产能需求匹配</x:v>
      </x:c>
      <x:c r="H261" s="64" t="str">
        <x:v>DOC-EVT-603259-00244</x:v>
      </x:c>
      <x:c r="I261" s="51" t="str">
        <x:v>关于2025年以集中竞价交易方式回购A股股份的预案</x:v>
      </x:c>
      <x:c r="J261" s="87" t="n">
        <x:v>45734</x:v>
      </x:c>
      <x:c r="K261" s="73" t="str">
        <x:v>http://static.cninfo.com.cn/finalpage/2025-03-18/1222822844.PDF</x:v>
      </x:c>
      <x:c r="L261" s="40" t="str">
        <x:v>第1页</x:v>
      </x:c>
      <x:c r="M261" s="51" t="str">
        <x:v>证券代码：603259 证券简称：药明康德 公告编号：2025-017 无锡药明康德新药开发股份有限公司 关于2025年以集中竞价交易方式回购A股股份的预案 本公司董事会及全体董事保证本公告内容不存在任何虚假记载、误导性陈述 或者重大遗漏，并对其内容的真实性、准确性和完整性依法承担法律责任。 重要内容提示： ● 回购股份金额：无锡药明康德新药开发股份有限公司（以下简称“公司”） 本次回购资金总额为人民币 10 亿元。 ● 回购股份资金来源：公司自有资金及自筹资金。 ● 回购股份用途：本次回购的股份将用于注销并减少公司注册资本。 ● 回购股份价格：本次回购股份价格不超过人民币 92.05 元/股（含），即不高 于董事会通过本次回购股份方案的决议前30 个交易日公司股票交易均价的150%。 ● 回购股份方式：通过上海证券交易所系统以集中竞价交易方式回购 A 股股 票。 ● 回购股份期限：本次回购股份的期限自股东大会批准方案之日起不超过 12 个月（但受限于公司 A 股回购一般性授权的授权期限）。 ● 相关股东是否存在减持计划：经问询，公司董事、监事、高级管理人员、 实际控制人控制的股东、与实际控制人签署一致行动协议的股东、与实际控制人 签署投票委托书的股东截至董事会作出回购股份决议日无减持公司 A 股股票的计 划。若前述主体未来拟实施股份减持计划，相关方将严格按照有关法律、法规及 规范性文件的相关规定及时履行信息披露义务。 ● 相关风险提示： 1、本次回购股份方案尚需提交股东大…</x:v>
      </x:c>
      <x:c r="N261" s="41" t="str">
        <x:v>1-弱相关</x:v>
      </x:c>
      <x:c r="O261" s="41" t="str">
        <x:v>否</x:v>
      </x:c>
      <x:c r="P261" s="57" t="str">
        <x:v>《关于2025年以集中竞价交易方式回购A股股份的预案》仅提供公司阶段性经营、财务或相邻业务背景，未同时覆盖“资本开支、产能需求与自由现金流”的核心变量，相关性较弱。</x:v>
      </x:c>
      <x:c r="Q261" s="41" t="str">
        <x:v>B-CODEX-FIN-01</x:v>
      </x:c>
      <x:c r="R261" s="80" t="inlineStr">
        <x:is>
          <x:t>2026-08-28T03:00:25+08:00</x:t>
        </x:is>
      </x:c>
    </x:row>
    <x:row r="262" ht="72" customHeight="1">
      <x:c r="A262" s="64" t="str">
        <x:v>V5-R-Q027-C09</x:v>
      </x:c>
      <x:c r="B262" s="64" t="str">
        <x:v>V5-E-603259-C09</x:v>
      </x:c>
      <x:c r="C262" s="64" t="str">
        <x:v>V5-Q027</x:v>
      </x:c>
      <x:c r="D262" s="40" t="str">
        <x:v>药明康德</x:v>
      </x:c>
      <x:c r="E262" s="64" t="str">
        <x:v>603259</x:v>
      </x:c>
      <x:c r="F262" s="87" t="n">
        <x:v>46260.75</x:v>
      </x:c>
      <x:c r="G262" s="51" t="str">
        <x:v>客户集中度变化是否影响在手订单兑现稳定性</x:v>
      </x:c>
      <x:c r="H262" s="64" t="str">
        <x:v>DOC-EVT-603259-00234</x:v>
      </x:c>
      <x:c r="I262" s="51" t="str">
        <x:v>关于2025年回报股东特别分红方案的公告</x:v>
      </x:c>
      <x:c r="J262" s="87" t="n">
        <x:v>45734</x:v>
      </x:c>
      <x:c r="K262" s="73" t="str">
        <x:v>http://static.cninfo.com.cn/finalpage/2025-03-18/1222822830.PDF</x:v>
      </x:c>
      <x:c r="L262" s="40" t="str">
        <x:v>第1页</x:v>
      </x:c>
      <x:c r="M262" s="51" t="str">
        <x:v>1 证券代码：603259 证券简称：药明康德 公告编号：临 2025-008 无锡药明康德新药开发股份有限公司 关于 2025 年回报股东特别分红方案的公告 本公司董事会及全体董事保证本公告内容不存在任何虚假记载、误导性陈述 或者重大遗漏，并对其内容的真实性、准确性和完整性承担法律责任。 重要内容提示： 分配方案：每 10 股派发现金红利人民币 3.5000 元（含税）。 此次回报股东特别分红方案以实施此次权益分派股权登记日的总股本 为基数，具体日期将在权益分派实施公告中明确。在实施权益分派股权登记日前 公司总股本发生变动的，按照每股分配金额不变的原则进行分配，相应调整分配 总额，并将另行公告具体调整情况。 一、特别分红方案 无锡药明康德新药开发股份有限公司（以下简称“本公司”或“公司”）于 2024 年 12 月 25 日公告通过其全资子公司 WuXi ATU (Ireland) Holding Limited、 WuXi ATU (Hong Kong) Limited 向Altaris LLC（包括其所控制的主体） 转让WuXi ATU 业务的美国及英国运营主体的全部股权， 并于2025 年 3 月 7 日（美国时间） 完成交割。该部分业务的出售主要是为了确保所有迫切需要 WuXi ATU 细胞治 疗服务的客户和患者得到不受中断的服务和及时救治，同时 WuXi ATU 美国和 英国业务的相关科学家、技术人员和其他员工可继续为实现“让天下没有难做的 药，难治的…</x:v>
      </x:c>
      <x:c r="N262" s="41" t="str">
        <x:v>0-无关</x:v>
      </x:c>
      <x:c r="O262" s="41" t="str">
        <x:v>否</x:v>
      </x:c>
      <x:c r="P262" s="57" t="str">
        <x:v>《关于2025年回报股东特别分红方案的公告》主要涉及治理、股权、会议、分红或其他事项，未披露“客户集中度、在手订单与兑现稳定性”相关实质证据。</x:v>
      </x:c>
      <x:c r="Q262" s="41" t="str">
        <x:v>B-CODEX-FIN-01</x:v>
      </x:c>
      <x:c r="R262" s="80" t="inlineStr">
        <x:is>
          <x:t>2026-08-28T03:00:25+08:00</x:t>
        </x:is>
      </x:c>
    </x:row>
    <x:row r="263" ht="72" customHeight="1">
      <x:c r="A263" s="64" t="str">
        <x:v>V5-R-Q027-C06</x:v>
      </x:c>
      <x:c r="B263" s="64" t="str">
        <x:v>V5-E-603259-C06</x:v>
      </x:c>
      <x:c r="C263" s="64" t="str">
        <x:v>V5-Q027</x:v>
      </x:c>
      <x:c r="D263" s="40" t="str">
        <x:v>药明康德</x:v>
      </x:c>
      <x:c r="E263" s="64" t="str">
        <x:v>603259</x:v>
      </x:c>
      <x:c r="F263" s="87" t="n">
        <x:v>46260.75</x:v>
      </x:c>
      <x:c r="G263" s="51" t="str">
        <x:v>客户集中度变化是否影响在手订单兑现稳定性</x:v>
      </x:c>
      <x:c r="H263" s="64" t="str">
        <x:v>DOC-EVT-603259-00415</x:v>
      </x:c>
      <x:c r="I263" s="51" t="str">
        <x:v>2025年第三季度报告</x:v>
      </x:c>
      <x:c r="J263" s="87" t="n">
        <x:v>45957</x:v>
      </x:c>
      <x:c r="K263" s="73" t="str">
        <x:v>http://static.cninfo.com.cn/finalpage/2025-10-27/1224737987.PDF</x:v>
      </x:c>
      <x:c r="L263" s="40" t="str">
        <x:v>第7页</x:v>
      </x:c>
      <x:c r="M263" s="51" t="str">
        <x:v>无锡药明康德新药开发股份有限公司 2025 年第三季度报告 7 / 24 - 新分子类型药物发现服务延续良好表现，所贡献收入占生物学业务总收入超 30%。 公司预计 2025 年持续经营业务收入重回双位数增长，增速从 13-17%上调至 17-18%。公司预 计全年整体收入从人民币 425-435 亿元上调至人民币 435-440 亿元。公司将聚焦 CRDMO 核心业 务，持续提高生产经营效率。 上述提及的 2025 年全年经营业绩展望以公司目前在手订单情况为基础预测，并以全球医药行 业发展平稳、国际贸易环境和主要运营所在地国家监管环境稳定等为前提基础，并不代表公司管 理层对 2025 年度全年经营业绩的盈利预测，不构成公司对投资者的实质承诺，能否实现取决于内 外部环境变化等多种因素影响，存在较大的不确定性。 二、股东信息 （一） 普通股股东总数和表决权恢复的优先股股东数量及前十名股东持股情况表 单位：股 报告期末普通股股东总数（注 1） 274,117 报告期末表决权恢复的优先股股 东总数（如有） 0 前 10 名股东持股情况（不含通过转融通出借股份） 股东名称 股东性质 持股数量 持股比 例(%) 持有有 限售条 件股份 数量 质押、标记 或冻结情况 股份 状态 数量 HKSCC NOMINEES LIMITED （注 2） 境外法人 478,124,762 16.1219 0 未知 0 香港中央结算有限公司（注 3） 境外法人 248,930,541 8.3937 0…</x:v>
      </x:c>
      <x:c r="N263" s="41" t="str">
        <x:v>3-直接相关</x:v>
      </x:c>
      <x:c r="O263" s="41" t="str">
        <x:v>是</x:v>
      </x:c>
      <x:c r="P263" s="57" t="str">
        <x:v>三季报明确经营展望以在手订单为基础，直接覆盖“客户集中度、在手订单与兑现稳定性”的关键变量，关系路径成立。</x:v>
      </x:c>
      <x:c r="Q263" s="41" t="str">
        <x:v>B-CODEX-FIN-01</x:v>
      </x:c>
      <x:c r="R263" s="80" t="inlineStr">
        <x:is>
          <x:t>2026-08-28T03:00:25+08:00</x:t>
        </x:is>
      </x:c>
    </x:row>
    <x:row r="264" ht="72" customHeight="1">
      <x:c r="A264" s="64" t="str">
        <x:v>V5-R-Q027-C03</x:v>
      </x:c>
      <x:c r="B264" s="64" t="str">
        <x:v>V5-E-603259-C03</x:v>
      </x:c>
      <x:c r="C264" s="64" t="str">
        <x:v>V5-Q027</x:v>
      </x:c>
      <x:c r="D264" s="40" t="str">
        <x:v>药明康德</x:v>
      </x:c>
      <x:c r="E264" s="64" t="str">
        <x:v>603259</x:v>
      </x:c>
      <x:c r="F264" s="87" t="n">
        <x:v>46260.75</x:v>
      </x:c>
      <x:c r="G264" s="51" t="str">
        <x:v>客户集中度变化是否影响在手订单兑现稳定性</x:v>
      </x:c>
      <x:c r="H264" s="64" t="str">
        <x:v>DOC-EVT-603259-00244</x:v>
      </x:c>
      <x:c r="I264" s="51" t="str">
        <x:v>关于2025年以集中竞价交易方式回购A股股份的预案</x:v>
      </x:c>
      <x:c r="J264" s="87" t="n">
        <x:v>45734</x:v>
      </x:c>
      <x:c r="K264" s="73" t="str">
        <x:v>http://static.cninfo.com.cn/finalpage/2025-03-18/1222822844.PDF</x:v>
      </x:c>
      <x:c r="L264" s="40" t="str">
        <x:v>第1页</x:v>
      </x:c>
      <x:c r="M264" s="51" t="str">
        <x:v>证券代码：603259 证券简称：药明康德 公告编号：2025-017 无锡药明康德新药开发股份有限公司 关于2025年以集中竞价交易方式回购A股股份的预案 本公司董事会及全体董事保证本公告内容不存在任何虚假记载、误导性陈述 或者重大遗漏，并对其内容的真实性、准确性和完整性依法承担法律责任。 重要内容提示： ● 回购股份金额：无锡药明康德新药开发股份有限公司（以下简称“公司”） 本次回购资金总额为人民币 10 亿元。 ● 回购股份资金来源：公司自有资金及自筹资金。 ● 回购股份用途：本次回购的股份将用于注销并减少公司注册资本。 ● 回购股份价格：本次回购股份价格不超过人民币 92.05 元/股（含），即不高 于董事会通过本次回购股份方案的决议前30 个交易日公司股票交易均价的150%。 ● 回购股份方式：通过上海证券交易所系统以集中竞价交易方式回购 A 股股 票。 ● 回购股份期限：本次回购股份的期限自股东大会批准方案之日起不超过 12 个月（但受限于公司 A 股回购一般性授权的授权期限）。 ● 相关股东是否存在减持计划：经问询，公司董事、监事、高级管理人员、 实际控制人控制的股东、与实际控制人签署一致行动协议的股东、与实际控制人 签署投票委托书的股东截至董事会作出回购股份决议日无减持公司 A 股股票的计 划。若前述主体未来拟实施股份减持计划，相关方将严格按照有关法律、法规及 规范性文件的相关规定及时履行信息披露义务。 ● 相关风险提示： 1、本次回购股份方案尚需提交股东大…</x:v>
      </x:c>
      <x:c r="N264" s="41" t="str">
        <x:v>0-无关</x:v>
      </x:c>
      <x:c r="O264" s="41" t="str">
        <x:v>否</x:v>
      </x:c>
      <x:c r="P264" s="57" t="str">
        <x:v>《关于2025年以集中竞价交易方式回购A股股份的预案》主要涉及治理、股权、会议、分红或其他事项，未披露“客户集中度、在手订单与兑现稳定性”相关实质证据。</x:v>
      </x:c>
      <x:c r="Q264" s="41" t="str">
        <x:v>B-CODEX-FIN-01</x:v>
      </x:c>
      <x:c r="R264" s="80" t="inlineStr">
        <x:is>
          <x:t>2026-08-28T03:00:25+08:00</x:t>
        </x:is>
      </x:c>
    </x:row>
    <x:row r="265" ht="72" customHeight="1">
      <x:c r="A265" s="64" t="str">
        <x:v>V5-R-Q027-C07</x:v>
      </x:c>
      <x:c r="B265" s="64" t="str">
        <x:v>V5-E-603259-C07</x:v>
      </x:c>
      <x:c r="C265" s="64" t="str">
        <x:v>V5-Q027</x:v>
      </x:c>
      <x:c r="D265" s="40" t="str">
        <x:v>药明康德</x:v>
      </x:c>
      <x:c r="E265" s="64" t="str">
        <x:v>603259</x:v>
      </x:c>
      <x:c r="F265" s="87" t="n">
        <x:v>46260.75</x:v>
      </x:c>
      <x:c r="G265" s="51" t="str">
        <x:v>客户集中度变化是否影响在手订单兑现稳定性</x:v>
      </x:c>
      <x:c r="H265" s="64" t="str">
        <x:v>DOC-EVT-603259-00115</x:v>
      </x:c>
      <x:c r="I265" s="51" t="str">
        <x:v>2024年第一季度报告</x:v>
      </x:c>
      <x:c r="J265" s="87" t="n">
        <x:v>45412</x:v>
      </x:c>
      <x:c r="K265" s="73" t="str">
        <x:v>http://static.cninfo.com.cn/finalpage/2024-04-30/1219917570.PDF</x:v>
      </x:c>
      <x:c r="L265" s="40" t="str">
        <x:v>第4页</x:v>
      </x:c>
      <x:c r="M265" s="51" t="str">
        <x:v>期项目，2,803 个临床前和临床I 期项目。 其中， 商业化和临床III 期项目在报告期内合计新增11 个。TIDES 业务（主要为寡核苷酸和多肽）继续 放量。报告期内，TIDES 业务收入达到人民币7.8 亿元，同比强劲增长43.1%。截至2024 年第一 季度末，TIDES 在手订单同比显著增长110%。 报告期内，TIDES D&amp;M 服务客户数量达到146 个， 同比提升30%，服务分子数量达到276 个，同比提升43%。2024 年1 月，多肽固相合成反应釜体 积增加至32,000L。 （2）测试业务实现收入人民币14.9 亿元。实验室分析及测试服务收入人民币10.5 亿元，同 比下降 0.6%。其中，药物安全性评价业务收入同比增长3.7%，保持亚太行业领先地位。2024 年 第一季度，成都设施通过国家药品监督管理局（NMPA）GLP 资质认证；启东设施分别于2024 年 3 月和 4 月通过国际经济合作与发展组织（OECD）和 NMPA GLP 资质认证。2024 年第一季度 GLP 资质设施总计新增22,000 平方米。公司新分子业务持续发力，不断完善新型疫苗类能力，核 酸类、偶联类、mRNA 类市场份额进一步扩大。临床CRO 及SMO 业务收入人民币4.4 亿元，同 比增长11.0%。其中，SMO 业务同比增长26.4%，保持中国行业领先地位。报告期内，SMO 赋能 客户 10 个新药产品获批上市。SMO 业务保持快速增长，并在肺癌、乳腺癌、皮肤科、心血管内…</x:v>
      </x:c>
      <x:c r="N265" s="41" t="str">
        <x:v>2-间接相关</x:v>
      </x:c>
      <x:c r="O265" s="41" t="str">
        <x:v>是</x:v>
      </x:c>
      <x:c r="P265" s="57" t="str">
        <x:v>一季报披露TIDES在手订单、客户数和项目增长，能够支持“客户集中度、在手订单与兑现稳定性”的中间环节，但未完整量化最终影响。</x:v>
      </x:c>
      <x:c r="Q265" s="41" t="str">
        <x:v>B-CODEX-FIN-01</x:v>
      </x:c>
      <x:c r="R265" s="80" t="inlineStr">
        <x:is>
          <x:t>2026-08-28T03:00:25+08:00</x:t>
        </x:is>
      </x:c>
    </x:row>
    <x:row r="266" ht="72" customHeight="1">
      <x:c r="A266" s="64" t="str">
        <x:v>V5-R-Q027-C01</x:v>
      </x:c>
      <x:c r="B266" s="64" t="str">
        <x:v>V5-E-603259-C01</x:v>
      </x:c>
      <x:c r="C266" s="64" t="str">
        <x:v>V5-Q027</x:v>
      </x:c>
      <x:c r="D266" s="40" t="str">
        <x:v>药明康德</x:v>
      </x:c>
      <x:c r="E266" s="64" t="str">
        <x:v>603259</x:v>
      </x:c>
      <x:c r="F266" s="87" t="n">
        <x:v>46260.75</x:v>
      </x:c>
      <x:c r="G266" s="51" t="str">
        <x:v>客户集中度变化是否影响在手订单兑现稳定性</x:v>
      </x:c>
      <x:c r="H266" s="64" t="str">
        <x:v>DOC-EVT-603259-00464</x:v>
      </x:c>
      <x:c r="I266" s="51" t="str">
        <x:v>2025年年度报告</x:v>
      </x:c>
      <x:c r="J266" s="87" t="n">
        <x:v>46105</x:v>
      </x:c>
      <x:c r="K266" s="73" t="str">
        <x:v>http://static.cninfo.com.cn/finalpage/2026-03-24/1225025225.PDF</x:v>
      </x:c>
      <x:c r="L266" s="40" t="str">
        <x:v>第14页</x:v>
      </x:c>
      <x:c r="M266" s="51" t="str">
        <x:v>无锡药明康德新药开发股份有限公司2025 年年度报告 14 / 249 - 小分子工艺研发和生产 (“D”和“M”，DevelopmentandManufacturing) 业务保持强劲 增长。 i. 小分子 CDMO管线持续扩张。2025年小分子 D&amp;M业务收入 199.2亿元，同比增长 11.4%。2025年，小分子 D&amp;M管线累计新增 839个分子。截至 2025年末，小分子 D&amp;M管线总数达到 3,452个，包括 83个商业化项目,91个临床 III期项目，377个 临床 II期项目,2,901个临床前和临床 I期项目。商业化和临床 III期阶段项目全年 增加 22个。 ii. 公司持续推进小分子产能建设。2025年，常州、泰兴及金山原料药基地均以零缺陷 成功通过 FDA现场检查。截至 2025年末，小分子原料药反应釜总体积已提升至超 4,000kL。 - TIDES业务（寡核苷酸和多肽）保持高速增长。 i. 随着 2024年新增产能逐季度爬坡，2025年 TIDES业务收入达到 113.7亿元，同比 增长 96.0%。截至 2025年末，TIDES在手订单同比增长 20.2%。 ii. TIDESD&amp;M服务客户数同比提升 25%，服务分子数量同比提升 45%。 iii. 2025年 9月，提前完成泰兴多肽产能建设。公司多肽固相合成反应釜总体积已提升 至超 100,000L。 (2) 测试业务实现收入人民币 40.4亿元，同比恢复正增长 4.7%。报告期内： - 药…</x:v>
      </x:c>
      <x:c r="N266" s="41" t="str">
        <x:v>3-直接相关</x:v>
      </x:c>
      <x:c r="O266" s="41" t="str">
        <x:v>是</x:v>
      </x:c>
      <x:c r="P266" s="57" t="str">
        <x:v>年报披露客户结构、D&amp;M管线和订单执行情况，直接覆盖“客户集中度、在手订单与兑现稳定性”的关键变量，关系路径成立。</x:v>
      </x:c>
      <x:c r="Q266" s="41" t="str">
        <x:v>B-CODEX-FIN-01</x:v>
      </x:c>
      <x:c r="R266" s="80" t="inlineStr">
        <x:is>
          <x:t>2026-08-28T03:00:25+08:00</x:t>
        </x:is>
      </x:c>
    </x:row>
    <x:row r="267" ht="72" customHeight="1">
      <x:c r="A267" s="64" t="str">
        <x:v>V5-R-Q027-C08</x:v>
      </x:c>
      <x:c r="B267" s="64" t="str">
        <x:v>V5-E-603259-C08</x:v>
      </x:c>
      <x:c r="C267" s="64" t="str">
        <x:v>V5-Q027</x:v>
      </x:c>
      <x:c r="D267" s="40" t="str">
        <x:v>药明康德</x:v>
      </x:c>
      <x:c r="E267" s="64" t="str">
        <x:v>603259</x:v>
      </x:c>
      <x:c r="F267" s="87" t="n">
        <x:v>46260.75</x:v>
      </x:c>
      <x:c r="G267" s="51" t="str">
        <x:v>客户集中度变化是否影响在手订单兑现稳定性</x:v>
      </x:c>
      <x:c r="H267" s="64" t="str">
        <x:v>DOC-EVT-603259-00468</x:v>
      </x:c>
      <x:c r="I267" s="51" t="str">
        <x:v>关于召开2025年度业绩说明会的公告</x:v>
      </x:c>
      <x:c r="J267" s="87" t="n">
        <x:v>46114</x:v>
      </x:c>
      <x:c r="K267" s="73" t="str">
        <x:v>http://static.cninfo.com.cn/finalpage/2026-04-02/1225070294.PDF</x:v>
      </x:c>
      <x:c r="L267" s="40" t="str">
        <x:v>第1页</x:v>
      </x:c>
      <x:c r="M267" s="51" t="str">
        <x:v>证券代码：603259 证券简称：药明康德 公告编号：临 2026-016 无锡药明康德新药开发股份有限公司 关于召开2025 年度业绩说明会的公告 本公司董事会及全体董事保证本公告内容不存在任何虚假记载、误导性陈述 或者重大遗漏，并对其内容的真实性、准确性和完整性承担法律责任。 重要内容提示：  会议召开时间：2026 年 4 月 13 日（星期一）上午 10:00-11:00  会议召开地点：上海证券交易所上证路演中心（http://roadshow.sseinfo.com/）  会议召开方式：上证路演中心视频直播和网络互动  投资者可于 2026 年 4 月 3 日（星期五）至 2026 年 4 月 10 日（星期五）16:00 前登录上证路演中心网站首页，点击“提问预征集”栏目或将相关问题通过 电子邮件的形式发送至本公司投资者关系邮箱：ir@wuxiapptec.com。本公司 将于 2025 年度业绩说明会（以下简称“业绩说明会”）上对投资者普遍关注 的问题进行回答。 无锡药明康德新药开发股份有限公司（以下简称“本公司”）已于 2026 年 3 月 24 日在上海证券交易所网站（www.sse.com.cn）及指定媒体披露《无锡药明 康德新药开发股份有限公司 2025 年年度报告》。为了便于广大投资者更全面深入 地了解本公司 2025 年度业绩和经营情况，本公司拟于 2026 年 4 月 13 日（星期 一）上午 10:00-11:00 召开业绩说明会，就…</x:v>
      </x:c>
      <x:c r="N267" s="41" t="str">
        <x:v>0-无关</x:v>
      </x:c>
      <x:c r="O267" s="41" t="str">
        <x:v>否</x:v>
      </x:c>
      <x:c r="P267" s="57" t="str">
        <x:v>《关于召开2025年度业绩说明会的公告》主要涉及治理、股权、会议、分红或其他事项，未披露“客户集中度、在手订单与兑现稳定性”相关实质证据。</x:v>
      </x:c>
      <x:c r="Q267" s="41" t="str">
        <x:v>B-CODEX-FIN-01</x:v>
      </x:c>
      <x:c r="R267" s="80" t="inlineStr">
        <x:is>
          <x:t>2026-08-28T03:00:25+08:00</x:t>
        </x:is>
      </x:c>
    </x:row>
    <x:row r="268" ht="72" customHeight="1">
      <x:c r="A268" s="64" t="str">
        <x:v>V5-R-Q027-C05</x:v>
      </x:c>
      <x:c r="B268" s="64" t="str">
        <x:v>V5-E-603259-C05</x:v>
      </x:c>
      <x:c r="C268" s="64" t="str">
        <x:v>V5-Q027</x:v>
      </x:c>
      <x:c r="D268" s="40" t="str">
        <x:v>药明康德</x:v>
      </x:c>
      <x:c r="E268" s="64" t="str">
        <x:v>603259</x:v>
      </x:c>
      <x:c r="F268" s="87" t="n">
        <x:v>46260.75</x:v>
      </x:c>
      <x:c r="G268" s="51" t="str">
        <x:v>客户集中度变化是否影响在手订单兑现稳定性</x:v>
      </x:c>
      <x:c r="H268" s="64" t="str">
        <x:v>DOC-EVT-603259-00207</x:v>
      </x:c>
      <x:c r="I268" s="51" t="str">
        <x:v>关于WuXi ATU业务事项的进展公告</x:v>
      </x:c>
      <x:c r="J268" s="87" t="n">
        <x:v>45651</x:v>
      </x:c>
      <x:c r="K268" s="73" t="str">
        <x:v>http://static.cninfo.com.cn/finalpage/2024-12-25/1222130365.PDF</x:v>
      </x:c>
      <x:c r="L268" s="40" t="str">
        <x:v>第1页</x:v>
      </x:c>
      <x:c r="M268" s="51" t="str">
        <x:v>1 证券代码：603259 证券简称：药明康德 公告编号：临 2024-079 无锡药明康德新药开发股份有限公司 关于 WuXi ATU 业务事项的进展公告 本公司董事会及全体董事保证本公告内容不存在任何虚假记载、误导性陈 述或者重大遗漏，并对其内容的真实性、准确性和完整性依法承担法律责任。 无锡药明康德新药开发股份有限公司（以下简称“公司” ）于 2024 年 10 月 8 日发布了《关于 WuXi ATU 媒体报道的自愿性公告》 （公告编号：临 2024- 067） ，就该公告提及的有关事项，公司间接全资子公司 WuXi ATU (Ireland) Holding Limited、WuXi ATU (Hong Kong) Limited 与 Altaris LLC（包括其所控 制的主体，以下简称“Altaris”）于 2024 年 12 月 24 日（美国时间）签署《股权 购买 协议》（SHARE PURCHASE AGREEMENT ），分别将其持有的 WuXi Advanced Therapies Inc. （WuXi ATU 业 务 的 美 国 运 营 主 体 ，以下简称 “Advanced Therapies”）全部股权及 Oxford Genetics Limited（WuXi ATU 业务 的英国运营主体，以下简称“Oxford Genetics ”）全部股权以现金对价方式转让 给 Altaris（以下简称“本次交易” ）。Altaris 为一家设立于美国的…</x:v>
      </x:c>
      <x:c r="N268" s="41" t="str">
        <x:v>1-弱相关</x:v>
      </x:c>
      <x:c r="O268" s="41" t="str">
        <x:v>否</x:v>
      </x:c>
      <x:c r="P268" s="57" t="str">
        <x:v>《关于WuXi ATU业务事项的进展公告》仅提供公司阶段性经营、财务或相邻业务背景，未同时覆盖“客户集中度、在手订单与兑现稳定性”的核心变量，相关性较弱。</x:v>
      </x:c>
      <x:c r="Q268" s="41" t="str">
        <x:v>B-CODEX-FIN-01</x:v>
      </x:c>
      <x:c r="R268" s="80" t="inlineStr">
        <x:is>
          <x:t>2026-08-28T03:00:25+08:00</x:t>
        </x:is>
      </x:c>
    </x:row>
    <x:row r="269" ht="72" customHeight="1">
      <x:c r="A269" s="64" t="str">
        <x:v>V5-R-Q027-C10</x:v>
      </x:c>
      <x:c r="B269" s="64" t="str">
        <x:v>V5-E-603259-C10</x:v>
      </x:c>
      <x:c r="C269" s="64" t="str">
        <x:v>V5-Q027</x:v>
      </x:c>
      <x:c r="D269" s="40" t="str">
        <x:v>药明康德</x:v>
      </x:c>
      <x:c r="E269" s="64" t="str">
        <x:v>603259</x:v>
      </x:c>
      <x:c r="F269" s="87" t="n">
        <x:v>46260.75</x:v>
      </x:c>
      <x:c r="G269" s="51" t="str">
        <x:v>客户集中度变化是否影响在手订单兑现稳定性</x:v>
      </x:c>
      <x:c r="H269" s="64" t="str">
        <x:v>DOC-EVT-603259-00526</x:v>
      </x:c>
      <x:c r="I269" s="51" t="str">
        <x:v>H股公告</x:v>
      </x:c>
      <x:c r="J269" s="87" t="n">
        <x:v>46239</x:v>
      </x:c>
      <x:c r="K269" s="73" t="str">
        <x:v>http://static.cninfo.com.cn/finalpage/2026-08-05/1225457419.PDF</x:v>
      </x:c>
      <x:c r="L269" s="40" t="str">
        <x:v>第1页</x:v>
      </x:c>
      <x:c r="M269" s="51" t="str">
        <x:v>FF301 ∉  ⊈ಊṉọᄅḸі ٺ୍ᄅರ ⊯Ⅲࢌ ඳ ඳ଀Ẁඳ ರ௹ ୍ᄅರ Чṉọ ٳٺܢܢ⦁ )෮ഈ൧ 䩏 ൞ ⊈ಊսὂ ೂഈ൧  䪌ૼ ଢ ૫ᆴЧ ᾵թ    3.#  3.#    㦆ഒ   3.#  ᾵թ    3.#  3.#    ٳٺܢܢ⦁ "෮ഈ൧ 䩏 ڎ ⊈ಊսὂ ೂഈ൧  䪌ૼၞ෮ഈ൧ ଢ ૫ᆴЧ ᾵թ     3.#  3.#     㦆ഒ   3.#  ᾵թ     3.#  3.#     Ч⊺ỡğ 3.#     Ḿ䩏ğ</x:v>
      </x:c>
      <x:c r="N269" s="41" t="str">
        <x:v>0-无关</x:v>
      </x:c>
      <x:c r="O269" s="41" t="str">
        <x:v>否</x:v>
      </x:c>
      <x:c r="P269" s="57" t="str">
        <x:v>《H股公告》主要涉及治理、股权、会议、分红或其他事项，未披露“客户集中度、在手订单与兑现稳定性”相关实质证据。</x:v>
      </x:c>
      <x:c r="Q269" s="41" t="str">
        <x:v>B-CODEX-FIN-01</x:v>
      </x:c>
      <x:c r="R269" s="80" t="inlineStr">
        <x:is>
          <x:t>2026-08-28T03:00:25+08:00</x:t>
        </x:is>
      </x:c>
    </x:row>
    <x:row r="270" ht="72" customHeight="1">
      <x:c r="A270" s="64" t="str">
        <x:v>V5-R-Q027-C04</x:v>
      </x:c>
      <x:c r="B270" s="64" t="str">
        <x:v>V5-E-603259-C04</x:v>
      </x:c>
      <x:c r="C270" s="64" t="str">
        <x:v>V5-Q027</x:v>
      </x:c>
      <x:c r="D270" s="40" t="str">
        <x:v>药明康德</x:v>
      </x:c>
      <x:c r="E270" s="64" t="str">
        <x:v>603259</x:v>
      </x:c>
      <x:c r="F270" s="87" t="n">
        <x:v>46260.75</x:v>
      </x:c>
      <x:c r="G270" s="51" t="str">
        <x:v>客户集中度变化是否影响在手订单兑现稳定性</x:v>
      </x:c>
      <x:c r="H270" s="64" t="str">
        <x:v>DOC-EVT-603259-00398</x:v>
      </x:c>
      <x:c r="I270" s="51" t="str">
        <x:v>无锡药明康德新药开发股份有限公司信息披露管理制度（2025年修订）</x:v>
      </x:c>
      <x:c r="J270" s="87" t="n">
        <x:v>45903</x:v>
      </x:c>
      <x:c r="K270" s="73" t="str">
        <x:v>http://static.cninfo.com.cn/finalpage/2025-09-03/1224634473.PDF</x:v>
      </x:c>
      <x:c r="L270" s="40" t="str">
        <x:v>第2页</x:v>
      </x:c>
      <x:c r="M270" s="51" t="str">
        <x:v>1 无锡药明康德新药开发股份有限公司 信息披露管理制度 第一章 总则 第一条 为规范无锡药明康德新药开发股份有限公司 （以下简称“本公司”或 “公司”）的信息披露行为，加强信息披露事务管理，保护投资者合法权益，根 据《中华人民共和国公司法》、《中华人民共和国证券法》、《上市公司信息 披露管理办法》、 《上海证券交易所股票上市规则》 （以下简称“《上交所上市 规则》”）、《上海证券交易所上市公司自律监管指引第2号——信息披露事务 管理》、 《香港联合交易所有限公司证券上市规则》 （以下简称“《香港上市规 则》”） 、 香港证券及期货事务监察委员会 （以下简称“香港证监会”） 发布的 《证 券及期货条例》和《内幕消息披露指引》等相关法律、法规、规范性文件、公 司股票上市地证券交易所的上市规则和 《无锡药明康德新药开发股份有限公司 章程》（以下简称“《公司章程》”）的有关规定，特制定本制度。 第二条 信息披露义务人应当及时依法履行信息披露义务， 披露的信息应当 真实、准确、完整，简明清晰、通俗易懂，不得有虚假记载、误导性陈述或重 大遗漏。信息披露义务人应当同时向所有投资者公开披露信息，不得提前向任 何单位和个人泄露。但是，法律、行政法规另有规定的除外。 公司应当按照公司股票上市地证券交易所有关披露指引的规定， 主动披露 对投资者决策有重大影响的行业经营性信息。行业经营性信息，指与上市公司 业务相关的行业信息和经营性信息。 第三条 公司证券同时在境内境外公开发行、交易，信息披露义务…</x:v>
      </x:c>
      <x:c r="N270" s="41" t="str">
        <x:v>0-无关</x:v>
      </x:c>
      <x:c r="O270" s="41" t="str">
        <x:v>否</x:v>
      </x:c>
      <x:c r="P270" s="57" t="str">
        <x:v>《无锡药明康德新药开发股份有限公司信息披露管理制度（2025年修订）》主要涉及治理、股权、会议、分红或其他事项，未披露“客户集中度、在手订单与兑现稳定性”相关实质证据。</x:v>
      </x:c>
      <x:c r="Q270" s="41" t="str">
        <x:v>B-CODEX-FIN-01</x:v>
      </x:c>
      <x:c r="R270" s="80" t="inlineStr">
        <x:is>
          <x:t>2026-08-28T03:00:25+08:00</x:t>
        </x:is>
      </x:c>
    </x:row>
    <x:row r="271" ht="72" customHeight="1">
      <x:c r="A271" s="64" t="str">
        <x:v>V5-R-Q027-C02</x:v>
      </x:c>
      <x:c r="B271" s="64" t="str">
        <x:v>V5-E-603259-C02</x:v>
      </x:c>
      <x:c r="C271" s="64" t="str">
        <x:v>V5-Q027</x:v>
      </x:c>
      <x:c r="D271" s="40" t="str">
        <x:v>药明康德</x:v>
      </x:c>
      <x:c r="E271" s="64" t="str">
        <x:v>603259</x:v>
      </x:c>
      <x:c r="F271" s="87" t="n">
        <x:v>46260.75</x:v>
      </x:c>
      <x:c r="G271" s="51" t="str">
        <x:v>客户集中度变化是否影响在手订单兑现稳定性</x:v>
      </x:c>
      <x:c r="H271" s="64" t="str">
        <x:v>DOC-EVT-603259-00385</x:v>
      </x:c>
      <x:c r="I271" s="51" t="str">
        <x:v>无锡药明康德新药开发股份有限公司信息披露暂缓与豁免业务管理制度（2025年修订）</x:v>
      </x:c>
      <x:c r="J271" s="87" t="n">
        <x:v>45903</x:v>
      </x:c>
      <x:c r="K271" s="73" t="str">
        <x:v>http://static.cninfo.com.cn/finalpage/2025-09-03/1224634474.PDF</x:v>
      </x:c>
      <x:c r="L271" s="40" t="str">
        <x:v>第2页</x:v>
      </x:c>
      <x:c r="M271" s="51" t="str">
        <x:v>1 无锡药明康德新药开发股份有限公司 信息披露暂缓与豁免业务管理制度 第一章 总则 第一条 为规范无锡药明康德新药开发股份有限公司（以下简称“公司”）信 息披露暂缓与豁免行为，确保公司依法合规履行信息披露义务，保护投资者的 合法权益，依据《中华人民共和国公司法》 、 《中华人民共和国证券法》 、《上市 公司信息披露暂缓与豁免管理规定》 、《上海证券交易所股票上市规则》 （以下 简称“《股票上市规则》”）和《上海证券交易所上市公司自律监管指引第2 号 ——信息披露事务管理》 、 《香港联合交易所有限公司证券上市规则》 、香港证 券及期货事务监察委员会发布的《证券及期货条例》（以下简称“ 《证券及期货 条例》 ” ）和《内幕消息披露指引》等法律、法规、规范性文件（以下合称“相关 法律法规及公司股票上市地证券交易所的业务规则”）的相关规定以及《无锡 药明康德新药开发股份有限公司章程》 （以下简称“《公司章程》”）以及《无锡 药明康德新药开发股份有限公司信息披露管理制度》 （以下简称“《公司信息披 露管理制度》”） ，制定本制度。 第二条 公司和其他信息披露义务人按照相关法律法规及公司股票上市地 证券交易所的业务规则的规定，暂缓、豁免披露临时报告，在定期报告、临时 报告中豁免披露相关法律法规及公司股票上市地证券交易所 规定或者要求披 露的内容，适用本制度。 第三条 公司和其他信息披露义务人应审慎确定信息披露暂缓、豁免事项， 履行内部审核程序后实施。 第二章 暂缓、豁免披露信息的范围…</x:v>
      </x:c>
      <x:c r="N271" s="41" t="str">
        <x:v>1-弱相关</x:v>
      </x:c>
      <x:c r="O271" s="41" t="str">
        <x:v>否</x:v>
      </x:c>
      <x:c r="P271" s="57" t="str">
        <x:v>《无锡药明康德新药开发股份有限公司信息披露暂缓与豁免业务管理制度（2025年修订）》仅提供公司阶段性经营、财务或相邻业务背景，未同时覆盖“客户集中度、在手订单与兑现稳定性”的核心变量，相关性较弱。</x:v>
      </x:c>
      <x:c r="Q271" s="41" t="str">
        <x:v>B-CODEX-FIN-01</x:v>
      </x:c>
      <x:c r="R271" s="80" t="inlineStr">
        <x:is>
          <x:t>2026-08-28T03:00:25+08:00</x:t>
        </x:is>
      </x:c>
    </x:row>
    <x:row r="272" ht="72" customHeight="1">
      <x:c r="A272" s="64" t="str">
        <x:v>V5-R-Q028-C03</x:v>
      </x:c>
      <x:c r="B272" s="64" t="str">
        <x:v>V5-E-000538-C03</x:v>
      </x:c>
      <x:c r="C272" s="64" t="str">
        <x:v>V5-Q028</x:v>
      </x:c>
      <x:c r="D272" s="40" t="str">
        <x:v>云南白药</x:v>
      </x:c>
      <x:c r="E272" s="64" t="str">
        <x:v>000538</x:v>
      </x:c>
      <x:c r="F272" s="87" t="n">
        <x:v>46260.75</x:v>
      </x:c>
      <x:c r="G272" s="51" t="str">
        <x:v>健康品渠道改革能否恢复核心品牌销售效率</x:v>
      </x:c>
      <x:c r="H272" s="64" t="str">
        <x:v>DOC-EVT-000538-00231</x:v>
      </x:c>
      <x:c r="I272" s="51" t="str">
        <x:v>2025年年度权益分派实施公告</x:v>
      </x:c>
      <x:c r="J272" s="87" t="n">
        <x:v>46136</x:v>
      </x:c>
      <x:c r="K272" s="73" t="str">
        <x:v>http://static.cninfo.com.cn/finalpage/2026-04-24/1225161370.PDF</x:v>
      </x:c>
      <x:c r="L272" s="40" t="str">
        <x:v>第1页</x:v>
      </x:c>
      <x:c r="M272" s="51" t="str">
        <x:v>1 / 3 股票代码：000538 股票简称：云南白药 公告编号：2026-16 云南白药集团股份有限公司 2025 年年度权益分派实施公告 本公司及董事会全体成员保证信息披露内容的真实、准确、完整，没有虚 假记载、误导性陈述或重大遗漏。 云南白药集团股份有限公司（以下简称“公司”或“本公司”）2025 年年度 权益分派方案已获2026 年4 月21 日召开的公司2025 年度股东会审议通过， 股东会决议公告刊登于2026 年4 月22 日的《中国证券报》《上海证券报》 《证券时报》及巨潮资讯网（http://www.cninfo.com.cn）。现将2025 年度权 益分派情况公告如下： 一、股东会审议通过权益分派方案情况 1、本公司获股东会审议通过的 2025 年年度权益分派具体方案为：以公 司现有总股本 1,784,262,603 股为基数，向全体股东每 10 股派发现金红利 15.83 元（含税），送红股 0 股，不以资本公积金转增股本，本次现金分红 总金额 2,824,487,700.55 元。按照本方案分配比例，以分配方案未来实施时 股权登记日享有利润分配权利的股份数量为基数，从而最终确定分配总额。 其余未分配利润留待以后年度分配。在公司利润分配预案披露之日起至实施 权益分派股权登记日期间，公司享有利润分配权的股份总额由于增发新股、 股权激励行权、可转债转股、股份回购等原因发生变化的，公司将按每股分 配比例不变的原则，相应调整分红总额。 2、本次实施的权益分派方…</x:v>
      </x:c>
      <x:c r="N272" s="41" t="str">
        <x:v>0-无关</x:v>
      </x:c>
      <x:c r="O272" s="41" t="str">
        <x:v>否</x:v>
      </x:c>
      <x:c r="P272" s="57" t="str">
        <x:v>《2025年年度权益分派实施公告》主要涉及治理、股权、会议、分红或其他事项，未披露“健康品渠道改革、核心品牌触达与销售效率”相关实质证据。</x:v>
      </x:c>
      <x:c r="Q272" s="41" t="str">
        <x:v>B-CODEX-FIN-01</x:v>
      </x:c>
      <x:c r="R272" s="80" t="inlineStr">
        <x:is>
          <x:t>2026-08-28T03:00:25+08:00</x:t>
        </x:is>
      </x:c>
    </x:row>
    <x:row r="273" ht="72" customHeight="1">
      <x:c r="A273" s="64" t="str">
        <x:v>V5-R-Q028-C04</x:v>
      </x:c>
      <x:c r="B273" s="64" t="str">
        <x:v>V5-E-000538-C04</x:v>
      </x:c>
      <x:c r="C273" s="64" t="str">
        <x:v>V5-Q028</x:v>
      </x:c>
      <x:c r="D273" s="40" t="str">
        <x:v>云南白药</x:v>
      </x:c>
      <x:c r="E273" s="64" t="str">
        <x:v>000538</x:v>
      </x:c>
      <x:c r="F273" s="87" t="n">
        <x:v>46260.75</x:v>
      </x:c>
      <x:c r="G273" s="51" t="str">
        <x:v>健康品渠道改革能否恢复核心品牌销售效率</x:v>
      </x:c>
      <x:c r="H273" s="64" t="str">
        <x:v>DOC-EVT-000538-00140</x:v>
      </x:c>
      <x:c r="I273" s="51" t="str">
        <x:v>关于对安国市聚药堂药业有限公司进行全资收购的公告</x:v>
      </x:c>
      <x:c r="J273" s="87" t="n">
        <x:v>45885</x:v>
      </x:c>
      <x:c r="K273" s="73" t="str">
        <x:v>http://static.cninfo.com.cn/finalpage/2025-08-16/1224500260.PDF</x:v>
      </x:c>
      <x:c r="L273" s="40" t="str">
        <x:v>第1页</x:v>
      </x:c>
      <x:c r="M273" s="51" t="str">
        <x:v>1 / 9 证券代码:000538 证券简称:云南白药 公告编号:2025-25 云南白药集团股份有限公司 关于对安国市聚药堂药业有限公司进行全资收购的公告 重要提示：本公司及董事会全体成员保证信息披露内容的真实、准确、 完整，没有虚假记载、误导性陈述或重大遗漏。 云南白药集团股份有限公司（以下简称“云南白药”或“公司”）于 2025年8月15日召开第十届董事会2025年第四次会议，审议通过《关于对 安国市聚药堂药业有限公司进行全资收购的议案》，为响应云南省人民政 府提出的高质量发展云南省中药材产业的要求，结合公司自身战略发展目 标，为更好带动云南省内中药材销售，更快推动云南白药 相关业务布局全 国，实现规模扩张，提升中药材产业链协同效率，公司全资子公司 云南白 药集团中药资源有限公司（以下简称“中药资源公司”）将以现金方式收 购安国市聚药堂药业有限公司（以下简称“ 目标公司”或“聚药堂”） 100%股权，股权转让对价总额为人民币66,000万元，交易完成后，中药资 源公司将持有聚药堂100%股权。具体情况如下： 一、交易概述 云南白药全资子公司中药资源公司与聚药堂现股东马新宏、马占江、 张双、石跃欣、石光（以下简称“现股东”）签署《安国市聚药堂药业有 限公司之股权转让协议》（以下简称“《股权转让协议》”），根据《股 权转让协议》，中药资源公司收购现股东合计持有的100%股权，股权转让 对价总额为人民币66,000万元，其中马新宏所持聚药堂 35%的股权转让对 价金额为23…</x:v>
      </x:c>
      <x:c r="N273" s="41" t="str">
        <x:v>0-无关</x:v>
      </x:c>
      <x:c r="O273" s="41" t="str">
        <x:v>否</x:v>
      </x:c>
      <x:c r="P273" s="57" t="str">
        <x:v>《关于对安国市聚药堂药业有限公司进行全资收购的公告》主要涉及治理、股权、会议、分红或其他事项，未披露“健康品渠道改革、核心品牌触达与销售效率”相关实质证据。</x:v>
      </x:c>
      <x:c r="Q273" s="41" t="str">
        <x:v>B-CODEX-FIN-01</x:v>
      </x:c>
      <x:c r="R273" s="80" t="inlineStr">
        <x:is>
          <x:t>2026-08-28T03:00:25+08:00</x:t>
        </x:is>
      </x:c>
    </x:row>
    <x:row r="274" ht="72" customHeight="1">
      <x:c r="A274" s="64" t="str">
        <x:v>V5-R-Q028-C02</x:v>
      </x:c>
      <x:c r="B274" s="64" t="str">
        <x:v>V5-E-000538-C02</x:v>
      </x:c>
      <x:c r="C274" s="64" t="str">
        <x:v>V5-Q028</x:v>
      </x:c>
      <x:c r="D274" s="40" t="str">
        <x:v>云南白药</x:v>
      </x:c>
      <x:c r="E274" s="64" t="str">
        <x:v>000538</x:v>
      </x:c>
      <x:c r="F274" s="87" t="n">
        <x:v>46260.75</x:v>
      </x:c>
      <x:c r="G274" s="51" t="str">
        <x:v>健康品渠道改革能否恢复核心品牌销售效率</x:v>
      </x:c>
      <x:c r="H274" s="64" t="str">
        <x:v>DOC-EVT-000538-00091</x:v>
      </x:c>
      <x:c r="I274" s="51" t="str">
        <x:v>关于拟与专业投资机构共同投资设立基金的公告</x:v>
      </x:c>
      <x:c r="J274" s="87" t="n">
        <x:v>45626</x:v>
      </x:c>
      <x:c r="K274" s="73" t="str">
        <x:v>http://static.cninfo.com.cn/finalpage/2024-11-30/1221892813.PDF</x:v>
      </x:c>
      <x:c r="L274" s="40" t="str">
        <x:v>第1页</x:v>
      </x:c>
      <x:c r="M274" s="51" t="str">
        <x:v>1 / 8 证券代码:000538 证券简称:云南白药 公告编号:2024-58 云南白药集团股份有限公司 关于拟与专业投资机构共同投资设立基金的公告 重要提示：本公司及董事会全体成员保证信息披露内容的真实、准 确、完整，没有虚假记载、误导性陈述或重大遗漏。 云南白药集团股份有限公司（以下简称“云南白药”或“公司”）拟 与专业投资机构中银国际投资有限责任公司（以下简称“中银国际投资”） 共同投资设立基金，现将相关情况公告如下： 一、交易概述 （一）交易背景 云南白药进一步聚焦主责主业，坚定持续深耕“药”这个产业根基， 全产业链促进医药大健康业务高质量发展；与此同时，云南白药持续推动 公司向内涵式与外延式并举的发展模式转型，不断优化公司产业布局和业 务组合，提升公司成长的规模、质量和效率。 云南白药参与发起设立产业基金，可更规范、高效地使用投资手段， 广泛整合外部资源，培育、发展中医药产业链及大健康产业相关企业，补 足和强化现有产业板块，构建健康、可持续发展的产业生态体系，实现更 高质量发展。 （二）交易基本情况 在不影响公司日常经营发展、有效控制投资风险的前提下，公司拟与 中银国际投资共同投资设立云南省中医药大健康创新基金（暂定名，最终 名称以市场监督管理机构登记核定的为准；以下简称“基金”或“合伙企 业”）。合伙企业的目标认缴出资总额为人民币70亿元，其中公司作为有</x:v>
      </x:c>
      <x:c r="N274" s="41" t="str">
        <x:v>0-无关</x:v>
      </x:c>
      <x:c r="O274" s="41" t="str">
        <x:v>否</x:v>
      </x:c>
      <x:c r="P274" s="57" t="str">
        <x:v>《关于拟与专业投资机构共同投资设立基金的公告》主要涉及治理、股权、会议、分红或其他事项，未披露“健康品渠道改革、核心品牌触达与销售效率”相关实质证据。</x:v>
      </x:c>
      <x:c r="Q274" s="41" t="str">
        <x:v>B-CODEX-FIN-01</x:v>
      </x:c>
      <x:c r="R274" s="80" t="inlineStr">
        <x:is>
          <x:t>2026-08-28T03:00:25+08:00</x:t>
        </x:is>
      </x:c>
    </x:row>
    <x:row r="275" ht="72" customHeight="1">
      <x:c r="A275" s="64" t="str">
        <x:v>V5-R-Q028-C10</x:v>
      </x:c>
      <x:c r="B275" s="64" t="str">
        <x:v>V5-E-000538-C10</x:v>
      </x:c>
      <x:c r="C275" s="64" t="str">
        <x:v>V5-Q028</x:v>
      </x:c>
      <x:c r="D275" s="40" t="str">
        <x:v>云南白药</x:v>
      </x:c>
      <x:c r="E275" s="64" t="str">
        <x:v>000538</x:v>
      </x:c>
      <x:c r="F275" s="87" t="n">
        <x:v>46260.75</x:v>
      </x:c>
      <x:c r="G275" s="51" t="str">
        <x:v>健康品渠道改革能否恢复核心品牌销售效率</x:v>
      </x:c>
      <x:c r="H275" s="64" t="str">
        <x:v>DOC-EVT-000538-00234</x:v>
      </x:c>
      <x:c r="I275" s="51" t="str">
        <x:v>第十一届董事会2026年第四次会议决议公告</x:v>
      </x:c>
      <x:c r="J275" s="87" t="n">
        <x:v>46164</x:v>
      </x:c>
      <x:c r="K275" s="73" t="str">
        <x:v>http://static.cninfo.com.cn/finalpage/2026-05-22/1225322679.PDF</x:v>
      </x:c>
      <x:c r="L275" s="40" t="str">
        <x:v>第1页</x:v>
      </x:c>
      <x:c r="M275" s="51" t="str">
        <x:v>1 / 1 股票代码：000538 股票简称：云南白药 公告编号：2026-19 云南白药集团股份有限公司 第十一届董事会2026 年第四次会议决议公告 本公司及董事会全体成员保证信息披露内容的真实、准确、完整，没 有虚假记载、误导性陈述或重大遗漏。 云南白药集团股份有限公司（以下简称“公司”或“云南白药”）第十 一届董事会2026 年第四次会议（以下简称“会议”）于2026 年5 月21 日 以通讯表决方式召开，本次会议通知于2026 年5 月18 日以书面、邮件 方式发出，应出席董事 12 名，实际出席董事12 名。本次会议的召集、 召开程序符合《中华人民共和国公司法》《公司章程》的相关规定，会 议合法有效。会议审议通过如下议案： 一、审议通过《关于向参股公司推荐董事候选人的议案》 经审议，同意向参股公司推荐董事候选人。 表决结果：12 票同意、0 票反对、0 票弃权。 特此公告 云南白药集团股份有限公司 董 事 会 2026 年5 月21 日</x:v>
      </x:c>
      <x:c r="N275" s="41" t="str">
        <x:v>0-无关</x:v>
      </x:c>
      <x:c r="O275" s="41" t="str">
        <x:v>否</x:v>
      </x:c>
      <x:c r="P275" s="57" t="str">
        <x:v>《第十一届董事会2026年第四次会议决议公告》主要涉及治理、股权、会议、分红或其他事项，未披露“健康品渠道改革、核心品牌触达与销售效率”相关实质证据。</x:v>
      </x:c>
      <x:c r="Q275" s="41" t="str">
        <x:v>B-CODEX-FIN-01</x:v>
      </x:c>
      <x:c r="R275" s="80" t="inlineStr">
        <x:is>
          <x:t>2026-08-28T03:00:25+08:00</x:t>
        </x:is>
      </x:c>
    </x:row>
    <x:row r="276" ht="72" customHeight="1">
      <x:c r="A276" s="64" t="str">
        <x:v>V5-R-Q028-C07</x:v>
      </x:c>
      <x:c r="B276" s="64" t="str">
        <x:v>V5-E-000538-C07</x:v>
      </x:c>
      <x:c r="C276" s="64" t="str">
        <x:v>V5-Q028</x:v>
      </x:c>
      <x:c r="D276" s="40" t="str">
        <x:v>云南白药</x:v>
      </x:c>
      <x:c r="E276" s="64" t="str">
        <x:v>000538</x:v>
      </x:c>
      <x:c r="F276" s="87" t="n">
        <x:v>46260.75</x:v>
      </x:c>
      <x:c r="G276" s="51" t="str">
        <x:v>健康品渠道改革能否恢复核心品牌销售效率</x:v>
      </x:c>
      <x:c r="H276" s="64" t="str">
        <x:v>DOC-EVT-000538-00220</x:v>
      </x:c>
      <x:c r="I276" s="51" t="str">
        <x:v>2025年年度报告</x:v>
      </x:c>
      <x:c r="J276" s="87" t="n">
        <x:v>46113</x:v>
      </x:c>
      <x:c r="K276" s="73" t="str">
        <x:v>http://static.cninfo.com.cn/finalpage/2026-04-01/1225067975.PDF</x:v>
      </x:c>
      <x:c r="L276" s="40" t="str">
        <x:v>第15页</x:v>
      </x:c>
      <x:c r="M276" s="51" t="str">
        <x:v>云南白药集团股份有限公司 2025 年年度报告全文 15 精准锚定 O2O 渠道“即时性”发展趋势，构建“站内+站外”全域协同矩阵，与主要电商开展了广泛合 作，通过定制化数字营销实现对现代消费者的高效触达。 在健康品方面，公司具有覆盖到终端的、布局完善的全国性大健康产品销售团队，云南白药牙膏市 场份额在国内继续保持领先，在口腔品类拥有较高品牌渗透力。公司通过不断优化全链路渠道，一方面 夯实传统线下渠道优势，另一方面对即时零售、社区团购、兴趣电商等新兴业态保持高度 关注，坚持大 胆试新，进化商业洞察敏捷性。云南白药的渠道优势极大提升了公司的市场竞争能力，同时为持续的新 产品商业化开发奠定了基础。 （四）人才团队优势 公司持续加强与集团战略发展相匹配的专业化人才队伍建设，协同推动各领域人才梯队建设。一是 构建人才保障长效机制，打通管理、技术、专业等多序列发展通道，结合需求实施精准引才，针对发展 中所需的核心专业领域，推动高技能、高技术、高层次人才引进。二是围绕推进新时期人才队伍建设， 统筹做好人才队伍的职业等级、培养机制建设，落实终身职业技能培训制度，发挥各类专业人才“传帮 带”作用，努力建设高素质专业化人才队伍。三是不断完善激励机制，以多种方式激发各类人才的创造 性，推动分配体系进一步向转型升级、科技创新、改革发展和创造价值、打造新品、大单品的重点难点 领域作出突出贡献的人才和一线关键苦脏险累岗位倾斜，让员工真切感受到企业发展带来的收益 ，最大 限度调动广大干部职工干事创业的…</x:v>
      </x:c>
      <x:c r="N276" s="41" t="str">
        <x:v>3-直接相关</x:v>
      </x:c>
      <x:c r="O276" s="41" t="str">
        <x:v>是</x:v>
      </x:c>
      <x:c r="P276" s="57" t="str">
        <x:v>年报直接披露O2O、即时零售、社区团购及兴趣电商等渠道改革，直接覆盖“健康品渠道改革、核心品牌触达与销售效率”的关键变量，关系路径成立。</x:v>
      </x:c>
      <x:c r="Q276" s="41" t="str">
        <x:v>B-CODEX-FIN-01</x:v>
      </x:c>
      <x:c r="R276" s="80" t="inlineStr">
        <x:is>
          <x:t>2026-08-28T03:00:25+08:00</x:t>
        </x:is>
      </x:c>
    </x:row>
    <x:row r="277" ht="72" customHeight="1">
      <x:c r="A277" s="64" t="str">
        <x:v>V5-R-Q028-C05</x:v>
      </x:c>
      <x:c r="B277" s="64" t="str">
        <x:v>V5-E-000538-C05</x:v>
      </x:c>
      <x:c r="C277" s="64" t="str">
        <x:v>V5-Q028</x:v>
      </x:c>
      <x:c r="D277" s="40" t="str">
        <x:v>云南白药</x:v>
      </x:c>
      <x:c r="E277" s="64" t="str">
        <x:v>000538</x:v>
      </x:c>
      <x:c r="F277" s="87" t="n">
        <x:v>46260.75</x:v>
      </x:c>
      <x:c r="G277" s="51" t="str">
        <x:v>健康品渠道改革能否恢复核心品牌销售效率</x:v>
      </x:c>
      <x:c r="H277" s="64" t="str">
        <x:v>DOC-EVT-000538-00041</x:v>
      </x:c>
      <x:c r="I277" s="51" t="str">
        <x:v>关于回购股份注销完成暨股份变动的公告</x:v>
      </x:c>
      <x:c r="J277" s="87" t="n">
        <x:v>45405</x:v>
      </x:c>
      <x:c r="K277" s="73" t="str">
        <x:v>http://static.cninfo.com.cn/finalpage/2024-04-23/1219736202.PDF</x:v>
      </x:c>
      <x:c r="L277" s="40" t="str">
        <x:v>第1页</x:v>
      </x:c>
      <x:c r="M277" s="51" t="str">
        <x:v>1 / 2 股票代码：000538 股票简称：云南白药 公告编号：2024-21 云南白药集团股份有限公司 关于回购股份注销完成暨股份变动的公告 本公司及董事会全体成员保证信息披露内容的真实、准确、完整，没有虚 假记载、误导性陈述或重大遗漏。 云南白药集团股份有限公司（以下简称“公司”） 因实施注销回购专用 证券账户股份导致公司总股本、无限售条件流通股数量发生变化，根据《公 司法》《证券法》《上市公司股份回购规则》《深圳证券交易所上市公司自 律监管指引第 9 号——回购股份》等相关规定，现就回购股份注销完成暨股 份变动情况披露如下： 一、变更回购股份用途并注销事项履行的相关审批程序 1、实施股份回购：公司于 2022 年 4 月 6 日召开的第九届董事会2022 年 第五次会议及 2022 年 4 月 20 日召开的公司 2021 年度股东大会审议通过了 《关于&lt;回购公司股份方案&gt;的议案》，同意公司使用自有资金以集中竞价或 法律法规允许的方式回购公司股份，用于实施员工持股计划或股权激励计划。 截至 2022 年 6 月 6 日，上述回购公司股份的方案已实施完毕，回购实施结果 具体如下：公司自2022 年5 月5 日首次回购股份至2022 年6 月6 日，公司通 过回购专用证券账户在二级市场以集中竞价交易方式已累计回购股票 12,599,946 股，约占公司总股本的 0.7015%，最高成交价为 64.46 元/股，最低 成交价为 53.71 元/股，支付总金额为人民币 70…</x:v>
      </x:c>
      <x:c r="N277" s="41" t="str">
        <x:v>0-无关</x:v>
      </x:c>
      <x:c r="O277" s="41" t="str">
        <x:v>否</x:v>
      </x:c>
      <x:c r="P277" s="57" t="str">
        <x:v>《关于回购股份注销完成暨股份变动的公告》主要涉及治理、股权、会议、分红或其他事项，未披露“健康品渠道改革、核心品牌触达与销售效率”相关实质证据。</x:v>
      </x:c>
      <x:c r="Q277" s="41" t="str">
        <x:v>B-CODEX-FIN-01</x:v>
      </x:c>
      <x:c r="R277" s="80" t="inlineStr">
        <x:is>
          <x:t>2026-08-28T03:00:25+08:00</x:t>
        </x:is>
      </x:c>
    </x:row>
    <x:row r="278" ht="72" customHeight="1">
      <x:c r="A278" s="64" t="str">
        <x:v>V5-R-Q028-C08</x:v>
      </x:c>
      <x:c r="B278" s="64" t="str">
        <x:v>V5-E-000538-C08</x:v>
      </x:c>
      <x:c r="C278" s="64" t="str">
        <x:v>V5-Q028</x:v>
      </x:c>
      <x:c r="D278" s="40" t="str">
        <x:v>云南白药</x:v>
      </x:c>
      <x:c r="E278" s="64" t="str">
        <x:v>000538</x:v>
      </x:c>
      <x:c r="F278" s="87" t="n">
        <x:v>46260.75</x:v>
      </x:c>
      <x:c r="G278" s="51" t="str">
        <x:v>健康品渠道改革能否恢复核心品牌销售效率</x:v>
      </x:c>
      <x:c r="H278" s="64" t="str">
        <x:v>DOC-EVT-000538-00221</x:v>
      </x:c>
      <x:c r="I278" s="51" t="str">
        <x:v>2025年年度报告摘要</x:v>
      </x:c>
      <x:c r="J278" s="87" t="n">
        <x:v>46113</x:v>
      </x:c>
      <x:c r="K278" s="73" t="str">
        <x:v>http://static.cninfo.com.cn/finalpage/2026-04-01/1225067974.PDF</x:v>
      </x:c>
      <x:c r="L278" s="40" t="str">
        <x:v>第2页</x:v>
      </x:c>
      <x:c r="M278" s="51" t="str">
        <x:v>云南白药集团股份有限公司 2025年年度报告摘要 2 联系人和联系方式 董事会秘书 证券事务代表 姓名 钱映辉 李孟珏 办公地址 云南省昆明市呈贡区云南白药街 3686 号 云南省昆明市呈贡区云南白药街 3686 号 传真 0871-66203531 0871-66203531 电话 0871-66226106 0871-66226106 电子信箱 000538dm@ynby.cn 000538@ynby.cn 2、报告期主要业务或产品简介 公司以药品、健康品、中药资源、云南省医药公司四大事业群为生产经营核心底座。 药品事业群承接公司“伤科疼痛全领域管理的‘第一’品牌”的战略定位，专注于止血镇痛、 消肿化瘀的云南白药系列（如云南白药气雾剂、云南白药膏、云南白药创可贴等）产品为核心， 同时重点布局心脑血管、呼吸系统、消化系统、泌尿系统、妇科系统等领域的品牌中药，远期储 备及孵化肿瘤领域、自身免疫领域的相关药品。 健康品事业群承接公司“高品质健康生活产品的‘第一’梯队”的战略定位，以口腔健康赛 道为业务核心，依托人/货/场的品牌基建赋能营销，以用户为中心探索新消费场景，在不断巩固口 腔健康市场地位的同时，开拓头皮护理、身体护理多领域解决方案，做中式健康生活新理念的标 杆。 中药资源事业承接公司“云药资源高质量发展的‘链主’企业”的战略定位，围绕云南省特 色药用植物资源，在确保集团中药原料优质、高效、低成本供应的同时，以“1 个中药材产研销一 体化数智平台+1 个新型的中药材产地…</x:v>
      </x:c>
      <x:c r="N278" s="41" t="str">
        <x:v>2-间接相关</x:v>
      </x:c>
      <x:c r="O278" s="41" t="str">
        <x:v>是</x:v>
      </x:c>
      <x:c r="P278" s="57" t="str">
        <x:v>年报摘要披露健康品事业群定位和渠道经营，能够支持“健康品渠道改革、核心品牌触达与销售效率”的中间环节，但未完整量化最终影响。</x:v>
      </x:c>
      <x:c r="Q278" s="41" t="str">
        <x:v>B-CODEX-FIN-01</x:v>
      </x:c>
      <x:c r="R278" s="80" t="inlineStr">
        <x:is>
          <x:t>2026-08-28T03:00:25+08:00</x:t>
        </x:is>
      </x:c>
    </x:row>
    <x:row r="279" ht="72" customHeight="1">
      <x:c r="A279" s="64" t="str">
        <x:v>V5-R-Q028-C01</x:v>
      </x:c>
      <x:c r="B279" s="64" t="str">
        <x:v>V5-E-000538-C01</x:v>
      </x:c>
      <x:c r="C279" s="64" t="str">
        <x:v>V5-Q028</x:v>
      </x:c>
      <x:c r="D279" s="40" t="str">
        <x:v>云南白药</x:v>
      </x:c>
      <x:c r="E279" s="64" t="str">
        <x:v>000538</x:v>
      </x:c>
      <x:c r="F279" s="87" t="n">
        <x:v>46260.75</x:v>
      </x:c>
      <x:c r="G279" s="51" t="str">
        <x:v>健康品渠道改革能否恢复核心品牌销售效率</x:v>
      </x:c>
      <x:c r="H279" s="64" t="str">
        <x:v>DOC-EVT-000538-00013</x:v>
      </x:c>
      <x:c r="I279" s="51" t="str">
        <x:v>关于“质量回报双提升”行动方案的公告</x:v>
      </x:c>
      <x:c r="J279" s="87" t="n">
        <x:v>45360</x:v>
      </x:c>
      <x:c r="K279" s="73" t="str">
        <x:v>http://static.cninfo.com.cn/finalpage/2024-03-09/1219264486.PDF</x:v>
      </x:c>
      <x:c r="L279" s="40" t="str">
        <x:v>第1页</x:v>
      </x:c>
      <x:c r="M279" s="51" t="str">
        <x:v>1 / 5 股票代码：000538 股票简称：云南白药 公告编号：2024-12 云南白药集团股份有限公司 关于“质量回报双提升”行动方案的公告 本公司及董事会全体成员保证信息披露内容的真实、准确、完整，没有虚 假记载、误导性陈述或重大遗漏。 云南白药集团股份有限公司（以下简称“云南白药”或“公司”）认真 践行中央政治局会议提出的“要活跃资本市场、提振投资者信心”及国务院 常务会议提出的“要大力提升上市公司质量和投资价值，要采取更加有力有 效措施，着力稳市场、稳信心”的指导思想，坚持把高质量发展作为首要任 务，因地制宜发展新质生产力，增强投资者信心，维护全体股东利益。公司 结合自身发展战略、经营情况及财务情况，制定“质量回报双提升”行动方 案。具体举措如下： 一、聚焦主业，深耕大健康领域，着力推动公司高质量发展 公司以“守护生命与健康”为使命，始终致力于传承开拓创新，持续推 动传统中药融入现代生活，不断为传统品牌及传统中医药发展注入新的生命 力，与国家“重视中医药传承创新发展”的战略定位保持高度一致。 公司坚持聚焦主业， 围绕中医药产品、 健康品、 医药流通业务领域深耕。 在医药产品领域，以传承百年的云南白药散剂为起点，不断开拓创新，逐渐 形成了涵盖气雾剂、膏贴剂、酊剂、创可贴多种产品形态的云南白药核心药 品系列产品，在细分业务领域保持市场领先。截至2022 年末，公司拥有247 个中成药品种，共涉及 354 个批文，其中，独家中成药品种 43 个，独家批 文 53 个。在…</x:v>
      </x:c>
      <x:c r="N279" s="41" t="str">
        <x:v>2-间接相关</x:v>
      </x:c>
      <x:c r="O279" s="41" t="str">
        <x:v>是</x:v>
      </x:c>
      <x:c r="P279" s="57" t="str">
        <x:v>行动方案披露健康品及主业经营提升方向，能够支持“健康品渠道改革、核心品牌触达与销售效率”的中间环节，但未完整量化最终影响。</x:v>
      </x:c>
      <x:c r="Q279" s="41" t="str">
        <x:v>B-CODEX-FIN-01</x:v>
      </x:c>
      <x:c r="R279" s="80" t="inlineStr">
        <x:is>
          <x:t>2026-08-28T03:00:25+08:00</x:t>
        </x:is>
      </x:c>
    </x:row>
    <x:row r="280" ht="72" customHeight="1">
      <x:c r="A280" s="64" t="str">
        <x:v>V5-R-Q028-C06</x:v>
      </x:c>
      <x:c r="B280" s="64" t="str">
        <x:v>V5-E-000538-C06</x:v>
      </x:c>
      <x:c r="C280" s="64" t="str">
        <x:v>V5-Q028</x:v>
      </x:c>
      <x:c r="D280" s="40" t="str">
        <x:v>云南白药</x:v>
      </x:c>
      <x:c r="E280" s="64" t="str">
        <x:v>000538</x:v>
      </x:c>
      <x:c r="F280" s="87" t="n">
        <x:v>46260.75</x:v>
      </x:c>
      <x:c r="G280" s="51" t="str">
        <x:v>健康品渠道改革能否恢复核心品牌销售效率</x:v>
      </x:c>
      <x:c r="H280" s="64" t="str">
        <x:v>DOC-EVT-000538-00008</x:v>
      </x:c>
      <x:c r="I280" s="51" t="str">
        <x:v>关于变更回购股份用途并注销暨通知债权人的公告</x:v>
      </x:c>
      <x:c r="J280" s="87" t="n">
        <x:v>45346</x:v>
      </x:c>
      <x:c r="K280" s="73" t="str">
        <x:v>http://static.cninfo.com.cn/finalpage/2024-02-24/1219171881.PDF</x:v>
      </x:c>
      <x:c r="L280" s="40" t="str">
        <x:v>第1页</x:v>
      </x:c>
      <x:c r="M280" s="51" t="str">
        <x:v>1 / 2 股票代码：000538 股票简称：云南白药 公告编号：2024-08 云南白药集团股份有限公司 关于变更回购股份用途并注销暨通知债权人的公告 本公司及董事会全体成员保证信息披露的内容真实、准确、完整，没有 虚假记载、误导性陈述或重大遗漏。 云南白药集团股份有限公司（以下简称“公司”）于 2024 年 2 月 7 日召开 第十届董事会 2024 年第一次会议，并于 2024 年 2 月 23 日召开 2024 年第一 次临时股东大会，审议通过了《关于变更回购股份用途并注销的议案》。具体 内容详见公司2024 年2 月 8 日在巨潮资讯网 （网址：http://www.cninfo.com.cn ） 披露的《关于变更回购股份用途并注销的公告》（公告编号：2024-04）。 根据公司实际情况，为维护广大投资者利益，公司将对自 2022 年 5 月 5 日至 2022 年 6 月 6 日在二级市场以集中竞价交易方式累计回购 的股票 12,599,946股的用途进行变更，回购股份用途由“用于实施员工持股计划或股 权激励计划”变更为“用于注销以减少注册资本”。本次注销手续完成后，公司 总股本将减少 12,599,946 股，股份总数将由 1,796,862,549 股变更 为 1,784,262,603 股。 公司本次变更回购股份用途并注销将导致注册资本减少，根据《中华人民 共和国公司法》等相关法律、法规的规定，公司债权人（为避免疑义，本公告 的“公司债权人”并不包含“公司…</x:v>
      </x:c>
      <x:c r="N280" s="41" t="str">
        <x:v>0-无关</x:v>
      </x:c>
      <x:c r="O280" s="41" t="str">
        <x:v>否</x:v>
      </x:c>
      <x:c r="P280" s="57" t="str">
        <x:v>《关于变更回购股份用途并注销暨通知债权人的公告》主要涉及治理、股权、会议、分红或其他事项，未披露“健康品渠道改革、核心品牌触达与销售效率”相关实质证据。</x:v>
      </x:c>
      <x:c r="Q280" s="41" t="str">
        <x:v>B-CODEX-FIN-01</x:v>
      </x:c>
      <x:c r="R280" s="80" t="inlineStr">
        <x:is>
          <x:t>2026-08-28T03:00:25+08:00</x:t>
        </x:is>
      </x:c>
    </x:row>
    <x:row r="281" ht="72" customHeight="1">
      <x:c r="A281" s="64" t="str">
        <x:v>V5-R-Q028-C09</x:v>
      </x:c>
      <x:c r="B281" s="64" t="str">
        <x:v>V5-E-000538-C09</x:v>
      </x:c>
      <x:c r="C281" s="64" t="str">
        <x:v>V5-Q028</x:v>
      </x:c>
      <x:c r="D281" s="40" t="str">
        <x:v>云南白药</x:v>
      </x:c>
      <x:c r="E281" s="64" t="str">
        <x:v>000538</x:v>
      </x:c>
      <x:c r="F281" s="87" t="n">
        <x:v>46260.75</x:v>
      </x:c>
      <x:c r="G281" s="51" t="str">
        <x:v>健康品渠道改革能否恢复核心品牌销售效率</x:v>
      </x:c>
      <x:c r="H281" s="64" t="str">
        <x:v>DOC-EVT-000538-00236</x:v>
      </x:c>
      <x:c r="I281" s="51" t="str">
        <x:v>第十一届董事会2026年第五次会议决议公告</x:v>
      </x:c>
      <x:c r="J281" s="87" t="n">
        <x:v>46198</x:v>
      </x:c>
      <x:c r="K281" s="73" t="str">
        <x:v>http://static.cninfo.com.cn/finalpage/2026-06-25/1225385546.PDF</x:v>
      </x:c>
      <x:c r="L281" s="40" t="str">
        <x:v>第1页</x:v>
      </x:c>
      <x:c r="M281" s="51" t="str">
        <x:v>1 / 3 股票代码：000538 股票简称：云南白药 公告编号：2026-21 云南白药集团股份有限公司 第十一届董事会2026 年第五次会议决议公告 本公司及董事会全体成员保证信息披露内容的真实、准确、完整，没有虚 假记载、误导性陈述或重大遗漏。 云南白药集团股份有限公司（以下简称“公司”或“云南白药”）第十一届 董事会2026 年第五次会议（以下简称“会议”）于2026 年6 月24 日以通讯 表决方式召开，本次会议通知于2026 年6 月17 日以书面、邮件方式发出， 应出席董事 12 名，实际出席董事 12 名。本次会议的召集、召开程序符合 《中华人民共和国公司法》《公司章程》的相关规定，会议合法有效。会 议审议通过如下议案： 一、审议通过《关于建设无锡药业经皮给药技术产业平台项目的议案》 为提升产线生产效率，提高产品市场份额，构建透皮制剂全产业链生 态，承接公司打造千亿级现代医药产业集团、药品事业群建设“品质好药生 态体系”的两级战略目标，同意公司全资子公司云南白药集团无锡药业有限 公司建设无锡药业经皮给药技术产业平台项目，本项目投资总预算为3.5996 亿元，项目规划核心成熟产品保供、创新升级产品落地、新型剂型研发储 备三大产品管线，全面覆盖伤科核心品类深耕、高端透皮制剂拓展、创新 剂型孵化全维度需求。</x:v>
      </x:c>
      <x:c r="N281" s="41" t="str">
        <x:v>0-无关</x:v>
      </x:c>
      <x:c r="O281" s="41" t="str">
        <x:v>否</x:v>
      </x:c>
      <x:c r="P281" s="57" t="str">
        <x:v>《第十一届董事会2026年第五次会议决议公告》主要涉及治理、股权、会议、分红或其他事项，未披露“健康品渠道改革、核心品牌触达与销售效率”相关实质证据。</x:v>
      </x:c>
      <x:c r="Q281" s="41" t="str">
        <x:v>B-CODEX-FIN-01</x:v>
      </x:c>
      <x:c r="R281" s="80" t="inlineStr">
        <x:is>
          <x:t>2026-08-28T03:00:25+08:00</x:t>
        </x:is>
      </x:c>
    </x:row>
    <x:row r="282" ht="72" customHeight="1">
      <x:c r="A282" s="64" t="str">
        <x:v>V5-R-Q029-C09</x:v>
      </x:c>
      <x:c r="B282" s="64" t="str">
        <x:v>V5-E-000538-C09</x:v>
      </x:c>
      <x:c r="C282" s="64" t="str">
        <x:v>V5-Q029</x:v>
      </x:c>
      <x:c r="D282" s="40" t="str">
        <x:v>云南白药</x:v>
      </x:c>
      <x:c r="E282" s="64" t="str">
        <x:v>000538</x:v>
      </x:c>
      <x:c r="F282" s="87" t="n">
        <x:v>46260.75</x:v>
      </x:c>
      <x:c r="G282" s="51" t="str">
        <x:v>药品业务产品结构变化能否提升工业板块毛利率</x:v>
      </x:c>
      <x:c r="H282" s="64" t="str">
        <x:v>DOC-EVT-000538-00236</x:v>
      </x:c>
      <x:c r="I282" s="51" t="str">
        <x:v>第十一届董事会2026年第五次会议决议公告</x:v>
      </x:c>
      <x:c r="J282" s="87" t="n">
        <x:v>46198</x:v>
      </x:c>
      <x:c r="K282" s="73" t="str">
        <x:v>http://static.cninfo.com.cn/finalpage/2026-06-25/1225385546.PDF</x:v>
      </x:c>
      <x:c r="L282" s="40" t="str">
        <x:v>第1页</x:v>
      </x:c>
      <x:c r="M282" s="51" t="str">
        <x:v>1 / 3 股票代码：000538 股票简称：云南白药 公告编号：2026-21 云南白药集团股份有限公司 第十一届董事会2026 年第五次会议决议公告 本公司及董事会全体成员保证信息披露内容的真实、准确、完整，没有虚 假记载、误导性陈述或重大遗漏。 云南白药集团股份有限公司（以下简称“公司”或“云南白药”）第十一届 董事会2026 年第五次会议（以下简称“会议”）于2026 年6 月24 日以通讯 表决方式召开，本次会议通知于2026 年6 月17 日以书面、邮件方式发出， 应出席董事 12 名，实际出席董事 12 名。本次会议的召集、召开程序符合 《中华人民共和国公司法》《公司章程》的相关规定，会议合法有效。会 议审议通过如下议案： 一、审议通过《关于建设无锡药业经皮给药技术产业平台项目的议案》 为提升产线生产效率，提高产品市场份额，构建透皮制剂全产业链生 态，承接公司打造千亿级现代医药产业集团、药品事业群建设“品质好药生 态体系”的两级战略目标，同意公司全资子公司云南白药集团无锡药业有限 公司建设无锡药业经皮给药技术产业平台项目，本项目投资总预算为3.5996 亿元，项目规划核心成熟产品保供、创新升级产品落地、新型剂型研发储 备三大产品管线，全面覆盖伤科核心品类深耕、高端透皮制剂拓展、创新 剂型孵化全维度需求。</x:v>
      </x:c>
      <x:c r="N282" s="41" t="str">
        <x:v>2-间接相关</x:v>
      </x:c>
      <x:c r="O282" s="41" t="str">
        <x:v>是</x:v>
      </x:c>
      <x:c r="P282" s="57" t="str">
        <x:v>董事会批准经皮给药平台项目，覆盖成熟、升级和创新剂型三类管线，能够支持“药品产品结构、产能效率与工业毛利率”的中间环节，但未完整量化最终影响。</x:v>
      </x:c>
      <x:c r="Q282" s="41" t="str">
        <x:v>B-CODEX-FIN-01</x:v>
      </x:c>
      <x:c r="R282" s="80" t="inlineStr">
        <x:is>
          <x:t>2026-08-28T03:00:25+08:00</x:t>
        </x:is>
      </x:c>
    </x:row>
    <x:row r="283" ht="72" customHeight="1">
      <x:c r="A283" s="64" t="str">
        <x:v>V5-R-Q029-C05</x:v>
      </x:c>
      <x:c r="B283" s="64" t="str">
        <x:v>V5-E-000538-C05</x:v>
      </x:c>
      <x:c r="C283" s="64" t="str">
        <x:v>V5-Q029</x:v>
      </x:c>
      <x:c r="D283" s="40" t="str">
        <x:v>云南白药</x:v>
      </x:c>
      <x:c r="E283" s="64" t="str">
        <x:v>000538</x:v>
      </x:c>
      <x:c r="F283" s="87" t="n">
        <x:v>46260.75</x:v>
      </x:c>
      <x:c r="G283" s="51" t="str">
        <x:v>药品业务产品结构变化能否提升工业板块毛利率</x:v>
      </x:c>
      <x:c r="H283" s="64" t="str">
        <x:v>DOC-EVT-000538-00041</x:v>
      </x:c>
      <x:c r="I283" s="51" t="str">
        <x:v>关于回购股份注销完成暨股份变动的公告</x:v>
      </x:c>
      <x:c r="J283" s="87" t="n">
        <x:v>45405</x:v>
      </x:c>
      <x:c r="K283" s="73" t="str">
        <x:v>http://static.cninfo.com.cn/finalpage/2024-04-23/1219736202.PDF</x:v>
      </x:c>
      <x:c r="L283" s="40" t="str">
        <x:v>第1页</x:v>
      </x:c>
      <x:c r="M283" s="51" t="str">
        <x:v>1 / 2 股票代码：000538 股票简称：云南白药 公告编号：2024-21 云南白药集团股份有限公司 关于回购股份注销完成暨股份变动的公告 本公司及董事会全体成员保证信息披露内容的真实、准确、完整，没有虚 假记载、误导性陈述或重大遗漏。 云南白药集团股份有限公司（以下简称“公司”） 因实施注销回购专用 证券账户股份导致公司总股本、无限售条件流通股数量发生变化，根据《公 司法》《证券法》《上市公司股份回购规则》《深圳证券交易所上市公司自 律监管指引第 9 号——回购股份》等相关规定，现就回购股份注销完成暨股 份变动情况披露如下： 一、变更回购股份用途并注销事项履行的相关审批程序 1、实施股份回购：公司于 2022 年 4 月 6 日召开的第九届董事会2022 年 第五次会议及 2022 年 4 月 20 日召开的公司 2021 年度股东大会审议通过了 《关于&lt;回购公司股份方案&gt;的议案》，同意公司使用自有资金以集中竞价或 法律法规允许的方式回购公司股份，用于实施员工持股计划或股权激励计划。 截至 2022 年 6 月 6 日，上述回购公司股份的方案已实施完毕，回购实施结果 具体如下：公司自2022 年5 月5 日首次回购股份至2022 年6 月6 日，公司通 过回购专用证券账户在二级市场以集中竞价交易方式已累计回购股票 12,599,946 股，约占公司总股本的 0.7015%，最高成交价为 64.46 元/股，最低 成交价为 53.71 元/股，支付总金额为人民币 70…</x:v>
      </x:c>
      <x:c r="N283" s="41" t="str">
        <x:v>0-无关</x:v>
      </x:c>
      <x:c r="O283" s="41" t="str">
        <x:v>否</x:v>
      </x:c>
      <x:c r="P283" s="57" t="str">
        <x:v>《关于回购股份注销完成暨股份变动的公告》主要涉及治理、股权、会议、分红或其他事项，未披露“药品产品结构、产能效率与工业毛利率”相关实质证据。</x:v>
      </x:c>
      <x:c r="Q283" s="41" t="str">
        <x:v>B-CODEX-FIN-01</x:v>
      </x:c>
      <x:c r="R283" s="80" t="inlineStr">
        <x:is>
          <x:t>2026-08-28T03:00:25+08:00</x:t>
        </x:is>
      </x:c>
    </x:row>
    <x:row r="284" ht="72" customHeight="1">
      <x:c r="A284" s="64" t="str">
        <x:v>V5-R-Q029-C10</x:v>
      </x:c>
      <x:c r="B284" s="64" t="str">
        <x:v>V5-E-000538-C10</x:v>
      </x:c>
      <x:c r="C284" s="64" t="str">
        <x:v>V5-Q029</x:v>
      </x:c>
      <x:c r="D284" s="40" t="str">
        <x:v>云南白药</x:v>
      </x:c>
      <x:c r="E284" s="64" t="str">
        <x:v>000538</x:v>
      </x:c>
      <x:c r="F284" s="87" t="n">
        <x:v>46260.75</x:v>
      </x:c>
      <x:c r="G284" s="51" t="str">
        <x:v>药品业务产品结构变化能否提升工业板块毛利率</x:v>
      </x:c>
      <x:c r="H284" s="64" t="str">
        <x:v>DOC-EVT-000538-00234</x:v>
      </x:c>
      <x:c r="I284" s="51" t="str">
        <x:v>第十一届董事会2026年第四次会议决议公告</x:v>
      </x:c>
      <x:c r="J284" s="87" t="n">
        <x:v>46164</x:v>
      </x:c>
      <x:c r="K284" s="73" t="str">
        <x:v>http://static.cninfo.com.cn/finalpage/2026-05-22/1225322679.PDF</x:v>
      </x:c>
      <x:c r="L284" s="40" t="str">
        <x:v>第1页</x:v>
      </x:c>
      <x:c r="M284" s="51" t="str">
        <x:v>1 / 1 股票代码：000538 股票简称：云南白药 公告编号：2026-19 云南白药集团股份有限公司 第十一届董事会2026 年第四次会议决议公告 本公司及董事会全体成员保证信息披露内容的真实、准确、完整，没 有虚假记载、误导性陈述或重大遗漏。 云南白药集团股份有限公司（以下简称“公司”或“云南白药”）第十 一届董事会2026 年第四次会议（以下简称“会议”）于2026 年5 月21 日 以通讯表决方式召开，本次会议通知于2026 年5 月18 日以书面、邮件 方式发出，应出席董事 12 名，实际出席董事12 名。本次会议的召集、 召开程序符合《中华人民共和国公司法》《公司章程》的相关规定，会 议合法有效。会议审议通过如下议案： 一、审议通过《关于向参股公司推荐董事候选人的议案》 经审议，同意向参股公司推荐董事候选人。 表决结果：12 票同意、0 票反对、0 票弃权。 特此公告 云南白药集团股份有限公司 董 事 会 2026 年5 月21 日</x:v>
      </x:c>
      <x:c r="N284" s="41" t="str">
        <x:v>0-无关</x:v>
      </x:c>
      <x:c r="O284" s="41" t="str">
        <x:v>否</x:v>
      </x:c>
      <x:c r="P284" s="57" t="str">
        <x:v>《第十一届董事会2026年第四次会议决议公告》主要涉及治理、股权、会议、分红或其他事项，未披露“药品产品结构、产能效率与工业毛利率”相关实质证据。</x:v>
      </x:c>
      <x:c r="Q284" s="41" t="str">
        <x:v>B-CODEX-FIN-01</x:v>
      </x:c>
      <x:c r="R284" s="80" t="inlineStr">
        <x:is>
          <x:t>2026-08-28T03:00:25+08:00</x:t>
        </x:is>
      </x:c>
    </x:row>
    <x:row r="285" ht="72" customHeight="1">
      <x:c r="A285" s="64" t="str">
        <x:v>V5-R-Q029-C02</x:v>
      </x:c>
      <x:c r="B285" s="64" t="str">
        <x:v>V5-E-000538-C02</x:v>
      </x:c>
      <x:c r="C285" s="64" t="str">
        <x:v>V5-Q029</x:v>
      </x:c>
      <x:c r="D285" s="40" t="str">
        <x:v>云南白药</x:v>
      </x:c>
      <x:c r="E285" s="64" t="str">
        <x:v>000538</x:v>
      </x:c>
      <x:c r="F285" s="87" t="n">
        <x:v>46260.75</x:v>
      </x:c>
      <x:c r="G285" s="51" t="str">
        <x:v>药品业务产品结构变化能否提升工业板块毛利率</x:v>
      </x:c>
      <x:c r="H285" s="64" t="str">
        <x:v>DOC-EVT-000538-00091</x:v>
      </x:c>
      <x:c r="I285" s="51" t="str">
        <x:v>关于拟与专业投资机构共同投资设立基金的公告</x:v>
      </x:c>
      <x:c r="J285" s="87" t="n">
        <x:v>45626</x:v>
      </x:c>
      <x:c r="K285" s="73" t="str">
        <x:v>http://static.cninfo.com.cn/finalpage/2024-11-30/1221892813.PDF</x:v>
      </x:c>
      <x:c r="L285" s="40" t="str">
        <x:v>第1页</x:v>
      </x:c>
      <x:c r="M285" s="51" t="str">
        <x:v>1 / 8 证券代码:000538 证券简称:云南白药 公告编号:2024-58 云南白药集团股份有限公司 关于拟与专业投资机构共同投资设立基金的公告 重要提示：本公司及董事会全体成员保证信息披露内容的真实、准 确、完整，没有虚假记载、误导性陈述或重大遗漏。 云南白药集团股份有限公司（以下简称“云南白药”或“公司”）拟 与专业投资机构中银国际投资有限责任公司（以下简称“中银国际投资”） 共同投资设立基金，现将相关情况公告如下： 一、交易概述 （一）交易背景 云南白药进一步聚焦主责主业，坚定持续深耕“药”这个产业根基， 全产业链促进医药大健康业务高质量发展；与此同时，云南白药持续推动 公司向内涵式与外延式并举的发展模式转型，不断优化公司产业布局和业 务组合，提升公司成长的规模、质量和效率。 云南白药参与发起设立产业基金，可更规范、高效地使用投资手段， 广泛整合外部资源，培育、发展中医药产业链及大健康产业相关企业，补 足和强化现有产业板块，构建健康、可持续发展的产业生态体系，实现更 高质量发展。 （二）交易基本情况 在不影响公司日常经营发展、有效控制投资风险的前提下，公司拟与 中银国际投资共同投资设立云南省中医药大健康创新基金（暂定名，最终 名称以市场监督管理机构登记核定的为准；以下简称“基金”或“合伙企 业”）。合伙企业的目标认缴出资总额为人民币70亿元，其中公司作为有</x:v>
      </x:c>
      <x:c r="N285" s="41" t="str">
        <x:v>0-无关</x:v>
      </x:c>
      <x:c r="O285" s="41" t="str">
        <x:v>否</x:v>
      </x:c>
      <x:c r="P285" s="57" t="str">
        <x:v>《关于拟与专业投资机构共同投资设立基金的公告》主要涉及治理、股权、会议、分红或其他事项，未披露“药品产品结构、产能效率与工业毛利率”相关实质证据。</x:v>
      </x:c>
      <x:c r="Q285" s="41" t="str">
        <x:v>B-CODEX-FIN-01</x:v>
      </x:c>
      <x:c r="R285" s="80" t="inlineStr">
        <x:is>
          <x:t>2026-08-28T03:00:25+08:00</x:t>
        </x:is>
      </x:c>
    </x:row>
    <x:row r="286" ht="72" customHeight="1">
      <x:c r="A286" s="64" t="str">
        <x:v>V5-R-Q029-C03</x:v>
      </x:c>
      <x:c r="B286" s="64" t="str">
        <x:v>V5-E-000538-C03</x:v>
      </x:c>
      <x:c r="C286" s="64" t="str">
        <x:v>V5-Q029</x:v>
      </x:c>
      <x:c r="D286" s="40" t="str">
        <x:v>云南白药</x:v>
      </x:c>
      <x:c r="E286" s="64" t="str">
        <x:v>000538</x:v>
      </x:c>
      <x:c r="F286" s="87" t="n">
        <x:v>46260.75</x:v>
      </x:c>
      <x:c r="G286" s="51" t="str">
        <x:v>药品业务产品结构变化能否提升工业板块毛利率</x:v>
      </x:c>
      <x:c r="H286" s="64" t="str">
        <x:v>DOC-EVT-000538-00231</x:v>
      </x:c>
      <x:c r="I286" s="51" t="str">
        <x:v>2025年年度权益分派实施公告</x:v>
      </x:c>
      <x:c r="J286" s="87" t="n">
        <x:v>46136</x:v>
      </x:c>
      <x:c r="K286" s="73" t="str">
        <x:v>http://static.cninfo.com.cn/finalpage/2026-04-24/1225161370.PDF</x:v>
      </x:c>
      <x:c r="L286" s="40" t="str">
        <x:v>第1页</x:v>
      </x:c>
      <x:c r="M286" s="51" t="str">
        <x:v>1 / 3 股票代码：000538 股票简称：云南白药 公告编号：2026-16 云南白药集团股份有限公司 2025 年年度权益分派实施公告 本公司及董事会全体成员保证信息披露内容的真实、准确、完整，没有虚 假记载、误导性陈述或重大遗漏。 云南白药集团股份有限公司（以下简称“公司”或“本公司”）2025 年年度 权益分派方案已获2026 年4 月21 日召开的公司2025 年度股东会审议通过， 股东会决议公告刊登于2026 年4 月22 日的《中国证券报》《上海证券报》 《证券时报》及巨潮资讯网（http://www.cninfo.com.cn）。现将2025 年度权 益分派情况公告如下： 一、股东会审议通过权益分派方案情况 1、本公司获股东会审议通过的 2025 年年度权益分派具体方案为：以公 司现有总股本 1,784,262,603 股为基数，向全体股东每 10 股派发现金红利 15.83 元（含税），送红股 0 股，不以资本公积金转增股本，本次现金分红 总金额 2,824,487,700.55 元。按照本方案分配比例，以分配方案未来实施时 股权登记日享有利润分配权利的股份数量为基数，从而最终确定分配总额。 其余未分配利润留待以后年度分配。在公司利润分配预案披露之日起至实施 权益分派股权登记日期间，公司享有利润分配权的股份总额由于增发新股、 股权激励行权、可转债转股、股份回购等原因发生变化的，公司将按每股分 配比例不变的原则，相应调整分红总额。 2、本次实施的权益分派方…</x:v>
      </x:c>
      <x:c r="N286" s="41" t="str">
        <x:v>0-无关</x:v>
      </x:c>
      <x:c r="O286" s="41" t="str">
        <x:v>否</x:v>
      </x:c>
      <x:c r="P286" s="57" t="str">
        <x:v>《2025年年度权益分派实施公告》主要涉及治理、股权、会议、分红或其他事项，未披露“药品产品结构、产能效率与工业毛利率”相关实质证据。</x:v>
      </x:c>
      <x:c r="Q286" s="41" t="str">
        <x:v>B-CODEX-FIN-01</x:v>
      </x:c>
      <x:c r="R286" s="80" t="inlineStr">
        <x:is>
          <x:t>2026-08-28T03:00:25+08:00</x:t>
        </x:is>
      </x:c>
    </x:row>
    <x:row r="287" ht="72" customHeight="1">
      <x:c r="A287" s="64" t="str">
        <x:v>V5-R-Q029-C08</x:v>
      </x:c>
      <x:c r="B287" s="64" t="str">
        <x:v>V5-E-000538-C08</x:v>
      </x:c>
      <x:c r="C287" s="64" t="str">
        <x:v>V5-Q029</x:v>
      </x:c>
      <x:c r="D287" s="40" t="str">
        <x:v>云南白药</x:v>
      </x:c>
      <x:c r="E287" s="64" t="str">
        <x:v>000538</x:v>
      </x:c>
      <x:c r="F287" s="87" t="n">
        <x:v>46260.75</x:v>
      </x:c>
      <x:c r="G287" s="51" t="str">
        <x:v>药品业务产品结构变化能否提升工业板块毛利率</x:v>
      </x:c>
      <x:c r="H287" s="64" t="str">
        <x:v>DOC-EVT-000538-00221</x:v>
      </x:c>
      <x:c r="I287" s="51" t="str">
        <x:v>2025年年度报告摘要</x:v>
      </x:c>
      <x:c r="J287" s="87" t="n">
        <x:v>46113</x:v>
      </x:c>
      <x:c r="K287" s="73" t="str">
        <x:v>http://static.cninfo.com.cn/finalpage/2026-04-01/1225067974.PDF</x:v>
      </x:c>
      <x:c r="L287" s="40" t="str">
        <x:v>第2页</x:v>
      </x:c>
      <x:c r="M287" s="51" t="str">
        <x:v>云南白药集团股份有限公司 2025年年度报告摘要 2 联系人和联系方式 董事会秘书 证券事务代表 姓名 钱映辉 李孟珏 办公地址 云南省昆明市呈贡区云南白药街 3686 号 云南省昆明市呈贡区云南白药街 3686 号 传真 0871-66203531 0871-66203531 电话 0871-66226106 0871-66226106 电子信箱 000538dm@ynby.cn 000538@ynby.cn 2、报告期主要业务或产品简介 公司以药品、健康品、中药资源、云南省医药公司四大事业群为生产经营核心底座。 药品事业群承接公司“伤科疼痛全领域管理的‘第一’品牌”的战略定位，专注于止血镇痛、 消肿化瘀的云南白药系列（如云南白药气雾剂、云南白药膏、云南白药创可贴等）产品为核心， 同时重点布局心脑血管、呼吸系统、消化系统、泌尿系统、妇科系统等领域的品牌中药，远期储 备及孵化肿瘤领域、自身免疫领域的相关药品。 健康品事业群承接公司“高品质健康生活产品的‘第一’梯队”的战略定位，以口腔健康赛 道为业务核心，依托人/货/场的品牌基建赋能营销，以用户为中心探索新消费场景，在不断巩固口 腔健康市场地位的同时，开拓头皮护理、身体护理多领域解决方案，做中式健康生活新理念的标 杆。 中药资源事业承接公司“云药资源高质量发展的‘链主’企业”的战略定位，围绕云南省特 色药用植物资源，在确保集团中药原料优质、高效、低成本供应的同时，以“1 个中药材产研销一 体化数智平台+1 个新型的中药材产地…</x:v>
      </x:c>
      <x:c r="N287" s="41" t="str">
        <x:v>2-间接相关</x:v>
      </x:c>
      <x:c r="O287" s="41" t="str">
        <x:v>是</x:v>
      </x:c>
      <x:c r="P287" s="57" t="str">
        <x:v>年报摘要披露药品事业群产品布局，能够支持“药品产品结构、产能效率与工业毛利率”的中间环节，但未完整量化最终影响。</x:v>
      </x:c>
      <x:c r="Q287" s="41" t="str">
        <x:v>B-CODEX-FIN-01</x:v>
      </x:c>
      <x:c r="R287" s="80" t="inlineStr">
        <x:is>
          <x:t>2026-08-28T03:00:25+08:00</x:t>
        </x:is>
      </x:c>
    </x:row>
    <x:row r="288" ht="72" customHeight="1">
      <x:c r="A288" s="64" t="str">
        <x:v>V5-R-Q029-C04</x:v>
      </x:c>
      <x:c r="B288" s="64" t="str">
        <x:v>V5-E-000538-C04</x:v>
      </x:c>
      <x:c r="C288" s="64" t="str">
        <x:v>V5-Q029</x:v>
      </x:c>
      <x:c r="D288" s="40" t="str">
        <x:v>云南白药</x:v>
      </x:c>
      <x:c r="E288" s="64" t="str">
        <x:v>000538</x:v>
      </x:c>
      <x:c r="F288" s="87" t="n">
        <x:v>46260.75</x:v>
      </x:c>
      <x:c r="G288" s="51" t="str">
        <x:v>药品业务产品结构变化能否提升工业板块毛利率</x:v>
      </x:c>
      <x:c r="H288" s="64" t="str">
        <x:v>DOC-EVT-000538-00140</x:v>
      </x:c>
      <x:c r="I288" s="51" t="str">
        <x:v>关于对安国市聚药堂药业有限公司进行全资收购的公告</x:v>
      </x:c>
      <x:c r="J288" s="87" t="n">
        <x:v>45885</x:v>
      </x:c>
      <x:c r="K288" s="73" t="str">
        <x:v>http://static.cninfo.com.cn/finalpage/2025-08-16/1224500260.PDF</x:v>
      </x:c>
      <x:c r="L288" s="40" t="str">
        <x:v>第1页</x:v>
      </x:c>
      <x:c r="M288" s="51" t="str">
        <x:v>1 / 9 证券代码:000538 证券简称:云南白药 公告编号:2025-25 云南白药集团股份有限公司 关于对安国市聚药堂药业有限公司进行全资收购的公告 重要提示：本公司及董事会全体成员保证信息披露内容的真实、准确、 完整，没有虚假记载、误导性陈述或重大遗漏。 云南白药集团股份有限公司（以下简称“云南白药”或“公司”）于 2025年8月15日召开第十届董事会2025年第四次会议，审议通过《关于对 安国市聚药堂药业有限公司进行全资收购的议案》，为响应云南省人民政 府提出的高质量发展云南省中药材产业的要求，结合公司自身战略发展目 标，为更好带动云南省内中药材销售，更快推动云南白药 相关业务布局全 国，实现规模扩张，提升中药材产业链协同效率，公司全资子公司 云南白 药集团中药资源有限公司（以下简称“中药资源公司”）将以现金方式收 购安国市聚药堂药业有限公司（以下简称“ 目标公司”或“聚药堂”） 100%股权，股权转让对价总额为人民币66,000万元，交易完成后，中药资 源公司将持有聚药堂100%股权。具体情况如下： 一、交易概述 云南白药全资子公司中药资源公司与聚药堂现股东马新宏、马占江、 张双、石跃欣、石光（以下简称“现股东”）签署《安国市聚药堂药业有 限公司之股权转让协议》（以下简称“《股权转让协议》”），根据《股 权转让协议》，中药资源公司收购现股东合计持有的100%股权，股权转让 对价总额为人民币66,000万元，其中马新宏所持聚药堂 35%的股权转让对 价金额为23…</x:v>
      </x:c>
      <x:c r="N288" s="41" t="str">
        <x:v>1-弱相关</x:v>
      </x:c>
      <x:c r="O288" s="41" t="str">
        <x:v>否</x:v>
      </x:c>
      <x:c r="P288" s="57" t="str">
        <x:v>《关于对安国市聚药堂药业有限公司进行全资收购的公告》仅提供公司阶段性经营、财务或相邻业务背景，未同时覆盖“药品产品结构、产能效率与工业毛利率”的核心变量，相关性较弱。</x:v>
      </x:c>
      <x:c r="Q288" s="41" t="str">
        <x:v>B-CODEX-FIN-01</x:v>
      </x:c>
      <x:c r="R288" s="80" t="inlineStr">
        <x:is>
          <x:t>2026-08-28T03:00:25+08:00</x:t>
        </x:is>
      </x:c>
    </x:row>
    <x:row r="289" ht="72" customHeight="1">
      <x:c r="A289" s="64" t="str">
        <x:v>V5-R-Q029-C06</x:v>
      </x:c>
      <x:c r="B289" s="64" t="str">
        <x:v>V5-E-000538-C06</x:v>
      </x:c>
      <x:c r="C289" s="64" t="str">
        <x:v>V5-Q029</x:v>
      </x:c>
      <x:c r="D289" s="40" t="str">
        <x:v>云南白药</x:v>
      </x:c>
      <x:c r="E289" s="64" t="str">
        <x:v>000538</x:v>
      </x:c>
      <x:c r="F289" s="87" t="n">
        <x:v>46260.75</x:v>
      </x:c>
      <x:c r="G289" s="51" t="str">
        <x:v>药品业务产品结构变化能否提升工业板块毛利率</x:v>
      </x:c>
      <x:c r="H289" s="64" t="str">
        <x:v>DOC-EVT-000538-00008</x:v>
      </x:c>
      <x:c r="I289" s="51" t="str">
        <x:v>关于变更回购股份用途并注销暨通知债权人的公告</x:v>
      </x:c>
      <x:c r="J289" s="87" t="n">
        <x:v>45346</x:v>
      </x:c>
      <x:c r="K289" s="73" t="str">
        <x:v>http://static.cninfo.com.cn/finalpage/2024-02-24/1219171881.PDF</x:v>
      </x:c>
      <x:c r="L289" s="40" t="str">
        <x:v>第1页</x:v>
      </x:c>
      <x:c r="M289" s="51" t="str">
        <x:v>1 / 2 股票代码：000538 股票简称：云南白药 公告编号：2024-08 云南白药集团股份有限公司 关于变更回购股份用途并注销暨通知债权人的公告 本公司及董事会全体成员保证信息披露的内容真实、准确、完整，没有 虚假记载、误导性陈述或重大遗漏。 云南白药集团股份有限公司（以下简称“公司”）于 2024 年 2 月 7 日召开 第十届董事会 2024 年第一次会议，并于 2024 年 2 月 23 日召开 2024 年第一 次临时股东大会，审议通过了《关于变更回购股份用途并注销的议案》。具体 内容详见公司2024 年2 月 8 日在巨潮资讯网 （网址：http://www.cninfo.com.cn ） 披露的《关于变更回购股份用途并注销的公告》（公告编号：2024-04）。 根据公司实际情况，为维护广大投资者利益，公司将对自 2022 年 5 月 5 日至 2022 年 6 月 6 日在二级市场以集中竞价交易方式累计回购 的股票 12,599,946股的用途进行变更，回购股份用途由“用于实施员工持股计划或股 权激励计划”变更为“用于注销以减少注册资本”。本次注销手续完成后，公司 总股本将减少 12,599,946 股，股份总数将由 1,796,862,549 股变更 为 1,784,262,603 股。 公司本次变更回购股份用途并注销将导致注册资本减少，根据《中华人民 共和国公司法》等相关法律、法规的规定，公司债权人（为避免疑义，本公告 的“公司债权人”并不包含“公司…</x:v>
      </x:c>
      <x:c r="N289" s="41" t="str">
        <x:v>0-无关</x:v>
      </x:c>
      <x:c r="O289" s="41" t="str">
        <x:v>否</x:v>
      </x:c>
      <x:c r="P289" s="57" t="str">
        <x:v>《关于变更回购股份用途并注销暨通知债权人的公告》主要涉及治理、股权、会议、分红或其他事项，未披露“药品产品结构、产能效率与工业毛利率”相关实质证据。</x:v>
      </x:c>
      <x:c r="Q289" s="41" t="str">
        <x:v>B-CODEX-FIN-01</x:v>
      </x:c>
      <x:c r="R289" s="80" t="inlineStr">
        <x:is>
          <x:t>2026-08-28T03:00:25+08:00</x:t>
        </x:is>
      </x:c>
    </x:row>
    <x:row r="290" ht="72" customHeight="1">
      <x:c r="A290" s="64" t="str">
        <x:v>V5-R-Q029-C01</x:v>
      </x:c>
      <x:c r="B290" s="64" t="str">
        <x:v>V5-E-000538-C01</x:v>
      </x:c>
      <x:c r="C290" s="64" t="str">
        <x:v>V5-Q029</x:v>
      </x:c>
      <x:c r="D290" s="40" t="str">
        <x:v>云南白药</x:v>
      </x:c>
      <x:c r="E290" s="64" t="str">
        <x:v>000538</x:v>
      </x:c>
      <x:c r="F290" s="87" t="n">
        <x:v>46260.75</x:v>
      </x:c>
      <x:c r="G290" s="51" t="str">
        <x:v>药品业务产品结构变化能否提升工业板块毛利率</x:v>
      </x:c>
      <x:c r="H290" s="64" t="str">
        <x:v>DOC-EVT-000538-00013</x:v>
      </x:c>
      <x:c r="I290" s="51" t="str">
        <x:v>关于“质量回报双提升”行动方案的公告</x:v>
      </x:c>
      <x:c r="J290" s="87" t="n">
        <x:v>45360</x:v>
      </x:c>
      <x:c r="K290" s="73" t="str">
        <x:v>http://static.cninfo.com.cn/finalpage/2024-03-09/1219264486.PDF</x:v>
      </x:c>
      <x:c r="L290" s="40" t="str">
        <x:v>第1页</x:v>
      </x:c>
      <x:c r="M290" s="51" t="str">
        <x:v>1 / 5 股票代码：000538 股票简称：云南白药 公告编号：2024-12 云南白药集团股份有限公司 关于“质量回报双提升”行动方案的公告 本公司及董事会全体成员保证信息披露内容的真实、准确、完整，没有虚 假记载、误导性陈述或重大遗漏。 云南白药集团股份有限公司（以下简称“云南白药”或“公司”）认真 践行中央政治局会议提出的“要活跃资本市场、提振投资者信心”及国务院 常务会议提出的“要大力提升上市公司质量和投资价值，要采取更加有力有 效措施，着力稳市场、稳信心”的指导思想，坚持把高质量发展作为首要任 务，因地制宜发展新质生产力，增强投资者信心，维护全体股东利益。公司 结合自身发展战略、经营情况及财务情况，制定“质量回报双提升”行动方 案。具体举措如下： 一、聚焦主业，深耕大健康领域，着力推动公司高质量发展 公司以“守护生命与健康”为使命，始终致力于传承开拓创新，持续推 动传统中药融入现代生活，不断为传统品牌及传统中医药发展注入新的生命 力，与国家“重视中医药传承创新发展”的战略定位保持高度一致。 公司坚持聚焦主业， 围绕中医药产品、 健康品、 医药流通业务领域深耕。 在医药产品领域，以传承百年的云南白药散剂为起点，不断开拓创新，逐渐 形成了涵盖气雾剂、膏贴剂、酊剂、创可贴多种产品形态的云南白药核心药 品系列产品，在细分业务领域保持市场领先。截至2022 年末，公司拥有247 个中成药品种，共涉及 354 个批文，其中，独家中成药品种 43 个，独家批 文 53 个。在…</x:v>
      </x:c>
      <x:c r="N290" s="41" t="str">
        <x:v>2-间接相关</x:v>
      </x:c>
      <x:c r="O290" s="41" t="str">
        <x:v>是</x:v>
      </x:c>
      <x:c r="P290" s="57" t="str">
        <x:v>行动方案披露药品核心系列及产品矩阵升级，能够支持“药品产品结构、产能效率与工业毛利率”的中间环节，但未完整量化最终影响。</x:v>
      </x:c>
      <x:c r="Q290" s="41" t="str">
        <x:v>B-CODEX-FIN-01</x:v>
      </x:c>
      <x:c r="R290" s="80" t="inlineStr">
        <x:is>
          <x:t>2026-08-28T03:00:25+08:00</x:t>
        </x:is>
      </x:c>
    </x:row>
    <x:row r="291" ht="72" customHeight="1">
      <x:c r="A291" s="64" t="str">
        <x:v>V5-R-Q029-C07</x:v>
      </x:c>
      <x:c r="B291" s="64" t="str">
        <x:v>V5-E-000538-C07</x:v>
      </x:c>
      <x:c r="C291" s="64" t="str">
        <x:v>V5-Q029</x:v>
      </x:c>
      <x:c r="D291" s="40" t="str">
        <x:v>云南白药</x:v>
      </x:c>
      <x:c r="E291" s="64" t="str">
        <x:v>000538</x:v>
      </x:c>
      <x:c r="F291" s="87" t="n">
        <x:v>46260.75</x:v>
      </x:c>
      <x:c r="G291" s="51" t="str">
        <x:v>药品业务产品结构变化能否提升工业板块毛利率</x:v>
      </x:c>
      <x:c r="H291" s="64" t="str">
        <x:v>DOC-EVT-000538-00220</x:v>
      </x:c>
      <x:c r="I291" s="51" t="str">
        <x:v>2025年年度报告</x:v>
      </x:c>
      <x:c r="J291" s="87" t="n">
        <x:v>46113</x:v>
      </x:c>
      <x:c r="K291" s="73" t="str">
        <x:v>http://static.cninfo.com.cn/finalpage/2026-04-01/1225067975.PDF</x:v>
      </x:c>
      <x:c r="L291" s="40" t="str">
        <x:v>第39页</x:v>
      </x:c>
      <x:c r="M291" s="51" t="str">
        <x:v>云南白药集团股份有限公司 2025 年年度报告全文 39 公司将在稳住业务基本盘的同时，以系统性能力提升加快培育可持续放大的"第二增长曲线"。一是深 化内涵式发展，公司将进一步全面推进相关工作，持续统筹降本、提质、增效三者的协同推进，从更宏 观的战略视角，特别是基于客户价值创造的维度进行系统性谋划；精准识别并把握客户真实需求中的核 心价值节点，持续创造增量价值；同时，公司将在内部运营管理领域持续深耕，围绕产能结构优化、产 业布局调整、物流线路优化、仓储资源协同等重点领域深入挖掘潜力，不断提升整体运营效率与资源配 置效能；二是推进外延式扩张，公司将继续坚持战略性投资并购方向，持续提升对并购标的的专业研判 与筛选能力，重点遴选与云南白药品牌定位、产品矩阵、渠道网络及核心竞争优势高度协同的标的，集 中优势资源推动战略性并购突破，切实补强业务发展动能。 ；三是推动存量产业中新增长点打造，公司将 持续深入推进"大单品"战略专项工作，围绕不同规模层级的产品梯队，构建清晰的产品晋级路径，确保目 标设定明确、责任主体清晰、资源配置匹配、考核机制到位。药品和健康品板块快速推动“大单品”模 式的复制与推广，中药资源板块持续践行云药资源高质量发展“链主”企业责任，带动中药材产业提质 升级，通过拓展外销市场打造“社会效益和经济效益双轮驱动” ，依托云南资源优势支撑产业优势与产品 集群建设，同时以产业优势引领带动资源优势增值，形成资源与产业双向协同的发展态势；医药商业板 块锚定“稳增长、控风险、调结…</x:v>
      </x:c>
      <x:c r="N291" s="41" t="str">
        <x:v>3-直接相关</x:v>
      </x:c>
      <x:c r="O291" s="41" t="str">
        <x:v>是</x:v>
      </x:c>
      <x:c r="P291" s="57" t="str">
        <x:v>年报披露药品业务结构、效率提升和工业经营数据，直接覆盖“药品产品结构、产能效率与工业毛利率”的关键变量，关系路径成立。</x:v>
      </x:c>
      <x:c r="Q291" s="41" t="str">
        <x:v>B-CODEX-FIN-01</x:v>
      </x:c>
      <x:c r="R291" s="80" t="inlineStr">
        <x:is>
          <x:t>2026-08-28T03:00:25+08:00</x:t>
        </x:is>
      </x:c>
    </x:row>
    <x:row r="292" ht="72" customHeight="1">
      <x:c r="A292" s="64" t="str">
        <x:v>V5-R-Q030-C08</x:v>
      </x:c>
      <x:c r="B292" s="64" t="str">
        <x:v>V5-E-000538-C08</x:v>
      </x:c>
      <x:c r="C292" s="64" t="str">
        <x:v>V5-Q030</x:v>
      </x:c>
      <x:c r="D292" s="40" t="str">
        <x:v>云南白药</x:v>
      </x:c>
      <x:c r="E292" s="64" t="str">
        <x:v>000538</x:v>
      </x:c>
      <x:c r="F292" s="87" t="n">
        <x:v>46260.75</x:v>
      </x:c>
      <x:c r="G292" s="51" t="str">
        <x:v>投资收益波动是否会影响扣非利润的稳定性</x:v>
      </x:c>
      <x:c r="H292" s="64" t="str">
        <x:v>DOC-EVT-000538-00221</x:v>
      </x:c>
      <x:c r="I292" s="51" t="str">
        <x:v>2025年年度报告摘要</x:v>
      </x:c>
      <x:c r="J292" s="87" t="n">
        <x:v>46113</x:v>
      </x:c>
      <x:c r="K292" s="73" t="str">
        <x:v>http://static.cninfo.com.cn/finalpage/2026-04-01/1225067974.PDF</x:v>
      </x:c>
      <x:c r="L292" s="40" t="str">
        <x:v>第1页</x:v>
      </x:c>
      <x:c r="M292" s="51" t="str">
        <x:v>云南白药集团股份有限公司 2025年年度报告摘要 1 证券代码：000538 证券简称：云南白药 公告编号：2026- 09 云南白药集团股份有限公司 2025 年年度报告摘要 一、重要提示 本年度报告摘要来自年度报告全文，为全面了解本公司的经营成果、财务状况及未来发展规 划，投资者应当到证监会指定媒体仔细阅读年度报告全文。 所有董事均已出席了审议本报告的董事会会议。 非标准审计意见提示 □适用 不适用 董事会审议的报告期利润分配预案或公积金转增股本预案 适用 □不适用 是否以公积金转增股本 □是 否 公司本次拟实施的现金分红与 2025 年已实施的特别分红合并计算，以 2025 年末公司总股本 1,784,262,603 股为基数，2025 年度累计现金红利总额占 2025 年度公司归属于上市公司股东净利润 的 90.09%，累计现金红利总额合计为 4,642,651,293.01 元（含税）。公司已于 2025 年 9 月完成 2025 年特别分红利润分派，每 10 股派送现金 10.19 元（含税）,现金分红金额共计 1,818,163,592.46 元 （含税）。 公司 2025 年度利润分配预案为：拟以 2025 年末公司总股本 1,784,262,603 股为基数，向全体 股东每 10 股派发现金红利 15.83 元（含税），送红股 0 股，不以资本公积金转增股本。 董事会决议通过的本报告期优先股利润分配预案 □适用 不适用 二、公司基本情况 1、公司简…</x:v>
      </x:c>
      <x:c r="N292" s="41" t="str">
        <x:v>2-间接相关</x:v>
      </x:c>
      <x:c r="O292" s="41" t="str">
        <x:v>是</x:v>
      </x:c>
      <x:c r="P292" s="57" t="str">
        <x:v>年报摘要提供归母净利润与扣非净利润对比，能够支持“投资收益波动、非经常性损益与扣非利润”的中间环节，但未完整量化最终影响。</x:v>
      </x:c>
      <x:c r="Q292" s="41" t="str">
        <x:v>B-CODEX-FIN-01</x:v>
      </x:c>
      <x:c r="R292" s="80" t="inlineStr">
        <x:is>
          <x:t>2026-08-28T03:00:25+08:00</x:t>
        </x:is>
      </x:c>
    </x:row>
    <x:row r="293" ht="72" customHeight="1">
      <x:c r="A293" s="64" t="str">
        <x:v>V5-R-Q030-C09</x:v>
      </x:c>
      <x:c r="B293" s="64" t="str">
        <x:v>V5-E-000538-C09</x:v>
      </x:c>
      <x:c r="C293" s="64" t="str">
        <x:v>V5-Q030</x:v>
      </x:c>
      <x:c r="D293" s="40" t="str">
        <x:v>云南白药</x:v>
      </x:c>
      <x:c r="E293" s="64" t="str">
        <x:v>000538</x:v>
      </x:c>
      <x:c r="F293" s="87" t="n">
        <x:v>46260.75</x:v>
      </x:c>
      <x:c r="G293" s="51" t="str">
        <x:v>投资收益波动是否会影响扣非利润的稳定性</x:v>
      </x:c>
      <x:c r="H293" s="64" t="str">
        <x:v>DOC-EVT-000538-00236</x:v>
      </x:c>
      <x:c r="I293" s="51" t="str">
        <x:v>第十一届董事会2026年第五次会议决议公告</x:v>
      </x:c>
      <x:c r="J293" s="87" t="n">
        <x:v>46198</x:v>
      </x:c>
      <x:c r="K293" s="73" t="str">
        <x:v>http://static.cninfo.com.cn/finalpage/2026-06-25/1225385546.PDF</x:v>
      </x:c>
      <x:c r="L293" s="40" t="str">
        <x:v>第1页</x:v>
      </x:c>
      <x:c r="M293" s="51" t="str">
        <x:v>1 / 3 股票代码：000538 股票简称：云南白药 公告编号：2026-21 云南白药集团股份有限公司 第十一届董事会2026 年第五次会议决议公告 本公司及董事会全体成员保证信息披露内容的真实、准确、完整，没有虚 假记载、误导性陈述或重大遗漏。 云南白药集团股份有限公司（以下简称“公司”或“云南白药”）第十一届 董事会2026 年第五次会议（以下简称“会议”）于2026 年6 月24 日以通讯 表决方式召开，本次会议通知于2026 年6 月17 日以书面、邮件方式发出， 应出席董事 12 名，实际出席董事 12 名。本次会议的召集、召开程序符合 《中华人民共和国公司法》《公司章程》的相关规定，会议合法有效。会 议审议通过如下议案： 一、审议通过《关于建设无锡药业经皮给药技术产业平台项目的议案》 为提升产线生产效率，提高产品市场份额，构建透皮制剂全产业链生 态，承接公司打造千亿级现代医药产业集团、药品事业群建设“品质好药生 态体系”的两级战略目标，同意公司全资子公司云南白药集团无锡药业有限 公司建设无锡药业经皮给药技术产业平台项目，本项目投资总预算为3.5996 亿元，项目规划核心成熟产品保供、创新升级产品落地、新型剂型研发储 备三大产品管线，全面覆盖伤科核心品类深耕、高端透皮制剂拓展、创新 剂型孵化全维度需求。</x:v>
      </x:c>
      <x:c r="N293" s="41" t="str">
        <x:v>0-无关</x:v>
      </x:c>
      <x:c r="O293" s="41" t="str">
        <x:v>否</x:v>
      </x:c>
      <x:c r="P293" s="57" t="str">
        <x:v>《第十一届董事会2026年第五次会议决议公告》主要涉及治理、股权、会议、分红或其他事项，未披露“投资收益波动、非经常性损益与扣非利润”相关实质证据。</x:v>
      </x:c>
      <x:c r="Q293" s="41" t="str">
        <x:v>B-CODEX-FIN-01</x:v>
      </x:c>
      <x:c r="R293" s="80" t="inlineStr">
        <x:is>
          <x:t>2026-08-28T03:00:25+08:00</x:t>
        </x:is>
      </x:c>
    </x:row>
    <x:row r="294" ht="72" customHeight="1">
      <x:c r="A294" s="64" t="str">
        <x:v>V5-R-Q030-C01</x:v>
      </x:c>
      <x:c r="B294" s="64" t="str">
        <x:v>V5-E-000538-C01</x:v>
      </x:c>
      <x:c r="C294" s="64" t="str">
        <x:v>V5-Q030</x:v>
      </x:c>
      <x:c r="D294" s="40" t="str">
        <x:v>云南白药</x:v>
      </x:c>
      <x:c r="E294" s="64" t="str">
        <x:v>000538</x:v>
      </x:c>
      <x:c r="F294" s="87" t="n">
        <x:v>46260.75</x:v>
      </x:c>
      <x:c r="G294" s="51" t="str">
        <x:v>投资收益波动是否会影响扣非利润的稳定性</x:v>
      </x:c>
      <x:c r="H294" s="64" t="str">
        <x:v>DOC-EVT-000538-00013</x:v>
      </x:c>
      <x:c r="I294" s="51" t="str">
        <x:v>关于“质量回报双提升”行动方案的公告</x:v>
      </x:c>
      <x:c r="J294" s="87" t="n">
        <x:v>45360</x:v>
      </x:c>
      <x:c r="K294" s="73" t="str">
        <x:v>http://static.cninfo.com.cn/finalpage/2024-03-09/1219264486.PDF</x:v>
      </x:c>
      <x:c r="L294" s="40" t="str">
        <x:v>第1页</x:v>
      </x:c>
      <x:c r="M294" s="51" t="str">
        <x:v>1 / 5 股票代码：000538 股票简称：云南白药 公告编号：2024-12 云南白药集团股份有限公司 关于“质量回报双提升”行动方案的公告 本公司及董事会全体成员保证信息披露内容的真实、准确、完整，没有虚 假记载、误导性陈述或重大遗漏。 云南白药集团股份有限公司（以下简称“云南白药”或“公司”）认真 践行中央政治局会议提出的“要活跃资本市场、提振投资者信心”及国务院 常务会议提出的“要大力提升上市公司质量和投资价值，要采取更加有力有 效措施，着力稳市场、稳信心”的指导思想，坚持把高质量发展作为首要任 务，因地制宜发展新质生产力，增强投资者信心，维护全体股东利益。公司 结合自身发展战略、经营情况及财务情况，制定“质量回报双提升”行动方 案。具体举措如下： 一、聚焦主业，深耕大健康领域，着力推动公司高质量发展 公司以“守护生命与健康”为使命，始终致力于传承开拓创新，持续推 动传统中药融入现代生活，不断为传统品牌及传统中医药发展注入新的生命 力，与国家“重视中医药传承创新发展”的战略定位保持高度一致。 公司坚持聚焦主业， 围绕中医药产品、 健康品、 医药流通业务领域深耕。 在医药产品领域，以传承百年的云南白药散剂为起点，不断开拓创新，逐渐 形成了涵盖气雾剂、膏贴剂、酊剂、创可贴多种产品形态的云南白药核心药 品系列产品，在细分业务领域保持市场领先。截至2022 年末，公司拥有247 个中成药品种，共涉及 354 个批文，其中，独家中成药品种 43 个，独家批 文 53 个。在…</x:v>
      </x:c>
      <x:c r="N294" s="41" t="str">
        <x:v>1-弱相关</x:v>
      </x:c>
      <x:c r="O294" s="41" t="str">
        <x:v>否</x:v>
      </x:c>
      <x:c r="P294" s="57" t="str">
        <x:v>《关于“质量回报双提升”行动方案的公告》仅提供公司阶段性经营、财务或相邻业务背景，未同时覆盖“投资收益波动、非经常性损益与扣非利润”的核心变量，相关性较弱。</x:v>
      </x:c>
      <x:c r="Q294" s="41" t="str">
        <x:v>B-CODEX-FIN-01</x:v>
      </x:c>
      <x:c r="R294" s="80" t="inlineStr">
        <x:is>
          <x:t>2026-08-28T03:00:25+08:00</x:t>
        </x:is>
      </x:c>
    </x:row>
    <x:row r="295" ht="72" customHeight="1">
      <x:c r="A295" s="64" t="str">
        <x:v>V5-R-Q030-C04</x:v>
      </x:c>
      <x:c r="B295" s="64" t="str">
        <x:v>V5-E-000538-C04</x:v>
      </x:c>
      <x:c r="C295" s="64" t="str">
        <x:v>V5-Q030</x:v>
      </x:c>
      <x:c r="D295" s="40" t="str">
        <x:v>云南白药</x:v>
      </x:c>
      <x:c r="E295" s="64" t="str">
        <x:v>000538</x:v>
      </x:c>
      <x:c r="F295" s="87" t="n">
        <x:v>46260.75</x:v>
      </x:c>
      <x:c r="G295" s="51" t="str">
        <x:v>投资收益波动是否会影响扣非利润的稳定性</x:v>
      </x:c>
      <x:c r="H295" s="64" t="str">
        <x:v>DOC-EVT-000538-00140</x:v>
      </x:c>
      <x:c r="I295" s="51" t="str">
        <x:v>关于对安国市聚药堂药业有限公司进行全资收购的公告</x:v>
      </x:c>
      <x:c r="J295" s="87" t="n">
        <x:v>45885</x:v>
      </x:c>
      <x:c r="K295" s="73" t="str">
        <x:v>http://static.cninfo.com.cn/finalpage/2025-08-16/1224500260.PDF</x:v>
      </x:c>
      <x:c r="L295" s="40" t="str">
        <x:v>第1页</x:v>
      </x:c>
      <x:c r="M295" s="51" t="str">
        <x:v>1 / 9 证券代码:000538 证券简称:云南白药 公告编号:2025-25 云南白药集团股份有限公司 关于对安国市聚药堂药业有限公司进行全资收购的公告 重要提示：本公司及董事会全体成员保证信息披露内容的真实、准确、 完整，没有虚假记载、误导性陈述或重大遗漏。 云南白药集团股份有限公司（以下简称“云南白药”或“公司”）于 2025年8月15日召开第十届董事会2025年第四次会议，审议通过《关于对 安国市聚药堂药业有限公司进行全资收购的议案》，为响应云南省人民政 府提出的高质量发展云南省中药材产业的要求，结合公司自身战略发展目 标，为更好带动云南省内中药材销售，更快推动云南白药 相关业务布局全 国，实现规模扩张，提升中药材产业链协同效率，公司全资子公司 云南白 药集团中药资源有限公司（以下简称“中药资源公司”）将以现金方式收 购安国市聚药堂药业有限公司（以下简称“ 目标公司”或“聚药堂”） 100%股权，股权转让对价总额为人民币66,000万元，交易完成后，中药资 源公司将持有聚药堂100%股权。具体情况如下： 一、交易概述 云南白药全资子公司中药资源公司与聚药堂现股东马新宏、马占江、 张双、石跃欣、石光（以下简称“现股东”）签署《安国市聚药堂药业有 限公司之股权转让协议》（以下简称“《股权转让协议》”），根据《股 权转让协议》，中药资源公司收购现股东合计持有的100%股权，股权转让 对价总额为人民币66,000万元，其中马新宏所持聚药堂 35%的股权转让对 价金额为23…</x:v>
      </x:c>
      <x:c r="N295" s="41" t="str">
        <x:v>1-弱相关</x:v>
      </x:c>
      <x:c r="O295" s="41" t="str">
        <x:v>否</x:v>
      </x:c>
      <x:c r="P295" s="57" t="str">
        <x:v>《关于对安国市聚药堂药业有限公司进行全资收购的公告》仅提供公司阶段性经营、财务或相邻业务背景，未同时覆盖“投资收益波动、非经常性损益与扣非利润”的核心变量，相关性较弱。</x:v>
      </x:c>
      <x:c r="Q295" s="41" t="str">
        <x:v>B-CODEX-FIN-01</x:v>
      </x:c>
      <x:c r="R295" s="80" t="inlineStr">
        <x:is>
          <x:t>2026-08-28T03:00:25+08:00</x:t>
        </x:is>
      </x:c>
    </x:row>
    <x:row r="296" ht="72" customHeight="1">
      <x:c r="A296" s="64" t="str">
        <x:v>V5-R-Q030-C02</x:v>
      </x:c>
      <x:c r="B296" s="64" t="str">
        <x:v>V5-E-000538-C02</x:v>
      </x:c>
      <x:c r="C296" s="64" t="str">
        <x:v>V5-Q030</x:v>
      </x:c>
      <x:c r="D296" s="40" t="str">
        <x:v>云南白药</x:v>
      </x:c>
      <x:c r="E296" s="64" t="str">
        <x:v>000538</x:v>
      </x:c>
      <x:c r="F296" s="87" t="n">
        <x:v>46260.75</x:v>
      </x:c>
      <x:c r="G296" s="51" t="str">
        <x:v>投资收益波动是否会影响扣非利润的稳定性</x:v>
      </x:c>
      <x:c r="H296" s="64" t="str">
        <x:v>DOC-EVT-000538-00091</x:v>
      </x:c>
      <x:c r="I296" s="51" t="str">
        <x:v>关于拟与专业投资机构共同投资设立基金的公告</x:v>
      </x:c>
      <x:c r="J296" s="87" t="n">
        <x:v>45626</x:v>
      </x:c>
      <x:c r="K296" s="73" t="str">
        <x:v>http://static.cninfo.com.cn/finalpage/2024-11-30/1221892813.PDF</x:v>
      </x:c>
      <x:c r="L296" s="40" t="str">
        <x:v>第1页</x:v>
      </x:c>
      <x:c r="M296" s="51" t="str">
        <x:v>1 / 8 证券代码:000538 证券简称:云南白药 公告编号:2024-58 云南白药集团股份有限公司 关于拟与专业投资机构共同投资设立基金的公告 重要提示：本公司及董事会全体成员保证信息披露内容的真实、准 确、完整，没有虚假记载、误导性陈述或重大遗漏。 云南白药集团股份有限公司（以下简称“云南白药”或“公司”）拟 与专业投资机构中银国际投资有限责任公司（以下简称“中银国际投资”） 共同投资设立基金，现将相关情况公告如下： 一、交易概述 （一）交易背景 云南白药进一步聚焦主责主业，坚定持续深耕“药”这个产业根基， 全产业链促进医药大健康业务高质量发展；与此同时，云南白药持续推动 公司向内涵式与外延式并举的发展模式转型，不断优化公司产业布局和业 务组合，提升公司成长的规模、质量和效率。 云南白药参与发起设立产业基金，可更规范、高效地使用投资手段， 广泛整合外部资源，培育、发展中医药产业链及大健康产业相关企业，补 足和强化现有产业板块，构建健康、可持续发展的产业生态体系，实现更 高质量发展。 （二）交易基本情况 在不影响公司日常经营发展、有效控制投资风险的前提下，公司拟与 中银国际投资共同投资设立云南省中医药大健康创新基金（暂定名，最终 名称以市场监督管理机构登记核定的为准；以下简称“基金”或“合伙企 业”）。合伙企业的目标认缴出资总额为人民币70亿元，其中公司作为有</x:v>
      </x:c>
      <x:c r="N296" s="41" t="str">
        <x:v>2-间接相关</x:v>
      </x:c>
      <x:c r="O296" s="41" t="str">
        <x:v>是</x:v>
      </x:c>
      <x:c r="P296" s="57" t="str">
        <x:v>设立产业基金将新增投资收益和公允价值波动敞口，能够支持“投资收益波动、非经常性损益与扣非利润”的中间环节，但未完整量化最终影响。</x:v>
      </x:c>
      <x:c r="Q296" s="41" t="str">
        <x:v>B-CODEX-FIN-01</x:v>
      </x:c>
      <x:c r="R296" s="80" t="inlineStr">
        <x:is>
          <x:t>2026-08-28T03:00:25+08:00</x:t>
        </x:is>
      </x:c>
    </x:row>
    <x:row r="297" ht="72" customHeight="1">
      <x:c r="A297" s="64" t="str">
        <x:v>V5-R-Q030-C06</x:v>
      </x:c>
      <x:c r="B297" s="64" t="str">
        <x:v>V5-E-000538-C06</x:v>
      </x:c>
      <x:c r="C297" s="64" t="str">
        <x:v>V5-Q030</x:v>
      </x:c>
      <x:c r="D297" s="40" t="str">
        <x:v>云南白药</x:v>
      </x:c>
      <x:c r="E297" s="64" t="str">
        <x:v>000538</x:v>
      </x:c>
      <x:c r="F297" s="87" t="n">
        <x:v>46260.75</x:v>
      </x:c>
      <x:c r="G297" s="51" t="str">
        <x:v>投资收益波动是否会影响扣非利润的稳定性</x:v>
      </x:c>
      <x:c r="H297" s="64" t="str">
        <x:v>DOC-EVT-000538-00008</x:v>
      </x:c>
      <x:c r="I297" s="51" t="str">
        <x:v>关于变更回购股份用途并注销暨通知债权人的公告</x:v>
      </x:c>
      <x:c r="J297" s="87" t="n">
        <x:v>45346</x:v>
      </x:c>
      <x:c r="K297" s="73" t="str">
        <x:v>http://static.cninfo.com.cn/finalpage/2024-02-24/1219171881.PDF</x:v>
      </x:c>
      <x:c r="L297" s="40" t="str">
        <x:v>第1页</x:v>
      </x:c>
      <x:c r="M297" s="51" t="str">
        <x:v>1 / 2 股票代码：000538 股票简称：云南白药 公告编号：2024-08 云南白药集团股份有限公司 关于变更回购股份用途并注销暨通知债权人的公告 本公司及董事会全体成员保证信息披露的内容真实、准确、完整，没有 虚假记载、误导性陈述或重大遗漏。 云南白药集团股份有限公司（以下简称“公司”）于 2024 年 2 月 7 日召开 第十届董事会 2024 年第一次会议，并于 2024 年 2 月 23 日召开 2024 年第一 次临时股东大会，审议通过了《关于变更回购股份用途并注销的议案》。具体 内容详见公司2024 年2 月 8 日在巨潮资讯网 （网址：http://www.cninfo.com.cn ） 披露的《关于变更回购股份用途并注销的公告》（公告编号：2024-04）。 根据公司实际情况，为维护广大投资者利益，公司将对自 2022 年 5 月 5 日至 2022 年 6 月 6 日在二级市场以集中竞价交易方式累计回购 的股票 12,599,946股的用途进行变更，回购股份用途由“用于实施员工持股计划或股 权激励计划”变更为“用于注销以减少注册资本”。本次注销手续完成后，公司 总股本将减少 12,599,946 股，股份总数将由 1,796,862,549 股变更 为 1,784,262,603 股。 公司本次变更回购股份用途并注销将导致注册资本减少，根据《中华人民 共和国公司法》等相关法律、法规的规定，公司债权人（为避免疑义，本公告 的“公司债权人”并不包含“公司…</x:v>
      </x:c>
      <x:c r="N297" s="41" t="str">
        <x:v>0-无关</x:v>
      </x:c>
      <x:c r="O297" s="41" t="str">
        <x:v>否</x:v>
      </x:c>
      <x:c r="P297" s="57" t="str">
        <x:v>《关于变更回购股份用途并注销暨通知债权人的公告》主要涉及治理、股权、会议、分红或其他事项，未披露“投资收益波动、非经常性损益与扣非利润”相关实质证据。</x:v>
      </x:c>
      <x:c r="Q297" s="41" t="str">
        <x:v>B-CODEX-FIN-01</x:v>
      </x:c>
      <x:c r="R297" s="80" t="inlineStr">
        <x:is>
          <x:t>2026-08-28T03:00:25+08:00</x:t>
        </x:is>
      </x:c>
    </x:row>
    <x:row r="298" ht="72" customHeight="1">
      <x:c r="A298" s="64" t="str">
        <x:v>V5-R-Q030-C07</x:v>
      </x:c>
      <x:c r="B298" s="64" t="str">
        <x:v>V5-E-000538-C07</x:v>
      </x:c>
      <x:c r="C298" s="64" t="str">
        <x:v>V5-Q030</x:v>
      </x:c>
      <x:c r="D298" s="40" t="str">
        <x:v>云南白药</x:v>
      </x:c>
      <x:c r="E298" s="64" t="str">
        <x:v>000538</x:v>
      </x:c>
      <x:c r="F298" s="87" t="n">
        <x:v>46260.75</x:v>
      </x:c>
      <x:c r="G298" s="51" t="str">
        <x:v>投资收益波动是否会影响扣非利润的稳定性</x:v>
      </x:c>
      <x:c r="H298" s="64" t="str">
        <x:v>DOC-EVT-000538-00220</x:v>
      </x:c>
      <x:c r="I298" s="51" t="str">
        <x:v>2025年年度报告</x:v>
      </x:c>
      <x:c r="J298" s="87" t="n">
        <x:v>46113</x:v>
      </x:c>
      <x:c r="K298" s="73" t="str">
        <x:v>http://static.cninfo.com.cn/finalpage/2026-04-01/1225067975.PDF</x:v>
      </x:c>
      <x:c r="L298" s="40" t="str">
        <x:v>第245页</x:v>
      </x:c>
      <x:c r="M298" s="51" t="str">
        <x:v>云南白药集团股份有限公司 2025 年年度报告全文 245 处置交易性金融资产取得的投资收益 32,705,136.82 其他非流动金融资产持有期间取得的投资收益 20,474,449.39 处置其他非流动金融资产的损益 29,102,029.45 其他 -226,891,279.70 -3,991,808.68 合计 2,618,339,748.91 2,695,886,407.92 6、其他：无。 二十、补充资料 1、当期非经常性损益明细表 适用 □不适用 单位：元 项目 金额 说明 非流动性资产处置损益 7,198,923.23 计入当期损益的政府补助（与公司正常经营业务密切相关，符合国家政策 规定、按照确定的标准享有、对公司损益产生持续影响的政府补助除外） 96,333,463.99 除同公司正常经营业务相关的有效套期保值业务外，非金融企业持有金融 资产和金融负债产生的公允价值变动损益以及处置金融资产和金融负债产 生的损益 189,486,904.27 委托他人投资或管理资产的损益 19,212,454.11 除上述各项之外的其他营业外收入和支出 4,570,455.96 其他符合非经常性损益定义的损益项目 17,162,242.56 减：所得税影响额 44,955,132.44 少数股东权益影响额（税后） 90,875.93 合计 288,918,435.75 -- 其他符合非经常性损益定义的损益项目的具体情况： 适用 □不适用 其他符合非经常性损益定义的损益…</x:v>
      </x:c>
      <x:c r="N298" s="41" t="str">
        <x:v>3-直接相关</x:v>
      </x:c>
      <x:c r="O298" s="41" t="str">
        <x:v>是</x:v>
      </x:c>
      <x:c r="P298" s="57" t="str">
        <x:v>年报直接列示投资收益构成及非经常性损益，直接覆盖“投资收益波动、非经常性损益与扣非利润”的关键变量，关系路径成立。</x:v>
      </x:c>
      <x:c r="Q298" s="41" t="str">
        <x:v>B-CODEX-FIN-01</x:v>
      </x:c>
      <x:c r="R298" s="80" t="inlineStr">
        <x:is>
          <x:t>2026-08-28T03:00:25+08:00</x:t>
        </x:is>
      </x:c>
    </x:row>
    <x:row r="299" ht="72" customHeight="1">
      <x:c r="A299" s="64" t="str">
        <x:v>V5-R-Q030-C03</x:v>
      </x:c>
      <x:c r="B299" s="64" t="str">
        <x:v>V5-E-000538-C03</x:v>
      </x:c>
      <x:c r="C299" s="64" t="str">
        <x:v>V5-Q030</x:v>
      </x:c>
      <x:c r="D299" s="40" t="str">
        <x:v>云南白药</x:v>
      </x:c>
      <x:c r="E299" s="64" t="str">
        <x:v>000538</x:v>
      </x:c>
      <x:c r="F299" s="87" t="n">
        <x:v>46260.75</x:v>
      </x:c>
      <x:c r="G299" s="51" t="str">
        <x:v>投资收益波动是否会影响扣非利润的稳定性</x:v>
      </x:c>
      <x:c r="H299" s="64" t="str">
        <x:v>DOC-EVT-000538-00231</x:v>
      </x:c>
      <x:c r="I299" s="51" t="str">
        <x:v>2025年年度权益分派实施公告</x:v>
      </x:c>
      <x:c r="J299" s="87" t="n">
        <x:v>46136</x:v>
      </x:c>
      <x:c r="K299" s="73" t="str">
        <x:v>http://static.cninfo.com.cn/finalpage/2026-04-24/1225161370.PDF</x:v>
      </x:c>
      <x:c r="L299" s="40" t="str">
        <x:v>第1页</x:v>
      </x:c>
      <x:c r="M299" s="51" t="str">
        <x:v>1 / 3 股票代码：000538 股票简称：云南白药 公告编号：2026-16 云南白药集团股份有限公司 2025 年年度权益分派实施公告 本公司及董事会全体成员保证信息披露内容的真实、准确、完整，没有虚 假记载、误导性陈述或重大遗漏。 云南白药集团股份有限公司（以下简称“公司”或“本公司”）2025 年年度 权益分派方案已获2026 年4 月21 日召开的公司2025 年度股东会审议通过， 股东会决议公告刊登于2026 年4 月22 日的《中国证券报》《上海证券报》 《证券时报》及巨潮资讯网（http://www.cninfo.com.cn）。现将2025 年度权 益分派情况公告如下： 一、股东会审议通过权益分派方案情况 1、本公司获股东会审议通过的 2025 年年度权益分派具体方案为：以公 司现有总股本 1,784,262,603 股为基数，向全体股东每 10 股派发现金红利 15.83 元（含税），送红股 0 股，不以资本公积金转增股本，本次现金分红 总金额 2,824,487,700.55 元。按照本方案分配比例，以分配方案未来实施时 股权登记日享有利润分配权利的股份数量为基数，从而最终确定分配总额。 其余未分配利润留待以后年度分配。在公司利润分配预案披露之日起至实施 权益分派股权登记日期间，公司享有利润分配权的股份总额由于增发新股、 股权激励行权、可转债转股、股份回购等原因发生变化的，公司将按每股分 配比例不变的原则，相应调整分红总额。 2、本次实施的权益分派方…</x:v>
      </x:c>
      <x:c r="N299" s="41" t="str">
        <x:v>0-无关</x:v>
      </x:c>
      <x:c r="O299" s="41" t="str">
        <x:v>否</x:v>
      </x:c>
      <x:c r="P299" s="57" t="str">
        <x:v>《2025年年度权益分派实施公告》主要涉及治理、股权、会议、分红或其他事项，未披露“投资收益波动、非经常性损益与扣非利润”相关实质证据。</x:v>
      </x:c>
      <x:c r="Q299" s="41" t="str">
        <x:v>B-CODEX-FIN-01</x:v>
      </x:c>
      <x:c r="R299" s="80" t="inlineStr">
        <x:is>
          <x:t>2026-08-28T03:00:25+08:00</x:t>
        </x:is>
      </x:c>
    </x:row>
    <x:row r="300" ht="72" customHeight="1">
      <x:c r="A300" s="64" t="str">
        <x:v>V5-R-Q030-C05</x:v>
      </x:c>
      <x:c r="B300" s="64" t="str">
        <x:v>V5-E-000538-C05</x:v>
      </x:c>
      <x:c r="C300" s="64" t="str">
        <x:v>V5-Q030</x:v>
      </x:c>
      <x:c r="D300" s="40" t="str">
        <x:v>云南白药</x:v>
      </x:c>
      <x:c r="E300" s="64" t="str">
        <x:v>000538</x:v>
      </x:c>
      <x:c r="F300" s="87" t="n">
        <x:v>46260.75</x:v>
      </x:c>
      <x:c r="G300" s="51" t="str">
        <x:v>投资收益波动是否会影响扣非利润的稳定性</x:v>
      </x:c>
      <x:c r="H300" s="64" t="str">
        <x:v>DOC-EVT-000538-00041</x:v>
      </x:c>
      <x:c r="I300" s="51" t="str">
        <x:v>关于回购股份注销完成暨股份变动的公告</x:v>
      </x:c>
      <x:c r="J300" s="87" t="n">
        <x:v>45405</x:v>
      </x:c>
      <x:c r="K300" s="73" t="str">
        <x:v>http://static.cninfo.com.cn/finalpage/2024-04-23/1219736202.PDF</x:v>
      </x:c>
      <x:c r="L300" s="40" t="str">
        <x:v>第1页</x:v>
      </x:c>
      <x:c r="M300" s="51" t="str">
        <x:v>1 / 2 股票代码：000538 股票简称：云南白药 公告编号：2024-21 云南白药集团股份有限公司 关于回购股份注销完成暨股份变动的公告 本公司及董事会全体成员保证信息披露内容的真实、准确、完整，没有虚 假记载、误导性陈述或重大遗漏。 云南白药集团股份有限公司（以下简称“公司”） 因实施注销回购专用 证券账户股份导致公司总股本、无限售条件流通股数量发生变化，根据《公 司法》《证券法》《上市公司股份回购规则》《深圳证券交易所上市公司自 律监管指引第 9 号——回购股份》等相关规定，现就回购股份注销完成暨股 份变动情况披露如下： 一、变更回购股份用途并注销事项履行的相关审批程序 1、实施股份回购：公司于 2022 年 4 月 6 日召开的第九届董事会2022 年 第五次会议及 2022 年 4 月 20 日召开的公司 2021 年度股东大会审议通过了 《关于&lt;回购公司股份方案&gt;的议案》，同意公司使用自有资金以集中竞价或 法律法规允许的方式回购公司股份，用于实施员工持股计划或股权激励计划。 截至 2022 年 6 月 6 日，上述回购公司股份的方案已实施完毕，回购实施结果 具体如下：公司自2022 年5 月5 日首次回购股份至2022 年6 月6 日，公司通 过回购专用证券账户在二级市场以集中竞价交易方式已累计回购股票 12,599,946 股，约占公司总股本的 0.7015%，最高成交价为 64.46 元/股，最低 成交价为 53.71 元/股，支付总金额为人民币 70…</x:v>
      </x:c>
      <x:c r="N300" s="41" t="str">
        <x:v>0-无关</x:v>
      </x:c>
      <x:c r="O300" s="41" t="str">
        <x:v>否</x:v>
      </x:c>
      <x:c r="P300" s="57" t="str">
        <x:v>《关于回购股份注销完成暨股份变动的公告》主要涉及治理、股权、会议、分红或其他事项，未披露“投资收益波动、非经常性损益与扣非利润”相关实质证据。</x:v>
      </x:c>
      <x:c r="Q300" s="41" t="str">
        <x:v>B-CODEX-FIN-01</x:v>
      </x:c>
      <x:c r="R300" s="80" t="inlineStr">
        <x:is>
          <x:t>2026-08-28T03:00:25+08:00</x:t>
        </x:is>
      </x:c>
    </x:row>
    <x:row r="301" ht="72" customHeight="1">
      <x:c r="A301" s="65" t="str">
        <x:v>V5-R-Q030-C10</x:v>
      </x:c>
      <x:c r="B301" s="65" t="str">
        <x:v>V5-E-000538-C10</x:v>
      </x:c>
      <x:c r="C301" s="65" t="str">
        <x:v>V5-Q030</x:v>
      </x:c>
      <x:c r="D301" s="42" t="str">
        <x:v>云南白药</x:v>
      </x:c>
      <x:c r="E301" s="65" t="str">
        <x:v>000538</x:v>
      </x:c>
      <x:c r="F301" s="88" t="n">
        <x:v>46260.75</x:v>
      </x:c>
      <x:c r="G301" s="52" t="str">
        <x:v>投资收益波动是否会影响扣非利润的稳定性</x:v>
      </x:c>
      <x:c r="H301" s="65" t="str">
        <x:v>DOC-EVT-000538-00234</x:v>
      </x:c>
      <x:c r="I301" s="52" t="str">
        <x:v>第十一届董事会2026年第四次会议决议公告</x:v>
      </x:c>
      <x:c r="J301" s="88" t="n">
        <x:v>46164</x:v>
      </x:c>
      <x:c r="K301" s="74" t="str">
        <x:v>http://static.cninfo.com.cn/finalpage/2026-05-22/1225322679.PDF</x:v>
      </x:c>
      <x:c r="L301" s="42" t="str">
        <x:v>第1页</x:v>
      </x:c>
      <x:c r="M301" s="52" t="str">
        <x:v>1 / 1 股票代码：000538 股票简称：云南白药 公告编号：2026-19 云南白药集团股份有限公司 第十一届董事会2026 年第四次会议决议公告 本公司及董事会全体成员保证信息披露内容的真实、准确、完整，没 有虚假记载、误导性陈述或重大遗漏。 云南白药集团股份有限公司（以下简称“公司”或“云南白药”）第十 一届董事会2026 年第四次会议（以下简称“会议”）于2026 年5 月21 日 以通讯表决方式召开，本次会议通知于2026 年5 月18 日以书面、邮件 方式发出，应出席董事 12 名，实际出席董事12 名。本次会议的召集、 召开程序符合《中华人民共和国公司法》《公司章程》的相关规定，会 议合法有效。会议审议通过如下议案： 一、审议通过《关于向参股公司推荐董事候选人的议案》 经审议，同意向参股公司推荐董事候选人。 表决结果：12 票同意、0 票反对、0 票弃权。 特此公告 云南白药集团股份有限公司 董 事 会 2026 年5 月21 日</x:v>
      </x:c>
      <x:c r="N301" s="43" t="str">
        <x:v>0-无关</x:v>
      </x:c>
      <x:c r="O301" s="43" t="str">
        <x:v>否</x:v>
      </x:c>
      <x:c r="P301" s="58" t="str">
        <x:v>《第十一届董事会2026年第四次会议决议公告》主要涉及治理、股权、会议、分红或其他事项，未披露“投资收益波动、非经常性损益与扣非利润”相关实质证据。</x:v>
      </x:c>
      <x:c r="Q301" s="43" t="str">
        <x:v>B-CODEX-FIN-01</x:v>
      </x:c>
      <x:c r="R301" s="81" t="inlineStr">
        <x:is>
          <x:t>2026-08-28T03:00:25+08:00</x:t>
        </x:is>
      </x:c>
    </x:row>
  </x:sheetData>
  <x:conditionalFormatting sqref="N2:N301">
    <x:cfRule type="containsBlanks" dxfId="0" priority="1"/>
    <x:cfRule type="containsText" dxfId="5" priority="6" operator="containsText" text="3-直接相关"/>
    <x:cfRule type="containsText" dxfId="6" priority="7" operator="containsText" text="2-间接相关"/>
    <x:cfRule type="containsText" dxfId="7" priority="8" operator="containsText" text="1-弱相关"/>
    <x:cfRule type="containsText" dxfId="8" priority="9" operator="containsText" text="0-无关"/>
  </x:conditionalFormatting>
  <x:conditionalFormatting sqref="O2:O301">
    <x:cfRule type="containsBlanks" dxfId="1" priority="2"/>
    <x:cfRule type="containsText" dxfId="9" priority="10" operator="containsText" text="是"/>
    <x:cfRule type="containsText" dxfId="10" priority="11" operator="containsText" text="否"/>
  </x:conditionalFormatting>
  <x:conditionalFormatting sqref="P2:P301">
    <x:cfRule type="containsBlanks" dxfId="2" priority="3"/>
  </x:conditionalFormatting>
  <x:conditionalFormatting sqref="Q2:Q301">
    <x:cfRule type="containsBlanks" dxfId="3" priority="4"/>
  </x:conditionalFormatting>
  <x:conditionalFormatting sqref="R2:R301">
    <x:cfRule type="containsBlanks" dxfId="4" priority="5"/>
  </x:conditionalFormatting>
  <x:dataValidations count="2">
    <x:dataValidation type="list" sqref="N2:N301">
      <x:formula1>"0-无关,1-弱相关,2-间接相关,3-直接相关"</x:formula1>
    </x:dataValidation>
    <x:dataValidation type="list" sqref="O2:O301">
      <x:formula1>"是,否"</x:formula1>
    </x:dataValidation>
  </x:dataValidations>
  <x:pageMargins left="0.7" right="0.7" top="0.75" bottom="0.75" header="0.3" footer="0.3"/>
  <x:legacyDrawing xmlns:r="http://schemas.openxmlformats.org/officeDocument/2006/relationships" r:id="R72bc760c92114993"/>
  <x:tableParts count="1">
    <x:tablePart xmlns:r="http://schemas.openxmlformats.org/officeDocument/2006/relationships" r:id="Rdeb3063aa7084c81"/>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38" hidden="0" customWidth="1"/>
    <x:col min="3" max="3" width="18" hidden="0" customWidth="1"/>
    <x:col min="4" max="4" width="38" hidden="0" customWidth="1"/>
    <x:col min="5" max="5" width="13" hidden="0" customWidth="1"/>
    <x:col min="6" max="6" width="13" hidden="0" customWidth="1"/>
    <x:col min="7" max="7" width="13" hidden="0" customWidth="1"/>
    <x:col min="8" max="8" width="13" hidden="0" customWidth="1"/>
  </x:cols>
  <x:sheetData>
    <x:row r="1">
      <x:c r="A1" s="98" t="str">
        <x:v>Graph RAG v5 专业研究员独立盲标说明</x:v>
      </x:c>
      <x:c r="B1" s="98" t="str">
        <x:v>Graph RAG v5 专业研究员独立盲标说明</x:v>
      </x:c>
      <x:c r="C1" s="98" t="str">
        <x:v>Graph RAG v5 专业研究员独立盲标说明</x:v>
      </x:c>
      <x:c r="D1" s="98" t="str">
        <x:v>Graph RAG v5 专业研究员独立盲标说明</x:v>
      </x:c>
      <x:c r="E1" s="98" t="str">
        <x:v>Graph RAG v5 专业研究员独立盲标说明</x:v>
      </x:c>
      <x:c r="F1" s="98" t="str">
        <x:v>Graph RAG v5 专业研究员独立盲标说明</x:v>
      </x:c>
      <x:c r="G1" s="98" t="str">
        <x:v>Graph RAG v5 专业研究员独立盲标说明</x:v>
      </x:c>
      <x:c r="H1" s="98" t="str">
        <x:v>Graph RAG v5 专业研究员独立盲标说明</x:v>
      </x:c>
    </x:row>
    <x:row r="2">
      <x:c r="A2" s="98" t="str">
        <x:v>Graph RAG v5 专业研究员独立盲标说明</x:v>
      </x:c>
      <x:c r="B2" s="98" t="str">
        <x:v>Graph RAG v5 专业研究员独立盲标说明</x:v>
      </x:c>
      <x:c r="C2" s="98" t="str">
        <x:v>Graph RAG v5 专业研究员独立盲标说明</x:v>
      </x:c>
      <x:c r="D2" s="98" t="str">
        <x:v>Graph RAG v5 专业研究员独立盲标说明</x:v>
      </x:c>
      <x:c r="E2" s="98" t="str">
        <x:v>Graph RAG v5 专业研究员独立盲标说明</x:v>
      </x:c>
      <x:c r="F2" s="98" t="str">
        <x:v>Graph RAG v5 专业研究员独立盲标说明</x:v>
      </x:c>
      <x:c r="G2" s="98" t="str">
        <x:v>Graph RAG v5 专业研究员独立盲标说明</x:v>
      </x:c>
      <x:c r="H2" s="98" t="str">
        <x:v>Graph RAG v5 专业研究员独立盲标说明</x:v>
      </x:c>
    </x:row>
    <x:row r="4">
      <x:c r="A4" s="128" t="str">
        <x:v>本工作簿包含 30 个全新查询、每个查询 10 个候选，共 300 行。每家公司采用相同的共享候选池，以避免通过候选集合反推相关性。题面与模型均已冻结；请独立阅读证据和原文后完成 N:R 五个黄色字段，禁止修改 A:M。</x:v>
      </x:c>
      <x:c r="B4" s="129" t="str">
        <x:v>本工作簿包含 30 个全新查询、每个查询 10 个候选，共 300 行。每家公司采用相同的共享候选池，以避免通过候选集合反推相关性。题面与模型均已冻结；请独立阅读证据和原文后完成 N:R 五个黄色字段，禁止修改 A:M。</x:v>
      </x:c>
      <x:c r="C4" s="129" t="str">
        <x:v>本工作簿包含 30 个全新查询、每个查询 10 个候选，共 300 行。每家公司采用相同的共享候选池，以避免通过候选集合反推相关性。题面与模型均已冻结；请独立阅读证据和原文后完成 N:R 五个黄色字段，禁止修改 A:M。</x:v>
      </x:c>
      <x:c r="D4" s="129" t="str">
        <x:v>本工作簿包含 30 个全新查询、每个查询 10 个候选，共 300 行。每家公司采用相同的共享候选池，以避免通过候选集合反推相关性。题面与模型均已冻结；请独立阅读证据和原文后完成 N:R 五个黄色字段，禁止修改 A:M。</x:v>
      </x:c>
      <x:c r="E4" s="129" t="str">
        <x:v>本工作簿包含 30 个全新查询、每个查询 10 个候选，共 300 行。每家公司采用相同的共享候选池，以避免通过候选集合反推相关性。题面与模型均已冻结；请独立阅读证据和原文后完成 N:R 五个黄色字段，禁止修改 A:M。</x:v>
      </x:c>
      <x:c r="F4" s="129" t="str">
        <x:v>本工作簿包含 30 个全新查询、每个查询 10 个候选，共 300 行。每家公司采用相同的共享候选池，以避免通过候选集合反推相关性。题面与模型均已冻结；请独立阅读证据和原文后完成 N:R 五个黄色字段，禁止修改 A:M。</x:v>
      </x:c>
      <x:c r="G4" s="129" t="str">
        <x:v>本工作簿包含 30 个全新查询、每个查询 10 个候选，共 300 行。每家公司采用相同的共享候选池，以避免通过候选集合反推相关性。题面与模型均已冻结；请独立阅读证据和原文后完成 N:R 五个黄色字段，禁止修改 A:M。</x:v>
      </x:c>
      <x:c r="H4" s="130" t="str">
        <x:v>本工作簿包含 30 个全新查询、每个查询 10 个候选，共 300 行。每家公司采用相同的共享候选池，以避免通过候选集合反推相关性。题面与模型均已冻结；请独立阅读证据和原文后完成 N:R 五个黄色字段，禁止修改 A:M。</x:v>
      </x:c>
    </x:row>
    <x:row r="5">
      <x:c r="A5" s="131" t="str">
        <x:v>本工作簿包含 30 个全新查询、每个查询 10 个候选，共 300 行。每家公司采用相同的共享候选池，以避免通过候选集合反推相关性。题面与模型均已冻结；请独立阅读证据和原文后完成 N:R 五个黄色字段，禁止修改 A:M。</x:v>
      </x:c>
      <x:c r="B5" s="132" t="str">
        <x:v>本工作簿包含 30 个全新查询、每个查询 10 个候选，共 300 行。每家公司采用相同的共享候选池，以避免通过候选集合反推相关性。题面与模型均已冻结；请独立阅读证据和原文后完成 N:R 五个黄色字段，禁止修改 A:M。</x:v>
      </x:c>
      <x:c r="C5" s="132" t="str">
        <x:v>本工作簿包含 30 个全新查询、每个查询 10 个候选，共 300 行。每家公司采用相同的共享候选池，以避免通过候选集合反推相关性。题面与模型均已冻结；请独立阅读证据和原文后完成 N:R 五个黄色字段，禁止修改 A:M。</x:v>
      </x:c>
      <x:c r="D5" s="132" t="str">
        <x:v>本工作簿包含 30 个全新查询、每个查询 10 个候选，共 300 行。每家公司采用相同的共享候选池，以避免通过候选集合反推相关性。题面与模型均已冻结；请独立阅读证据和原文后完成 N:R 五个黄色字段，禁止修改 A:M。</x:v>
      </x:c>
      <x:c r="E5" s="132" t="str">
        <x:v>本工作簿包含 30 个全新查询、每个查询 10 个候选，共 300 行。每家公司采用相同的共享候选池，以避免通过候选集合反推相关性。题面与模型均已冻结；请独立阅读证据和原文后完成 N:R 五个黄色字段，禁止修改 A:M。</x:v>
      </x:c>
      <x:c r="F5" s="132" t="str">
        <x:v>本工作簿包含 30 个全新查询、每个查询 10 个候选，共 300 行。每家公司采用相同的共享候选池，以避免通过候选集合反推相关性。题面与模型均已冻结；请独立阅读证据和原文后完成 N:R 五个黄色字段，禁止修改 A:M。</x:v>
      </x:c>
      <x:c r="G5" s="132" t="str">
        <x:v>本工作簿包含 30 个全新查询、每个查询 10 个候选，共 300 行。每家公司采用相同的共享候选池，以避免通过候选集合反推相关性。题面与模型均已冻结；请独立阅读证据和原文后完成 N:R 五个黄色字段，禁止修改 A:M。</x:v>
      </x:c>
      <x:c r="H5" s="133" t="str">
        <x:v>本工作簿包含 30 个全新查询、每个查询 10 个候选，共 300 行。每家公司采用相同的共享候选池，以避免通过候选集合反推相关性。题面与模型均已冻结；请独立阅读证据和原文后完成 N:R 五个黄色字段，禁止修改 A:M。</x:v>
      </x:c>
    </x:row>
    <x:row r="6">
      <x:c r="A6" s="2"/>
      <x:c r="B6" s="2"/>
      <x:c r="C6" s="2"/>
      <x:c r="D6" s="2"/>
      <x:c r="E6" s="2"/>
      <x:c r="F6" s="2"/>
      <x:c r="G6" s="2"/>
      <x:c r="H6" s="2"/>
    </x:row>
    <x:row r="7">
      <x:c r="A7" s="144" t="str">
        <x:v>数据版本</x:v>
      </x:c>
      <x:c r="B7" s="145" t="str">
        <x:v>graph-relevance-v5-blind</x:v>
      </x:c>
      <x:c r="C7" s="2"/>
      <x:c r="D7" s="2"/>
      <x:c r="E7" s="2"/>
      <x:c r="F7" s="2"/>
      <x:c r="G7" s="2"/>
      <x:c r="H7" s="2"/>
    </x:row>
    <x:row r="8">
      <x:c r="A8" s="144" t="str">
        <x:v>查询数</x:v>
      </x:c>
      <x:c r="B8" s="145" t="n">
        <x:v>30</x:v>
      </x:c>
      <x:c r="C8" s="2"/>
      <x:c r="D8" s="2"/>
      <x:c r="E8" s="2"/>
      <x:c r="F8" s="2"/>
      <x:c r="G8" s="2"/>
      <x:c r="H8" s="2"/>
    </x:row>
    <x:row r="9">
      <x:c r="A9" s="144" t="str">
        <x:v>每查询候选数</x:v>
      </x:c>
      <x:c r="B9" s="145" t="n">
        <x:v>10</x:v>
      </x:c>
      <x:c r="C9" s="2"/>
      <x:c r="D9" s="2"/>
      <x:c r="E9" s="2"/>
      <x:c r="F9" s="2"/>
      <x:c r="G9" s="2"/>
      <x:c r="H9" s="2"/>
    </x:row>
    <x:row r="10">
      <x:c r="A10" s="144" t="str">
        <x:v>候选关系数</x:v>
      </x:c>
      <x:c r="B10" s="145" t="n">
        <x:v>300</x:v>
      </x:c>
      <x:c r="C10" s="2"/>
      <x:c r="D10" s="2"/>
      <x:c r="E10" s="2"/>
      <x:c r="F10" s="2"/>
      <x:c r="G10" s="2"/>
      <x:c r="H10" s="2"/>
    </x:row>
    <x:row r="11">
      <x:c r="A11" s="144" t="str">
        <x:v>唯一候选文档数</x:v>
      </x:c>
      <x:c r="B11" s="145" t="n">
        <x:v>90</x:v>
      </x:c>
      <x:c r="C11" s="2"/>
      <x:c r="D11" s="2"/>
      <x:c r="E11" s="2"/>
      <x:c r="F11" s="2"/>
      <x:c r="G11" s="2"/>
      <x:c r="H11" s="2"/>
    </x:row>
    <x:row r="12">
      <x:c r="A12" s="144" t="str">
        <x:v>覆盖公司数</x:v>
      </x:c>
      <x:c r="B12" s="145" t="n">
        <x:v>9</x:v>
      </x:c>
      <x:c r="C12" s="2"/>
      <x:c r="D12" s="2"/>
      <x:c r="E12" s="2"/>
      <x:c r="F12" s="2"/>
      <x:c r="G12" s="2"/>
      <x:c r="H12" s="2"/>
    </x:row>
    <x:row r="13">
      <x:c r="A13" s="144" t="str">
        <x:v>检索截止时间</x:v>
      </x:c>
      <x:c r="B13" s="145" t="str">
        <x:v>2026-08-26 18:00:00（UTC+08:00）</x:v>
      </x:c>
      <x:c r="C13" s="2"/>
      <x:c r="D13" s="2"/>
      <x:c r="E13" s="2"/>
      <x:c r="F13" s="2"/>
      <x:c r="G13" s="2"/>
      <x:c r="H13" s="2"/>
    </x:row>
    <x:row r="14">
      <x:c r="A14" s="144" t="str">
        <x:v>需要填写</x:v>
      </x:c>
      <x:c r="B14" s="145" t="str">
        <x:v>相关性等级、关系路径、理由、标注员、标注时间</x:v>
      </x:c>
      <x:c r="C14" s="2"/>
      <x:c r="D14" s="2"/>
      <x:c r="E14" s="2"/>
      <x:c r="F14" s="2"/>
      <x:c r="G14" s="2"/>
      <x:c r="H14" s="2"/>
    </x:row>
    <x:row r="15">
      <x:c r="A15" s="2"/>
      <x:c r="B15" s="2"/>
      <x:c r="C15" s="2"/>
      <x:c r="D15" s="2"/>
      <x:c r="E15" s="2"/>
      <x:c r="F15" s="2"/>
      <x:c r="G15" s="2"/>
      <x:c r="H15" s="2"/>
    </x:row>
    <x:row r="16">
      <x:c r="A16" s="150" t="str">
        <x:v>相关性等级口径</x:v>
      </x:c>
      <x:c r="B16" s="150" t="str">
        <x:v>相关性等级口径</x:v>
      </x:c>
      <x:c r="C16" s="150" t="str">
        <x:v>相关性等级口径</x:v>
      </x:c>
      <x:c r="D16" s="150" t="str">
        <x:v>相关性等级口径</x:v>
      </x:c>
      <x:c r="E16" s="150" t="str">
        <x:v>相关性等级口径</x:v>
      </x:c>
      <x:c r="F16" s="150" t="str">
        <x:v>相关性等级口径</x:v>
      </x:c>
      <x:c r="G16" s="150" t="str">
        <x:v>相关性等级口径</x:v>
      </x:c>
      <x:c r="H16" s="150" t="str">
        <x:v>相关性等级口径</x:v>
      </x:c>
    </x:row>
    <x:row r="17">
      <x:c r="A17" s="160" t="str">
        <x:v>等级</x:v>
      </x:c>
      <x:c r="B17" s="160" t="str">
        <x:v>定义</x:v>
      </x:c>
      <x:c r="C17" s="160" t="str">
        <x:v>路径通常判断</x:v>
      </x:c>
      <x:c r="D17" s="160" t="str">
        <x:v>示例判断方式</x:v>
      </x:c>
      <x:c r="E17" s="2"/>
      <x:c r="F17" s="2"/>
      <x:c r="G17" s="2"/>
      <x:c r="H17" s="2"/>
    </x:row>
    <x:row r="18">
      <x:c r="A18" s="161" t="str">
        <x:v>3-直接相关</x:v>
      </x:c>
      <x:c r="B18" s="161" t="str">
        <x:v>候选直接测量、披露或决定查询中的核心变量</x:v>
      </x:c>
      <x:c r="C18" s="161" t="str">
        <x:v>是</x:v>
      </x:c>
      <x:c r="D18" s="161" t="str">
        <x:v>销量表直接披露交付量；财报直接披露毛利率</x:v>
      </x:c>
      <x:c r="E18" s="2"/>
      <x:c r="F18" s="2"/>
      <x:c r="G18" s="2"/>
      <x:c r="H18" s="2"/>
    </x:row>
    <x:row r="19">
      <x:c r="A19" s="161" t="str">
        <x:v>2-间接相关</x:v>
      </x:c>
      <x:c r="B19" s="161" t="str">
        <x:v>可通过一条清晰且有业务依据的因果链影响查询</x:v>
      </x:c>
      <x:c r="C19" s="161" t="str">
        <x:v>是</x:v>
      </x:c>
      <x:c r="D19" s="161" t="str">
        <x:v>产品获批可经商业化放量影响收入，但尚未披露销售</x:v>
      </x:c>
      <x:c r="E19" s="2"/>
      <x:c r="F19" s="2"/>
      <x:c r="G19" s="2"/>
      <x:c r="H19" s="2"/>
    </x:row>
    <x:row r="20">
      <x:c r="A20" s="161" t="str">
        <x:v>1-弱相关</x:v>
      </x:c>
      <x:c r="B20" s="161" t="str">
        <x:v>主题相近，但缺少可靠或充分的传导链</x:v>
      </x:c>
      <x:c r="C20" s="161" t="str">
        <x:v>通常否</x:v>
      </x:c>
      <x:c r="D20" s="161" t="str">
        <x:v>同属该业务领域，但只披露程序性进展</x:v>
      </x:c>
      <x:c r="E20" s="2"/>
      <x:c r="F20" s="2"/>
      <x:c r="G20" s="2"/>
      <x:c r="H20" s="2"/>
    </x:row>
    <x:row r="21">
      <x:c r="A21" s="161" t="str">
        <x:v>0-无关</x:v>
      </x:c>
      <x:c r="B21" s="161" t="str">
        <x:v>不能帮助判断查询，或仅为治理/证券程序事项</x:v>
      </x:c>
      <x:c r="C21" s="161" t="str">
        <x:v>否</x:v>
      </x:c>
      <x:c r="D21" s="161" t="str">
        <x:v>股东持股变化无法判断产品收入</x:v>
      </x:c>
      <x:c r="E21" s="2"/>
      <x:c r="F21" s="2"/>
      <x:c r="G21" s="2"/>
      <x:c r="H21" s="2"/>
    </x:row>
    <x:row r="22">
      <x:c r="A22" s="2"/>
      <x:c r="B22" s="2"/>
      <x:c r="C22" s="2"/>
      <x:c r="D22" s="2"/>
      <x:c r="E22" s="2"/>
      <x:c r="F22" s="2"/>
      <x:c r="G22" s="2"/>
      <x:c r="H22" s="2"/>
    </x:row>
    <x:row r="23">
      <x:c r="A23" s="150" t="str">
        <x:v>填写与回收规则</x:v>
      </x:c>
      <x:c r="B23" s="150" t="str">
        <x:v>填写与回收规则</x:v>
      </x:c>
      <x:c r="C23" s="150" t="str">
        <x:v>填写与回收规则</x:v>
      </x:c>
      <x:c r="D23" s="150" t="str">
        <x:v>填写与回收规则</x:v>
      </x:c>
      <x:c r="E23" s="150" t="str">
        <x:v>填写与回收规则</x:v>
      </x:c>
      <x:c r="F23" s="150" t="str">
        <x:v>填写与回收规则</x:v>
      </x:c>
      <x:c r="G23" s="150" t="str">
        <x:v>填写与回收规则</x:v>
      </x:c>
      <x:c r="H23" s="150" t="str">
        <x:v>填写与回收规则</x:v>
      </x:c>
    </x:row>
    <x:row r="24" ht="40" customHeight="1">
      <x:c r="A24" s="170" t="str">
        <x:v>1</x:v>
      </x:c>
      <x:c r="B24" s="171" t="str">
        <x:v>只填写 v5盲标 工作表的 N:R 黄色区域；A:M 是冻结题面，不得修改。</x:v>
      </x:c>
      <x:c r="C24" s="171"/>
      <x:c r="D24" s="171"/>
      <x:c r="E24" s="171"/>
      <x:c r="F24" s="171"/>
      <x:c r="G24" s="171"/>
      <x:c r="H24" s="171"/>
    </x:row>
    <x:row r="25" ht="40" customHeight="1">
      <x:c r="A25" s="170" t="str">
        <x:v>2</x:v>
      </x:c>
      <x:c r="B25" s="171" t="str">
        <x:v>先阅读查询假设、公告标题和关键证据原文；有疑问时打开候选原文链接并核对页码。</x:v>
      </x:c>
      <x:c r="C25" s="171"/>
      <x:c r="D25" s="171"/>
      <x:c r="E25" s="171"/>
      <x:c r="F25" s="171"/>
      <x:c r="G25" s="171"/>
      <x:c r="H25" s="171"/>
    </x:row>
    <x:row r="26" ht="40" customHeight="1">
      <x:c r="A26" s="170" t="str">
        <x:v>3</x:v>
      </x:c>
      <x:c r="B26" s="171" t="str">
        <x:v>每行必须选择相关性等级和路径判断，并填写可复核的具体理由；即使多个查询共享同一候选，也要按当前查询独立判断。</x:v>
      </x:c>
      <x:c r="C26" s="171"/>
      <x:c r="D26" s="171"/>
      <x:c r="E26" s="171"/>
      <x:c r="F26" s="171"/>
      <x:c r="G26" s="171"/>
      <x:c r="H26" s="171"/>
    </x:row>
    <x:row r="27" ht="40" customHeight="1">
      <x:c r="A27" s="170" t="str">
        <x:v>4</x:v>
      </x:c>
      <x:c r="B27" s="171" t="str">
        <x:v>标注员填写稳定的研究员代号；标注时间使用带时区 ISO 8601，例如 2026-08-28T10:30:00+08:00。</x:v>
      </x:c>
      <x:c r="C27" s="171"/>
      <x:c r="D27" s="171"/>
      <x:c r="E27" s="171"/>
      <x:c r="F27" s="171"/>
      <x:c r="G27" s="171"/>
      <x:c r="H27" s="171"/>
    </x:row>
    <x:row r="28" ht="40" customHeight="1">
      <x:c r="A28" s="170" t="str">
        <x:v>5</x:v>
      </x:c>
      <x:c r="B28" s="171" t="str">
        <x:v>可以筛选和临时排序，但回传前不要删除、增加、合并或替换任何候选行。</x:v>
      </x:c>
      <x:c r="C28" s="171"/>
      <x:c r="D28" s="171"/>
      <x:c r="E28" s="171"/>
      <x:c r="F28" s="171"/>
      <x:c r="G28" s="171"/>
      <x:c r="H28" s="171"/>
    </x:row>
    <x:row r="29" ht="40" customHeight="1">
      <x:c r="A29" s="170" t="str">
        <x:v>6</x:v>
      </x:c>
      <x:c r="B29" s="171" t="str">
        <x:v>完成后查看 质检概览：完成数应为 300，剩余数和无效选项均应为 0，每个查询应完成 10 条。</x:v>
      </x:c>
      <x:c r="C29" s="171"/>
      <x:c r="D29" s="171"/>
      <x:c r="E29" s="171"/>
      <x:c r="F29" s="171"/>
      <x:c r="G29" s="171"/>
      <x:c r="H29" s="171"/>
    </x:row>
    <x:row r="30" ht="40" customHeight="1">
      <x:c r="A30" s="170" t="str">
        <x:v>7</x:v>
      </x:c>
      <x:c r="B30" s="171" t="str">
        <x:v>回传原始 XLSX 文件，不要复制到新表，也不要使用会改变字段名、公式或下拉选项的软件另存。</x:v>
      </x:c>
      <x:c r="C30" s="171"/>
      <x:c r="D30" s="171"/>
      <x:c r="E30" s="171"/>
      <x:c r="F30" s="171"/>
      <x:c r="G30" s="171"/>
      <x:c r="H30" s="171"/>
    </x:row>
  </x:sheetData>
  <x:mergeCells>
    <x:mergeCell ref="A1:H2"/>
    <x:mergeCell ref="A4:H5"/>
    <x:mergeCell ref="A16:H16"/>
    <x:mergeCell ref="A23:H23"/>
    <x:mergeCell ref="B24:H24"/>
    <x:mergeCell ref="B25:H25"/>
    <x:mergeCell ref="B26:H26"/>
    <x:mergeCell ref="B27:H27"/>
    <x:mergeCell ref="B28:H28"/>
    <x:mergeCell ref="B29:H29"/>
    <x:mergeCell ref="B30:H30"/>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23" hidden="0" customWidth="1"/>
    <x:col min="2" max="2" width="18" hidden="0" customWidth="1"/>
    <x:col min="3" max="3" width="18" hidden="0" customWidth="1"/>
    <x:col min="4" max="4" width="16" hidden="0" customWidth="1"/>
  </x:cols>
  <x:sheetData>
    <x:row r="1">
      <x:c r="A1" s="176" t="str">
        <x:v>v5 盲标完成度与回收质检</x:v>
      </x:c>
      <x:c r="B1" s="176" t="str">
        <x:v>v5 盲标完成度与回收质检</x:v>
      </x:c>
      <x:c r="C1" s="176" t="str">
        <x:v>v5 盲标完成度与回收质检</x:v>
      </x:c>
      <x:c r="D1" s="176" t="str">
        <x:v>v5 盲标完成度与回收质检</x:v>
      </x:c>
      <x:c r="E1" s="176" t="str">
        <x:v>v5 盲标完成度与回收质检</x:v>
      </x:c>
      <x:c r="F1" s="176" t="str">
        <x:v>v5 盲标完成度与回收质检</x:v>
      </x:c>
    </x:row>
    <x:row r="2">
      <x:c r="A2" s="176" t="str">
        <x:v>v5 盲标完成度与回收质检</x:v>
      </x:c>
      <x:c r="B2" s="176" t="str">
        <x:v>v5 盲标完成度与回收质检</x:v>
      </x:c>
      <x:c r="C2" s="176" t="str">
        <x:v>v5 盲标完成度与回收质检</x:v>
      </x:c>
      <x:c r="D2" s="176" t="str">
        <x:v>v5 盲标完成度与回收质检</x:v>
      </x:c>
      <x:c r="E2" s="176" t="str">
        <x:v>v5 盲标完成度与回收质检</x:v>
      </x:c>
      <x:c r="F2" s="176" t="str">
        <x:v>v5 盲标完成度与回收质检</x:v>
      </x:c>
    </x:row>
    <x:row r="4">
      <x:c r="A4" s="184" t="str">
        <x:v>检查项</x:v>
      </x:c>
      <x:c r="B4" s="184" t="str">
        <x:v>结果</x:v>
      </x:c>
      <x:c r="C4" s="2"/>
      <x:c r="D4" s="2"/>
    </x:row>
    <x:row r="5">
      <x:c r="A5" s="185" t="str">
        <x:v>候选总数</x:v>
      </x:c>
      <x:c r="B5" s="145" t="n">
        <x:v>300</x:v>
      </x:c>
      <x:c r="C5" s="2"/>
      <x:c r="D5" s="2"/>
    </x:row>
    <x:row r="6">
      <x:c r="A6" s="185" t="str">
        <x:v>相关性等级已填</x:v>
      </x:c>
      <x:c r="B6" s="145" t="n">
        <x:f>COUNTA('v5盲标'!N2:N301)</x:f>
        <x:v>300</x:v>
      </x:c>
      <x:c r="C6" s="2"/>
      <x:c r="D6" s="2"/>
    </x:row>
    <x:row r="7">
      <x:c r="A7" s="185" t="str">
        <x:v>关系路径已填</x:v>
      </x:c>
      <x:c r="B7" s="145" t="n">
        <x:f>COUNTA('v5盲标'!O2:O301)</x:f>
        <x:v>300</x:v>
      </x:c>
      <x:c r="C7" s="2"/>
      <x:c r="D7" s="2"/>
    </x:row>
    <x:row r="8">
      <x:c r="A8" s="185" t="str">
        <x:v>标注理由已填</x:v>
      </x:c>
      <x:c r="B8" s="145" t="n">
        <x:f>COUNTA('v5盲标'!P2:P301)</x:f>
        <x:v>300</x:v>
      </x:c>
      <x:c r="C8" s="2"/>
      <x:c r="D8" s="2"/>
    </x:row>
    <x:row r="9">
      <x:c r="A9" s="185" t="str">
        <x:v>标注员已填</x:v>
      </x:c>
      <x:c r="B9" s="145" t="n">
        <x:f>COUNTA('v5盲标'!Q2:Q301)</x:f>
        <x:v>300</x:v>
      </x:c>
      <x:c r="C9" s="2"/>
      <x:c r="D9" s="2"/>
    </x:row>
    <x:row r="10">
      <x:c r="A10" s="185" t="str">
        <x:v>标注时间已填</x:v>
      </x:c>
      <x:c r="B10" s="145" t="n">
        <x:f>COUNTA('v5盲标'!R2:R301)</x:f>
        <x:v>300</x:v>
      </x:c>
      <x:c r="C10" s="2"/>
      <x:c r="D10" s="2"/>
    </x:row>
    <x:row r="11">
      <x:c r="A11" s="185" t="str">
        <x:v>五项全部完成</x:v>
      </x:c>
      <x:c r="B11" s="145" t="n">
        <x:f>COUNTIFS('v5盲标'!N2:N301,"&lt;&gt;",'v5盲标'!O2:O301,"&lt;&gt;",'v5盲标'!P2:P301,"&lt;&gt;",'v5盲标'!Q2:Q301,"&lt;&gt;",'v5盲标'!R2:R301,"&lt;&gt;")</x:f>
        <x:v>300</x:v>
      </x:c>
      <x:c r="C11" s="2"/>
      <x:c r="D11" s="2"/>
    </x:row>
    <x:row r="12">
      <x:c r="A12" s="185" t="str">
        <x:v>剩余未完成</x:v>
      </x:c>
      <x:c r="B12" s="145" t="n">
        <x:f>B5-B11</x:f>
        <x:v>0</x:v>
      </x:c>
      <x:c r="C12" s="2"/>
      <x:c r="D12" s="2"/>
    </x:row>
    <x:row r="13">
      <x:c r="A13" s="185" t="str">
        <x:v>完成率</x:v>
      </x:c>
      <x:c r="B13" s="186" t="n">
        <x:f>IFERROR(B11/B5,0)</x:f>
        <x:v>1</x:v>
      </x:c>
      <x:c r="C13" s="2"/>
      <x:c r="D13" s="2"/>
    </x:row>
    <x:row r="14">
      <x:c r="A14" s="185" t="str">
        <x:v>无效相关性等级</x:v>
      </x:c>
      <x:c r="B14" s="145" t="n">
        <x:f>B6-COUNTIF('v5盲标'!N2:N301,"0-无关")-COUNTIF('v5盲标'!N2:N301,"1-弱相关")-COUNTIF('v5盲标'!N2:N301,"2-间接相关")-COUNTIF('v5盲标'!N2:N301,"3-直接相关")</x:f>
        <x:v>0</x:v>
      </x:c>
      <x:c r="C14" s="2"/>
      <x:c r="D14" s="2"/>
    </x:row>
    <x:row r="15">
      <x:c r="A15" s="185" t="str">
        <x:v>无效路径选项</x:v>
      </x:c>
      <x:c r="B15" s="145" t="n">
        <x:f>B7-COUNTIF('v5盲标'!O2:O301,"是")-COUNTIF('v5盲标'!O2:O301,"否")</x:f>
        <x:v>0</x:v>
      </x:c>
      <x:c r="C15" s="2"/>
      <x:c r="D15" s="2"/>
    </x:row>
    <x:row r="16">
      <x:c r="A16" s="2"/>
      <x:c r="B16" s="2"/>
      <x:c r="C16" s="2"/>
      <x:c r="D16" s="2"/>
    </x:row>
    <x:row r="17">
      <x:c r="A17" s="2"/>
      <x:c r="B17" s="2"/>
      <x:c r="C17" s="2"/>
      <x:c r="D17" s="2"/>
    </x:row>
    <x:row r="18">
      <x:c r="A18" s="192" t="str">
        <x:v>查询ID</x:v>
      </x:c>
      <x:c r="B18" s="192" t="str">
        <x:v>公司</x:v>
      </x:c>
      <x:c r="C18" s="192" t="str">
        <x:v>完成候选数</x:v>
      </x:c>
      <x:c r="D18" s="192" t="str">
        <x:v>状态</x:v>
      </x:c>
    </x:row>
    <x:row r="19">
      <x:c r="A19" s="145" t="str">
        <x:v>V5-Q001</x:v>
      </x:c>
      <x:c r="B19" s="145" t="str">
        <x:v>比亚迪</x:v>
      </x:c>
      <x:c r="C19" s="145" t="n">
        <x:f>COUNTIFS('v5盲标'!C2:C301,"V5-Q001",'v5盲标'!N2:N301,"&lt;&gt;",'v5盲标'!O2:O301,"&lt;&gt;",'v5盲标'!P2:P301,"&lt;&gt;",'v5盲标'!Q2:Q301,"&lt;&gt;",'v5盲标'!R2:R301,"&lt;&gt;")</x:f>
        <x:v>10</x:v>
      </x:c>
      <x:c r="D19" s="145" t="str">
        <x:f>IF(C19=10,"已完成",IF(C19=0,"未开始","进行中"))</x:f>
        <x:v>已完成</x:v>
      </x:c>
    </x:row>
    <x:row r="20">
      <x:c r="A20" s="145" t="str">
        <x:v>V5-Q002</x:v>
      </x:c>
      <x:c r="B20" s="145" t="str">
        <x:v>比亚迪</x:v>
      </x:c>
      <x:c r="C20" s="145" t="n">
        <x:f>COUNTIFS('v5盲标'!C2:C301,"V5-Q002",'v5盲标'!N2:N301,"&lt;&gt;",'v5盲标'!O2:O301,"&lt;&gt;",'v5盲标'!P2:P301,"&lt;&gt;",'v5盲标'!Q2:Q301,"&lt;&gt;",'v5盲标'!R2:R301,"&lt;&gt;")</x:f>
        <x:v>10</x:v>
      </x:c>
      <x:c r="D20" s="145" t="str">
        <x:f>IF(C20=10,"已完成",IF(C20=0,"未开始","进行中"))</x:f>
        <x:v>已完成</x:v>
      </x:c>
    </x:row>
    <x:row r="21">
      <x:c r="A21" s="145" t="str">
        <x:v>V5-Q003</x:v>
      </x:c>
      <x:c r="B21" s="145" t="str">
        <x:v>比亚迪</x:v>
      </x:c>
      <x:c r="C21" s="145" t="n">
        <x:f>COUNTIFS('v5盲标'!C2:C301,"V5-Q003",'v5盲标'!N2:N301,"&lt;&gt;",'v5盲标'!O2:O301,"&lt;&gt;",'v5盲标'!P2:P301,"&lt;&gt;",'v5盲标'!Q2:Q301,"&lt;&gt;",'v5盲标'!R2:R301,"&lt;&gt;")</x:f>
        <x:v>10</x:v>
      </x:c>
      <x:c r="D21" s="145" t="str">
        <x:f>IF(C21=10,"已完成",IF(C21=0,"未开始","进行中"))</x:f>
        <x:v>已完成</x:v>
      </x:c>
    </x:row>
    <x:row r="22">
      <x:c r="A22" s="145" t="str">
        <x:v>V5-Q004</x:v>
      </x:c>
      <x:c r="B22" s="145" t="str">
        <x:v>比亚迪</x:v>
      </x:c>
      <x:c r="C22" s="145" t="n">
        <x:f>COUNTIFS('v5盲标'!C2:C301,"V5-Q004",'v5盲标'!N2:N301,"&lt;&gt;",'v5盲标'!O2:O301,"&lt;&gt;",'v5盲标'!P2:P301,"&lt;&gt;",'v5盲标'!Q2:Q301,"&lt;&gt;",'v5盲标'!R2:R301,"&lt;&gt;")</x:f>
        <x:v>10</x:v>
      </x:c>
      <x:c r="D22" s="145" t="str">
        <x:f>IF(C22=10,"已完成",IF(C22=0,"未开始","进行中"))</x:f>
        <x:v>已完成</x:v>
      </x:c>
    </x:row>
    <x:row r="23">
      <x:c r="A23" s="145" t="str">
        <x:v>V5-Q005</x:v>
      </x:c>
      <x:c r="B23" s="145" t="str">
        <x:v>吉利汽车</x:v>
      </x:c>
      <x:c r="C23" s="145" t="n">
        <x:f>COUNTIFS('v5盲标'!C2:C301,"V5-Q005",'v5盲标'!N2:N301,"&lt;&gt;",'v5盲标'!O2:O301,"&lt;&gt;",'v5盲标'!P2:P301,"&lt;&gt;",'v5盲标'!Q2:Q301,"&lt;&gt;",'v5盲标'!R2:R301,"&lt;&gt;")</x:f>
        <x:v>10</x:v>
      </x:c>
      <x:c r="D23" s="145" t="str">
        <x:f>IF(C23=10,"已完成",IF(C23=0,"未开始","进行中"))</x:f>
        <x:v>已完成</x:v>
      </x:c>
    </x:row>
    <x:row r="24">
      <x:c r="A24" s="145" t="str">
        <x:v>V5-Q006</x:v>
      </x:c>
      <x:c r="B24" s="145" t="str">
        <x:v>吉利汽车</x:v>
      </x:c>
      <x:c r="C24" s="145" t="n">
        <x:f>COUNTIFS('v5盲标'!C2:C301,"V5-Q006",'v5盲标'!N2:N301,"&lt;&gt;",'v5盲标'!O2:O301,"&lt;&gt;",'v5盲标'!P2:P301,"&lt;&gt;",'v5盲标'!Q2:Q301,"&lt;&gt;",'v5盲标'!R2:R301,"&lt;&gt;")</x:f>
        <x:v>10</x:v>
      </x:c>
      <x:c r="D24" s="145" t="str">
        <x:f>IF(C24=10,"已完成",IF(C24=0,"未开始","进行中"))</x:f>
        <x:v>已完成</x:v>
      </x:c>
    </x:row>
    <x:row r="25">
      <x:c r="A25" s="145" t="str">
        <x:v>V5-Q007</x:v>
      </x:c>
      <x:c r="B25" s="145" t="str">
        <x:v>吉利汽车</x:v>
      </x:c>
      <x:c r="C25" s="145" t="n">
        <x:f>COUNTIFS('v5盲标'!C2:C301,"V5-Q007",'v5盲标'!N2:N301,"&lt;&gt;",'v5盲标'!O2:O301,"&lt;&gt;",'v5盲标'!P2:P301,"&lt;&gt;",'v5盲标'!Q2:Q301,"&lt;&gt;",'v5盲标'!R2:R301,"&lt;&gt;")</x:f>
        <x:v>10</x:v>
      </x:c>
      <x:c r="D25" s="145" t="str">
        <x:f>IF(C25=10,"已完成",IF(C25=0,"未开始","进行中"))</x:f>
        <x:v>已完成</x:v>
      </x:c>
    </x:row>
    <x:row r="26">
      <x:c r="A26" s="145" t="str">
        <x:v>V5-Q008</x:v>
      </x:c>
      <x:c r="B26" s="145" t="str">
        <x:v>小鹏汽车</x:v>
      </x:c>
      <x:c r="C26" s="145" t="n">
        <x:f>COUNTIFS('v5盲标'!C2:C301,"V5-Q008",'v5盲标'!N2:N301,"&lt;&gt;",'v5盲标'!O2:O301,"&lt;&gt;",'v5盲标'!P2:P301,"&lt;&gt;",'v5盲标'!Q2:Q301,"&lt;&gt;",'v5盲标'!R2:R301,"&lt;&gt;")</x:f>
        <x:v>10</x:v>
      </x:c>
      <x:c r="D26" s="145" t="str">
        <x:f>IF(C26=10,"已完成",IF(C26=0,"未开始","进行中"))</x:f>
        <x:v>已完成</x:v>
      </x:c>
    </x:row>
    <x:row r="27">
      <x:c r="A27" s="145" t="str">
        <x:v>V5-Q009</x:v>
      </x:c>
      <x:c r="B27" s="145" t="str">
        <x:v>小鹏汽车</x:v>
      </x:c>
      <x:c r="C27" s="145" t="n">
        <x:f>COUNTIFS('v5盲标'!C2:C301,"V5-Q009",'v5盲标'!N2:N301,"&lt;&gt;",'v5盲标'!O2:O301,"&lt;&gt;",'v5盲标'!P2:P301,"&lt;&gt;",'v5盲标'!Q2:Q301,"&lt;&gt;",'v5盲标'!R2:R301,"&lt;&gt;")</x:f>
        <x:v>10</x:v>
      </x:c>
      <x:c r="D27" s="145" t="str">
        <x:f>IF(C27=10,"已完成",IF(C27=0,"未开始","进行中"))</x:f>
        <x:v>已完成</x:v>
      </x:c>
    </x:row>
    <x:row r="28">
      <x:c r="A28" s="145" t="str">
        <x:v>V5-Q010</x:v>
      </x:c>
      <x:c r="B28" s="145" t="str">
        <x:v>小鹏汽车</x:v>
      </x:c>
      <x:c r="C28" s="145" t="n">
        <x:f>COUNTIFS('v5盲标'!C2:C301,"V5-Q010",'v5盲标'!N2:N301,"&lt;&gt;",'v5盲标'!O2:O301,"&lt;&gt;",'v5盲标'!P2:P301,"&lt;&gt;",'v5盲标'!Q2:Q301,"&lt;&gt;",'v5盲标'!R2:R301,"&lt;&gt;")</x:f>
        <x:v>10</x:v>
      </x:c>
      <x:c r="D28" s="145" t="str">
        <x:f>IF(C28=10,"已完成",IF(C28=0,"未开始","进行中"))</x:f>
        <x:v>已完成</x:v>
      </x:c>
    </x:row>
    <x:row r="29">
      <x:c r="A29" s="145" t="str">
        <x:v>V5-Q011</x:v>
      </x:c>
      <x:c r="B29" s="145" t="str">
        <x:v>北方华创</x:v>
      </x:c>
      <x:c r="C29" s="145" t="n">
        <x:f>COUNTIFS('v5盲标'!C2:C301,"V5-Q011",'v5盲标'!N2:N301,"&lt;&gt;",'v5盲标'!O2:O301,"&lt;&gt;",'v5盲标'!P2:P301,"&lt;&gt;",'v5盲标'!Q2:Q301,"&lt;&gt;",'v5盲标'!R2:R301,"&lt;&gt;")</x:f>
        <x:v>10</x:v>
      </x:c>
      <x:c r="D29" s="145" t="str">
        <x:f>IF(C29=10,"已完成",IF(C29=0,"未开始","进行中"))</x:f>
        <x:v>已完成</x:v>
      </x:c>
    </x:row>
    <x:row r="30">
      <x:c r="A30" s="145" t="str">
        <x:v>V5-Q012</x:v>
      </x:c>
      <x:c r="B30" s="145" t="str">
        <x:v>北方华创</x:v>
      </x:c>
      <x:c r="C30" s="145" t="n">
        <x:f>COUNTIFS('v5盲标'!C2:C301,"V5-Q012",'v5盲标'!N2:N301,"&lt;&gt;",'v5盲标'!O2:O301,"&lt;&gt;",'v5盲标'!P2:P301,"&lt;&gt;",'v5盲标'!Q2:Q301,"&lt;&gt;",'v5盲标'!R2:R301,"&lt;&gt;")</x:f>
        <x:v>10</x:v>
      </x:c>
      <x:c r="D30" s="145" t="str">
        <x:f>IF(C30=10,"已完成",IF(C30=0,"未开始","进行中"))</x:f>
        <x:v>已完成</x:v>
      </x:c>
    </x:row>
    <x:row r="31">
      <x:c r="A31" s="145" t="str">
        <x:v>V5-Q013</x:v>
      </x:c>
      <x:c r="B31" s="145" t="str">
        <x:v>北方华创</x:v>
      </x:c>
      <x:c r="C31" s="145" t="n">
        <x:f>COUNTIFS('v5盲标'!C2:C301,"V5-Q013",'v5盲标'!N2:N301,"&lt;&gt;",'v5盲标'!O2:O301,"&lt;&gt;",'v5盲标'!P2:P301,"&lt;&gt;",'v5盲标'!Q2:Q301,"&lt;&gt;",'v5盲标'!R2:R301,"&lt;&gt;")</x:f>
        <x:v>10</x:v>
      </x:c>
      <x:c r="D31" s="145" t="str">
        <x:f>IF(C31=10,"已完成",IF(C31=0,"未开始","进行中"))</x:f>
        <x:v>已完成</x:v>
      </x:c>
    </x:row>
    <x:row r="32">
      <x:c r="A32" s="145" t="str">
        <x:v>V5-Q014</x:v>
      </x:c>
      <x:c r="B32" s="145" t="str">
        <x:v>中芯国际</x:v>
      </x:c>
      <x:c r="C32" s="145" t="n">
        <x:f>COUNTIFS('v5盲标'!C2:C301,"V5-Q014",'v5盲标'!N2:N301,"&lt;&gt;",'v5盲标'!O2:O301,"&lt;&gt;",'v5盲标'!P2:P301,"&lt;&gt;",'v5盲标'!Q2:Q301,"&lt;&gt;",'v5盲标'!R2:R301,"&lt;&gt;")</x:f>
        <x:v>10</x:v>
      </x:c>
      <x:c r="D32" s="145" t="str">
        <x:f>IF(C32=10,"已完成",IF(C32=0,"未开始","进行中"))</x:f>
        <x:v>已完成</x:v>
      </x:c>
    </x:row>
    <x:row r="33">
      <x:c r="A33" s="145" t="str">
        <x:v>V5-Q015</x:v>
      </x:c>
      <x:c r="B33" s="145" t="str">
        <x:v>中芯国际</x:v>
      </x:c>
      <x:c r="C33" s="145" t="n">
        <x:f>COUNTIFS('v5盲标'!C2:C301,"V5-Q015",'v5盲标'!N2:N301,"&lt;&gt;",'v5盲标'!O2:O301,"&lt;&gt;",'v5盲标'!P2:P301,"&lt;&gt;",'v5盲标'!Q2:Q301,"&lt;&gt;",'v5盲标'!R2:R301,"&lt;&gt;")</x:f>
        <x:v>10</x:v>
      </x:c>
      <x:c r="D33" s="145" t="str">
        <x:f>IF(C33=10,"已完成",IF(C33=0,"未开始","进行中"))</x:f>
        <x:v>已完成</x:v>
      </x:c>
    </x:row>
    <x:row r="34">
      <x:c r="A34" s="145" t="str">
        <x:v>V5-Q016</x:v>
      </x:c>
      <x:c r="B34" s="145" t="str">
        <x:v>中芯国际</x:v>
      </x:c>
      <x:c r="C34" s="145" t="n">
        <x:f>COUNTIFS('v5盲标'!C2:C301,"V5-Q016",'v5盲标'!N2:N301,"&lt;&gt;",'v5盲标'!O2:O301,"&lt;&gt;",'v5盲标'!P2:P301,"&lt;&gt;",'v5盲标'!Q2:Q301,"&lt;&gt;",'v5盲标'!R2:R301,"&lt;&gt;")</x:f>
        <x:v>10</x:v>
      </x:c>
      <x:c r="D34" s="145" t="str">
        <x:f>IF(C34=10,"已完成",IF(C34=0,"未开始","进行中"))</x:f>
        <x:v>已完成</x:v>
      </x:c>
    </x:row>
    <x:row r="35">
      <x:c r="A35" s="145" t="str">
        <x:v>V5-Q017</x:v>
      </x:c>
      <x:c r="B35" s="145" t="str">
        <x:v>中芯国际</x:v>
      </x:c>
      <x:c r="C35" s="145" t="n">
        <x:f>COUNTIFS('v5盲标'!C2:C301,"V5-Q017",'v5盲标'!N2:N301,"&lt;&gt;",'v5盲标'!O2:O301,"&lt;&gt;",'v5盲标'!P2:P301,"&lt;&gt;",'v5盲标'!Q2:Q301,"&lt;&gt;",'v5盲标'!R2:R301,"&lt;&gt;")</x:f>
        <x:v>10</x:v>
      </x:c>
      <x:c r="D35" s="145" t="str">
        <x:f>IF(C35=10,"已完成",IF(C35=0,"未开始","进行中"))</x:f>
        <x:v>已完成</x:v>
      </x:c>
    </x:row>
    <x:row r="36">
      <x:c r="A36" s="145" t="str">
        <x:v>V5-Q018</x:v>
      </x:c>
      <x:c r="B36" s="145" t="str">
        <x:v>兆易创新</x:v>
      </x:c>
      <x:c r="C36" s="145" t="n">
        <x:f>COUNTIFS('v5盲标'!C2:C301,"V5-Q018",'v5盲标'!N2:N301,"&lt;&gt;",'v5盲标'!O2:O301,"&lt;&gt;",'v5盲标'!P2:P301,"&lt;&gt;",'v5盲标'!Q2:Q301,"&lt;&gt;",'v5盲标'!R2:R301,"&lt;&gt;")</x:f>
        <x:v>10</x:v>
      </x:c>
      <x:c r="D36" s="145" t="str">
        <x:f>IF(C36=10,"已完成",IF(C36=0,"未开始","进行中"))</x:f>
        <x:v>已完成</x:v>
      </x:c>
    </x:row>
    <x:row r="37">
      <x:c r="A37" s="145" t="str">
        <x:v>V5-Q019</x:v>
      </x:c>
      <x:c r="B37" s="145" t="str">
        <x:v>兆易创新</x:v>
      </x:c>
      <x:c r="C37" s="145" t="n">
        <x:f>COUNTIFS('v5盲标'!C2:C301,"V5-Q019",'v5盲标'!N2:N301,"&lt;&gt;",'v5盲标'!O2:O301,"&lt;&gt;",'v5盲标'!P2:P301,"&lt;&gt;",'v5盲标'!Q2:Q301,"&lt;&gt;",'v5盲标'!R2:R301,"&lt;&gt;")</x:f>
        <x:v>10</x:v>
      </x:c>
      <x:c r="D37" s="145" t="str">
        <x:f>IF(C37=10,"已完成",IF(C37=0,"未开始","进行中"))</x:f>
        <x:v>已完成</x:v>
      </x:c>
    </x:row>
    <x:row r="38">
      <x:c r="A38" s="145" t="str">
        <x:v>V5-Q020</x:v>
      </x:c>
      <x:c r="B38" s="145" t="str">
        <x:v>兆易创新</x:v>
      </x:c>
      <x:c r="C38" s="145" t="n">
        <x:f>COUNTIFS('v5盲标'!C2:C301,"V5-Q020",'v5盲标'!N2:N301,"&lt;&gt;",'v5盲标'!O2:O301,"&lt;&gt;",'v5盲标'!P2:P301,"&lt;&gt;",'v5盲标'!Q2:Q301,"&lt;&gt;",'v5盲标'!R2:R301,"&lt;&gt;")</x:f>
        <x:v>10</x:v>
      </x:c>
      <x:c r="D38" s="145" t="str">
        <x:f>IF(C38=10,"已完成",IF(C38=0,"未开始","进行中"))</x:f>
        <x:v>已完成</x:v>
      </x:c>
    </x:row>
    <x:row r="39">
      <x:c r="A39" s="145" t="str">
        <x:v>V5-Q021</x:v>
      </x:c>
      <x:c r="B39" s="145" t="str">
        <x:v>恒瑞医药</x:v>
      </x:c>
      <x:c r="C39" s="145" t="n">
        <x:f>COUNTIFS('v5盲标'!C2:C301,"V5-Q021",'v5盲标'!N2:N301,"&lt;&gt;",'v5盲标'!O2:O301,"&lt;&gt;",'v5盲标'!P2:P301,"&lt;&gt;",'v5盲标'!Q2:Q301,"&lt;&gt;",'v5盲标'!R2:R301,"&lt;&gt;")</x:f>
        <x:v>10</x:v>
      </x:c>
      <x:c r="D39" s="145" t="str">
        <x:f>IF(C39=10,"已完成",IF(C39=0,"未开始","进行中"))</x:f>
        <x:v>已完成</x:v>
      </x:c>
    </x:row>
    <x:row r="40">
      <x:c r="A40" s="145" t="str">
        <x:v>V5-Q022</x:v>
      </x:c>
      <x:c r="B40" s="145" t="str">
        <x:v>恒瑞医药</x:v>
      </x:c>
      <x:c r="C40" s="145" t="n">
        <x:f>COUNTIFS('v5盲标'!C2:C301,"V5-Q022",'v5盲标'!N2:N301,"&lt;&gt;",'v5盲标'!O2:O301,"&lt;&gt;",'v5盲标'!P2:P301,"&lt;&gt;",'v5盲标'!Q2:Q301,"&lt;&gt;",'v5盲标'!R2:R301,"&lt;&gt;")</x:f>
        <x:v>10</x:v>
      </x:c>
      <x:c r="D40" s="145" t="str">
        <x:f>IF(C40=10,"已完成",IF(C40=0,"未开始","进行中"))</x:f>
        <x:v>已完成</x:v>
      </x:c>
    </x:row>
    <x:row r="41">
      <x:c r="A41" s="145" t="str">
        <x:v>V5-Q023</x:v>
      </x:c>
      <x:c r="B41" s="145" t="str">
        <x:v>恒瑞医药</x:v>
      </x:c>
      <x:c r="C41" s="145" t="n">
        <x:f>COUNTIFS('v5盲标'!C2:C301,"V5-Q023",'v5盲标'!N2:N301,"&lt;&gt;",'v5盲标'!O2:O301,"&lt;&gt;",'v5盲标'!P2:P301,"&lt;&gt;",'v5盲标'!Q2:Q301,"&lt;&gt;",'v5盲标'!R2:R301,"&lt;&gt;")</x:f>
        <x:v>10</x:v>
      </x:c>
      <x:c r="D41" s="145" t="str">
        <x:f>IF(C41=10,"已完成",IF(C41=0,"未开始","进行中"))</x:f>
        <x:v>已完成</x:v>
      </x:c>
    </x:row>
    <x:row r="42">
      <x:c r="A42" s="145" t="str">
        <x:v>V5-Q024</x:v>
      </x:c>
      <x:c r="B42" s="145" t="str">
        <x:v>恒瑞医药</x:v>
      </x:c>
      <x:c r="C42" s="145" t="n">
        <x:f>COUNTIFS('v5盲标'!C2:C301,"V5-Q024",'v5盲标'!N2:N301,"&lt;&gt;",'v5盲标'!O2:O301,"&lt;&gt;",'v5盲标'!P2:P301,"&lt;&gt;",'v5盲标'!Q2:Q301,"&lt;&gt;",'v5盲标'!R2:R301,"&lt;&gt;")</x:f>
        <x:v>10</x:v>
      </x:c>
      <x:c r="D42" s="145" t="str">
        <x:f>IF(C42=10,"已完成",IF(C42=0,"未开始","进行中"))</x:f>
        <x:v>已完成</x:v>
      </x:c>
    </x:row>
    <x:row r="43">
      <x:c r="A43" s="145" t="str">
        <x:v>V5-Q025</x:v>
      </x:c>
      <x:c r="B43" s="145" t="str">
        <x:v>药明康德</x:v>
      </x:c>
      <x:c r="C43" s="145" t="n">
        <x:f>COUNTIFS('v5盲标'!C2:C301,"V5-Q025",'v5盲标'!N2:N301,"&lt;&gt;",'v5盲标'!O2:O301,"&lt;&gt;",'v5盲标'!P2:P301,"&lt;&gt;",'v5盲标'!Q2:Q301,"&lt;&gt;",'v5盲标'!R2:R301,"&lt;&gt;")</x:f>
        <x:v>10</x:v>
      </x:c>
      <x:c r="D43" s="145" t="str">
        <x:f>IF(C43=10,"已完成",IF(C43=0,"未开始","进行中"))</x:f>
        <x:v>已完成</x:v>
      </x:c>
    </x:row>
    <x:row r="44">
      <x:c r="A44" s="145" t="str">
        <x:v>V5-Q026</x:v>
      </x:c>
      <x:c r="B44" s="145" t="str">
        <x:v>药明康德</x:v>
      </x:c>
      <x:c r="C44" s="145" t="n">
        <x:f>COUNTIFS('v5盲标'!C2:C301,"V5-Q026",'v5盲标'!N2:N301,"&lt;&gt;",'v5盲标'!O2:O301,"&lt;&gt;",'v5盲标'!P2:P301,"&lt;&gt;",'v5盲标'!Q2:Q301,"&lt;&gt;",'v5盲标'!R2:R301,"&lt;&gt;")</x:f>
        <x:v>10</x:v>
      </x:c>
      <x:c r="D44" s="145" t="str">
        <x:f>IF(C44=10,"已完成",IF(C44=0,"未开始","进行中"))</x:f>
        <x:v>已完成</x:v>
      </x:c>
    </x:row>
    <x:row r="45">
      <x:c r="A45" s="145" t="str">
        <x:v>V5-Q027</x:v>
      </x:c>
      <x:c r="B45" s="145" t="str">
        <x:v>药明康德</x:v>
      </x:c>
      <x:c r="C45" s="145" t="n">
        <x:f>COUNTIFS('v5盲标'!C2:C301,"V5-Q027",'v5盲标'!N2:N301,"&lt;&gt;",'v5盲标'!O2:O301,"&lt;&gt;",'v5盲标'!P2:P301,"&lt;&gt;",'v5盲标'!Q2:Q301,"&lt;&gt;",'v5盲标'!R2:R301,"&lt;&gt;")</x:f>
        <x:v>10</x:v>
      </x:c>
      <x:c r="D45" s="145" t="str">
        <x:f>IF(C45=10,"已完成",IF(C45=0,"未开始","进行中"))</x:f>
        <x:v>已完成</x:v>
      </x:c>
    </x:row>
    <x:row r="46">
      <x:c r="A46" s="145" t="str">
        <x:v>V5-Q028</x:v>
      </x:c>
      <x:c r="B46" s="145" t="str">
        <x:v>云南白药</x:v>
      </x:c>
      <x:c r="C46" s="145" t="n">
        <x:f>COUNTIFS('v5盲标'!C2:C301,"V5-Q028",'v5盲标'!N2:N301,"&lt;&gt;",'v5盲标'!O2:O301,"&lt;&gt;",'v5盲标'!P2:P301,"&lt;&gt;",'v5盲标'!Q2:Q301,"&lt;&gt;",'v5盲标'!R2:R301,"&lt;&gt;")</x:f>
        <x:v>10</x:v>
      </x:c>
      <x:c r="D46" s="145" t="str">
        <x:f>IF(C46=10,"已完成",IF(C46=0,"未开始","进行中"))</x:f>
        <x:v>已完成</x:v>
      </x:c>
    </x:row>
    <x:row r="47">
      <x:c r="A47" s="145" t="str">
        <x:v>V5-Q029</x:v>
      </x:c>
      <x:c r="B47" s="145" t="str">
        <x:v>云南白药</x:v>
      </x:c>
      <x:c r="C47" s="145" t="n">
        <x:f>COUNTIFS('v5盲标'!C2:C301,"V5-Q029",'v5盲标'!N2:N301,"&lt;&gt;",'v5盲标'!O2:O301,"&lt;&gt;",'v5盲标'!P2:P301,"&lt;&gt;",'v5盲标'!Q2:Q301,"&lt;&gt;",'v5盲标'!R2:R301,"&lt;&gt;")</x:f>
        <x:v>10</x:v>
      </x:c>
      <x:c r="D47" s="145" t="str">
        <x:f>IF(C47=10,"已完成",IF(C47=0,"未开始","进行中"))</x:f>
        <x:v>已完成</x:v>
      </x:c>
    </x:row>
    <x:row r="48">
      <x:c r="A48" s="145" t="str">
        <x:v>V5-Q030</x:v>
      </x:c>
      <x:c r="B48" s="145" t="str">
        <x:v>云南白药</x:v>
      </x:c>
      <x:c r="C48" s="145" t="n">
        <x:f>COUNTIFS('v5盲标'!C2:C301,"V5-Q030",'v5盲标'!N2:N301,"&lt;&gt;",'v5盲标'!O2:O301,"&lt;&gt;",'v5盲标'!P2:P301,"&lt;&gt;",'v5盲标'!Q2:Q301,"&lt;&gt;",'v5盲标'!R2:R301,"&lt;&gt;")</x:f>
        <x:v>10</x:v>
      </x:c>
      <x:c r="D48" s="145" t="str">
        <x:f>IF(C48=10,"已完成",IF(C48=0,"未开始","进行中"))</x:f>
        <x:v>已完成</x:v>
      </x:c>
    </x:row>
  </x:sheetData>
  <x:mergeCells>
    <x:mergeCell ref="A1:F2"/>
  </x:mergeCells>
  <x:conditionalFormatting sqref="B11:B11">
    <x:cfRule type="cellIs" dxfId="11" priority="1" operator="equal">
      <x:formula>300</x:formula>
    </x:cfRule>
  </x:conditionalFormatting>
  <x:conditionalFormatting sqref="B12:B12">
    <x:cfRule type="cellIs" dxfId="12" priority="2" operator="greaterThan">
      <x:formula>0</x:formula>
    </x:cfRule>
  </x:conditionalFormatting>
  <x:conditionalFormatting sqref="B14:B15">
    <x:cfRule type="cellIs" dxfId="13" priority="3" operator="greaterThan">
      <x:formula>0</x:formula>
    </x:cfRule>
  </x:conditionalFormatting>
  <x:conditionalFormatting sqref="D19:D48">
    <x:cfRule type="containsText" dxfId="14" priority="4" operator="containsText" text="已完成"/>
    <x:cfRule type="containsText" dxfId="15" priority="5" operator="containsText" text="进行中"/>
    <x:cfRule type="containsText" dxfId="16" priority="6" operator="containsText" text="未开始"/>
  </x:conditionalFormatting>
  <x:pageMargins left="0.7" right="0.7" top="0.75" bottom="0.75" header="0.3" footer="0.3"/>
</x:worksheet>
</file>