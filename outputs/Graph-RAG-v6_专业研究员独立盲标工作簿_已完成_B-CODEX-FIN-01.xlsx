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ea92358d3ef45b4" /></Relationships>
</file>

<file path=xl/workbook.xml><?xml version="1.0" encoding="utf-8"?>
<x:workbook xmlns:x="http://schemas.openxmlformats.org/spreadsheetml/2006/main">
  <x:sheets>
    <x:sheet xmlns:r="http://schemas.openxmlformats.org/officeDocument/2006/relationships" name="v6盲标" sheetId="1" r:id="R3ec4d50319cf4b69"/>
    <x:sheet xmlns:r="http://schemas.openxmlformats.org/officeDocument/2006/relationships" name="标注说明" sheetId="2" r:id="R382816b3019344e3"/>
    <x:sheet xmlns:r="http://schemas.openxmlformats.org/officeDocument/2006/relationships" name="质检概览" sheetId="3" r:id="R76bb5cb7081a44cd"/>
  </x:sheets>
</x:workbook>
</file>

<file path=xl/comments1.xml><?xml version="1.0" encoding="utf-8"?>
<x:comments xmlns:x="http://schemas.openxmlformats.org/spreadsheetml/2006/main">
  <x:authors>
    <x:author>tc={AE4A2250-F012-4B64-83EF-236629964852}</x:author>
    <x:author>tc={71E4E77C-01E6-49AD-883E-E7C900355DC3}</x:author>
    <x:author>tc={2E4897DD-4318-4CB9-B687-2908468E6EE6}</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必须从下拉列表选择：0-无关、1-弱相关、2-间接相关或3-直接相关。</x:t>
        </x:r>
      </x:text>
    </x:comment>
    <x:comment ref="P1" authorId="1">
      <x:text>
        <x:r>
          <x:t>[Threaded comment]
Your version of Excel allows you to read this threaded comment; however, any edits to it will get removed if the file is opened in a newer version of Excel. Learn more: https://go.microsoft.com/fwlink/?linkid=870924
Comment:
    请写出可复核的判断依据，说明候选原文如何影响查询假设，不能只写‘相关’或‘无关’。</x:t>
        </x:r>
      </x:text>
    </x:comment>
    <x:comment ref="R1" authorId="2">
      <x:text>
        <x:r>
          <x:t>[Threaded comment]
Your version of Excel allows you to read this threaded comment; however, any edits to it will get removed if the file is opened in a newer version of Excel. Learn more: https://go.microsoft.com/fwlink/?linkid=870924
Comment:
    请按 ISO 8601 且带时区填写，例如 2026-08-28T10:30:00+08:00。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0%"/>
  </x:numFmts>
  <x:fonts count="8">
    <x:font>
      <x:sz val="11"/>
      <x:name val="Carlito"/>
    </x:font>
    <x:font>
      <x:sz val="10"/>
      <x:color rgb="FF1F2937"/>
      <x:name val="Microsoft YaHei"/>
    </x:font>
    <x:font>
      <x:b/>
      <x:sz val="10"/>
      <x:color rgb="FFFFFFFF"/>
      <x:name val="Microsoft YaHei"/>
    </x:font>
    <x:font>
      <x:b/>
      <x:sz val="20"/>
      <x:color rgb="FFFFFFFF"/>
      <x:name val="Microsoft YaHei"/>
    </x:font>
    <x:font>
      <x:sz val="11"/>
      <x:color rgb="FF1F2937"/>
      <x:name val="Microsoft YaHei"/>
    </x:font>
    <x:font>
      <x:b/>
      <x:sz val="10"/>
      <x:color rgb="FF17324D"/>
      <x:name val="Microsoft YaHei"/>
    </x:font>
    <x:font>
      <x:b/>
      <x:sz val="12"/>
      <x:color rgb="FFFFFFFF"/>
      <x:name val="Microsoft YaHei"/>
    </x:font>
    <x:font>
      <x:b/>
      <x:sz val="18"/>
      <x:color rgb="FFFFFFFF"/>
      <x:name val="Microsoft YaHei"/>
    </x:font>
  </x:fonts>
  <x:fills count="8">
    <x:fill>
      <x:patternFill patternType="none"/>
    </x:fill>
    <x:fill>
      <x:patternFill patternType="gray125"/>
    </x:fill>
    <x:fill>
      <x:patternFill patternType="solid">
        <x:fgColor rgb="FF17324D"/>
      </x:patternFill>
    </x:fill>
    <x:fill>
      <x:patternFill patternType="solid">
        <x:fgColor rgb="FFFFFFFF"/>
      </x:patternFill>
    </x:fill>
    <x:fill>
      <x:patternFill patternType="solid">
        <x:fgColor rgb="FFFFF6D8"/>
      </x:patternFill>
    </x:fill>
    <x:fill>
      <x:patternFill patternType="solid">
        <x:fgColor rgb="FFEAF2F8"/>
      </x:patternFill>
    </x:fill>
    <x:fill>
      <x:patternFill patternType="solid">
        <x:fgColor rgb="FFDCE6F1"/>
      </x:patternFill>
    </x:fill>
    <x:fill>
      <x:patternFill patternType="solid">
        <x:fgColor rgb="FF2F6690"/>
      </x:patternFill>
    </x:fill>
  </x:fills>
  <x:borders count="28">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6DEE6"/>
      </x:bottom>
    </x:border>
    <x:border>
      <x:top style="thin">
        <x:color rgb="FFD6DEE6"/>
      </x:top>
      <x:bottom style="thin">
        <x:color rgb="FFD6DEE6"/>
      </x:bottom>
    </x:border>
    <x:border>
      <x:top style="thin">
        <x:color rgb="FFD6DEE6"/>
      </x:top>
    </x:border>
    <x:border>
      <x:bottom style="thin">
        <x:color rgb="FFD6DEE6"/>
      </x:bottom>
    </x:border>
    <x:border>
      <x:top style="thin">
        <x:color rgb="FFD6DEE6"/>
      </x:top>
      <x:bottom style="thin">
        <x:color rgb="FFD6DEE6"/>
      </x:bottom>
    </x:border>
    <x:border>
      <x:top style="thin">
        <x:color rgb="FFD6DEE6"/>
      </x:top>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D6DEE6"/>
      </x:left>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19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0" fontId="1" fillId="4" borderId="8" xfId="0" applyNumberFormat="1" applyFont="1" applyFill="1" applyBorder="1" applyAlignment="1">
      <x:alignment vertical="top"/>
    </x:xf>
    <x:xf numFmtId="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3" borderId="10"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0" fontId="1" fillId="4" borderId="11" xfId="0" applyNumberFormat="1" applyFont="1" applyFill="1" applyBorder="1" applyAlignment="1">
      <x:alignment vertical="top"/>
    </x:xf>
    <x:xf numFmtId="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3" borderId="13"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0" fontId="2" fillId="2" borderId="2" xfId="0" applyNumberFormat="1" applyFont="1" applyFill="1" applyBorder="1" applyAlignment="1">
      <x:alignment horizontal="center" vertical="center" wrapText="1"/>
    </x:xf>
    <x:xf numFmtId="200" fontId="1" fillId="3" borderId="8" xfId="0" applyNumberFormat="1" applyFont="1" applyFill="1" applyBorder="1" applyAlignment="1">
      <x:alignment vertical="top"/>
    </x:xf>
    <x:xf numFmtId="200" fontId="1" fillId="3" borderId="9" xfId="0" applyNumberFormat="1" applyFont="1" applyFill="1" applyBorder="1" applyAlignment="1">
      <x:alignment vertical="top"/>
    </x:xf>
    <x:xf numFmtId="200" fontId="1" fillId="3" borderId="10" xfId="0" applyNumberFormat="1" applyFont="1" applyFill="1" applyBorder="1" applyAlignment="1">
      <x:alignment vertical="top"/>
    </x:xf>
    <x:xf numFmtId="200" fontId="2" fillId="2" borderId="5" xfId="0" applyNumberFormat="1" applyFont="1" applyFill="1" applyBorder="1" applyAlignment="1">
      <x:alignment horizontal="center" vertical="center" wrapText="1"/>
    </x:xf>
    <x:xf numFmtId="200" fontId="1" fillId="3" borderId="11" xfId="0" applyNumberFormat="1" applyFont="1" applyFill="1" applyBorder="1" applyAlignment="1">
      <x:alignment vertical="top"/>
    </x:xf>
    <x:xf numFmtId="200" fontId="1" fillId="3" borderId="12" xfId="0" applyNumberFormat="1" applyFont="1" applyFill="1" applyBorder="1" applyAlignment="1">
      <x:alignment vertical="top"/>
    </x:xf>
    <x:xf numFmtId="200" fontId="1" fillId="3" borderId="13" xfId="0" applyNumberFormat="1" applyFont="1" applyFill="1" applyBorder="1" applyAlignment="1">
      <x:alignment vertical="top"/>
    </x:xf>
    <x:xf numFmtId="200" fontId="2" fillId="2" borderId="3" xfId="0" applyNumberFormat="1" applyFont="1" applyFill="1" applyBorder="1" applyAlignment="1">
      <x:alignment horizontal="center" vertical="center" wrapText="1"/>
    </x:xf>
    <x:xf numFmtId="200" fontId="2" fillId="2" borderId="6" xfId="0" applyNumberFormat="1" applyFont="1" applyFill="1" applyBorder="1" applyAlignment="1">
      <x:alignment horizontal="center" vertical="center" wrapText="1"/>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0" xfId="0" applyNumberFormat="1" applyFont="1" applyFill="1" applyBorder="1" applyAlignment="1">
      <x:alignment vertical="top" wrapText="1"/>
    </x:xf>
    <x:xf numFmtId="200" fontId="1" fillId="3" borderId="11"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0" fontId="1" fillId="3" borderId="13" xfId="0" applyNumberFormat="1" applyFont="1" applyFill="1" applyBorder="1" applyAlignment="1">
      <x:alignment vertical="top" wrapText="1"/>
    </x:xf>
    <x:xf numFmtId="200" fontId="2" fillId="2" borderId="4" xfId="0" applyNumberFormat="1" applyFont="1" applyFill="1" applyBorder="1" applyAlignment="1">
      <x:alignment horizontal="center" vertical="center" wrapText="1"/>
    </x:xf>
    <x:xf numFmtId="200" fontId="1" fillId="4" borderId="8" xfId="0" applyNumberFormat="1" applyFont="1" applyFill="1" applyBorder="1" applyAlignment="1">
      <x:alignment vertical="top"/>
    </x:xf>
    <x:xf numFmtId="200" fontId="1" fillId="4" borderId="9" xfId="0" applyNumberFormat="1" applyFont="1" applyFill="1" applyBorder="1" applyAlignment="1">
      <x:alignment vertical="top"/>
    </x:xf>
    <x:xf numFmtId="200" fontId="1" fillId="4" borderId="10" xfId="0" applyNumberFormat="1" applyFont="1" applyFill="1" applyBorder="1" applyAlignment="1">
      <x:alignment vertical="top"/>
    </x:xf>
    <x:xf numFmtId="200" fontId="2" fillId="2" borderId="7" xfId="0" applyNumberFormat="1" applyFont="1" applyFill="1" applyBorder="1" applyAlignment="1">
      <x:alignment horizontal="center" vertical="center" wrapText="1"/>
    </x:xf>
    <x:xf numFmtId="200" fontId="1" fillId="4" borderId="11" xfId="0" applyNumberFormat="1" applyFont="1" applyFill="1" applyBorder="1" applyAlignment="1">
      <x:alignment vertical="top"/>
    </x:xf>
    <x:xf numFmtId="200" fontId="1" fillId="4" borderId="12" xfId="0" applyNumberFormat="1" applyFont="1" applyFill="1" applyBorder="1" applyAlignment="1">
      <x:alignment vertical="top"/>
    </x:xf>
    <x:xf numFmtId="200" fontId="1" fillId="4" borderId="13" xfId="0" applyNumberFormat="1" applyFont="1" applyFill="1" applyBorder="1" applyAlignment="1">
      <x:alignment vertical="top"/>
    </x:xf>
    <x:xf numFmtId="201" fontId="1" fillId="3" borderId="8" xfId="0" applyNumberFormat="1" applyFont="1" applyFill="1" applyBorder="1" applyAlignment="1">
      <x:alignment vertical="top"/>
    </x:xf>
    <x:xf numFmtId="201" fontId="1" fillId="3" borderId="9" xfId="0" applyNumberFormat="1" applyFont="1" applyFill="1" applyBorder="1" applyAlignment="1">
      <x:alignment vertical="top"/>
    </x:xf>
    <x:xf numFmtId="201" fontId="1" fillId="3" borderId="10" xfId="0" applyNumberFormat="1" applyFont="1" applyFill="1" applyBorder="1" applyAlignment="1">
      <x:alignment vertical="top"/>
    </x:xf>
    <x:xf numFmtId="201" fontId="1" fillId="3" borderId="11" xfId="0" applyNumberFormat="1" applyFont="1" applyFill="1" applyBorder="1" applyAlignment="1">
      <x:alignment vertical="top"/>
    </x:xf>
    <x:xf numFmtId="201" fontId="1" fillId="3" borderId="12" xfId="0" applyNumberFormat="1" applyFont="1" applyFill="1" applyBorder="1" applyAlignment="1">
      <x:alignment vertical="top"/>
    </x:xf>
    <x:xf numFmtId="201" fontId="1" fillId="3" borderId="1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4" fillId="5" borderId="20"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1" fillId="6" borderId="0" xfId="0" applyNumberFormat="1" applyFont="1" applyFill="1" applyBorder="1"/>
    <x:xf numFmtId="0" fontId="1"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6" xfId="0" applyNumberFormat="1" applyFont="1" applyFill="1" applyBorder="1"/>
    <x:xf numFmtId="0" fontId="1" fillId="0" borderId="26" xfId="0" applyNumberFormat="1" applyFont="1" applyFill="1" applyBorder="1"/>
    <x:xf numFmtId="0" fontId="5" fillId="6" borderId="27" xfId="0" applyNumberFormat="1" applyFont="1" applyFill="1" applyBorder="1"/>
    <x:xf numFmtId="0" fontId="1" fillId="0" borderId="27"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6" xfId="0" applyNumberFormat="1" applyFont="1" applyFill="1" applyBorder="1" applyAlignment="1">
      <x:alignment horizontal="center"/>
    </x:xf>
    <x:xf numFmtId="0" fontId="2" fillId="2" borderId="27" xfId="0" applyNumberFormat="1" applyFont="1" applyFill="1" applyBorder="1" applyAlignment="1">
      <x:alignment horizontal="center"/>
    </x:xf>
    <x:xf numFmtId="0" fontId="2" fillId="2" borderId="26" xfId="0" applyNumberFormat="1" applyFont="1" applyFill="1" applyBorder="1" applyAlignment="1">
      <x:alignment horizontal="center" wrapText="1"/>
    </x:xf>
    <x:xf numFmtId="0" fontId="1" fillId="0" borderId="26" xfId="0" applyNumberFormat="1" applyFont="1" applyFill="1" applyBorder="1" applyAlignment="1">
      <x:alignment wrapText="1"/>
    </x:xf>
    <x:xf numFmtId="0" fontId="2" fillId="2" borderId="27" xfId="0" applyNumberFormat="1" applyFont="1" applyFill="1" applyBorder="1" applyAlignment="1">
      <x:alignment horizontal="center" wrapText="1"/>
    </x:xf>
    <x:xf numFmtId="0" fontId="1" fillId="0" borderId="27" xfId="0" applyNumberFormat="1" applyFont="1" applyFill="1" applyBorder="1" applyAlignment="1">
      <x:alignment wrapText="1"/>
    </x:xf>
    <x:xf numFmtId="0" fontId="5" fillId="6" borderId="0" xfId="0" applyNumberFormat="1" applyFont="1" applyFill="1" applyBorder="1" applyAlignment="1">
      <x:alignment horizontal="center"/>
    </x:xf>
    <x:xf numFmtId="0" fontId="5" fillId="6" borderId="1"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5" fillId="6" borderId="26" xfId="0" applyNumberFormat="1" applyFont="1" applyFill="1" applyBorder="1" applyAlignment="1">
      <x:alignment horizontal="center"/>
    </x:xf>
    <x:xf numFmtId="0" fontId="1" fillId="0" borderId="26" xfId="0" applyNumberFormat="1" applyFont="1" applyFill="1" applyBorder="1" applyAlignment="1">
      <x:alignment vertical="center" wrapText="1"/>
    </x:xf>
    <x:xf numFmtId="0" fontId="5" fillId="6" borderId="27" xfId="0" applyNumberFormat="1" applyFont="1" applyFill="1" applyBorder="1" applyAlignment="1">
      <x:alignment horizontal="center"/>
    </x:xf>
    <x:xf numFmtId="0" fontId="1" fillId="0" borderId="27"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202" fontId="1" fillId="0" borderId="0" xfId="0" applyNumberFormat="1" applyFont="1" applyFill="1" applyBorder="1"/>
    <x:xf numFmtId="202" fontId="1" fillId="0"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7" borderId="26" xfId="0" applyNumberFormat="1" applyFont="1" applyFill="1" applyBorder="1"/>
    <x:xf numFmtId="0" fontId="5" fillId="5" borderId="26" xfId="0" applyNumberFormat="1" applyFont="1" applyFill="1" applyBorder="1"/>
    <x:xf numFmtId="202" fontId="1" fillId="0" borderId="26" xfId="0" applyNumberFormat="1" applyFont="1" applyFill="1" applyBorder="1"/>
    <x:xf numFmtId="0" fontId="2" fillId="7" borderId="27" xfId="0" applyNumberFormat="1" applyFont="1" applyFill="1" applyBorder="1"/>
    <x:xf numFmtId="0" fontId="5" fillId="5" borderId="27" xfId="0" applyNumberFormat="1" applyFont="1" applyFill="1" applyBorder="1"/>
    <x:xf numFmtId="202" fontId="1" fillId="0" borderId="27"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7" borderId="26" xfId="0" applyNumberFormat="1" applyFont="1" applyFill="1" applyBorder="1" applyAlignment="1">
      <x:alignment horizontal="center"/>
    </x:xf>
  </x:cellXfs>
  <x:cellStyles count="1">
    <x:cellStyle name="Normal" xfId="0"/>
  </x:cellStyles>
  <x:dxfs count="17">
    <x:dxf>
      <x:fill>
        <x:patternFill>
          <x:bgColor rgb="FFFFF6D8"/>
        </x:patternFill>
      </x:fill>
    </x:dxf>
    <x:dxf>
      <x:fill>
        <x:patternFill>
          <x:bgColor rgb="FFFFF6D8"/>
        </x:patternFill>
      </x:fill>
    </x:dxf>
    <x:dxf>
      <x:fill>
        <x:patternFill>
          <x:bgColor rgb="FFFFF6D8"/>
        </x:patternFill>
      </x:fill>
    </x:dxf>
    <x:dxf>
      <x:fill>
        <x:patternFill>
          <x:bgColor rgb="FFFFF6D8"/>
        </x:patternFill>
      </x:fill>
    </x:dxf>
    <x:dxf>
      <x:fill>
        <x:patternFill>
          <x:bgColor rgb="FFFFF6D8"/>
        </x:patternFill>
      </x:fill>
    </x:dxf>
    <x:dxf>
      <x:font>
        <x:b/>
        <x:color rgb="FF216E39"/>
      </x:font>
      <x:fill>
        <x:patternFill>
          <x:bgColor rgb="FFD9EAD3"/>
        </x:patternFill>
      </x:fill>
    </x:dxf>
    <x:dxf>
      <x:font>
        <x:color rgb="FF1F4E78"/>
      </x:font>
      <x:fill>
        <x:patternFill>
          <x:bgColor rgb="FFDDEBF7"/>
        </x:patternFill>
      </x:fill>
    </x:dxf>
    <x:dxf>
      <x:font>
        <x:color rgb="FF7F6000"/>
      </x:font>
      <x:fill>
        <x:patternFill>
          <x:bgColor rgb="FFFFF2CC"/>
        </x:patternFill>
      </x:fill>
    </x:dxf>
    <x:dxf>
      <x:font>
        <x:color rgb="FF595959"/>
      </x:font>
      <x:fill>
        <x:patternFill>
          <x:bgColor rgb="FFE7E6E6"/>
        </x:patternFill>
      </x:fill>
    </x:dxf>
    <x:dxf>
      <x:font>
        <x:b/>
        <x:color rgb="FF216E39"/>
      </x:font>
      <x:fill>
        <x:patternFill>
          <x:bgColor rgb="FFE8F5E9"/>
        </x:patternFill>
      </x:fill>
    </x:dxf>
    <x:dxf>
      <x:font>
        <x:color rgb="FF595959"/>
      </x:font>
      <x:fill>
        <x:patternFill>
          <x:bgColor rgb="FFF4F6F7"/>
        </x:patternFill>
      </x:fill>
    </x:dxf>
    <x:dxf>
      <x:font>
        <x:b/>
        <x:color rgb="FF216E39"/>
      </x:font>
      <x:fill>
        <x:patternFill>
          <x:bgColor rgb="FFE8F5E9"/>
        </x:patternFill>
      </x:fill>
    </x:dxf>
    <x:dxf>
      <x:font>
        <x:b/>
        <x:color rgb="FF9C0006"/>
      </x:font>
      <x:fill>
        <x:patternFill>
          <x:bgColor rgb="FFFDECEC"/>
        </x:patternFill>
      </x:fill>
    </x:dxf>
    <x:dxf>
      <x:font>
        <x:b/>
        <x:color rgb="FF9C0006"/>
      </x:font>
      <x:fill>
        <x:patternFill>
          <x:bgColor rgb="FFFDECEC"/>
        </x:patternFill>
      </x:fill>
    </x:dxf>
    <x:dxf>
      <x:font>
        <x:b/>
        <x:color rgb="FF216E39"/>
      </x:font>
      <x:fill>
        <x:patternFill>
          <x:bgColor rgb="FFE8F5E9"/>
        </x:patternFill>
      </x:fill>
    </x:dxf>
    <x:dxf>
      <x:font>
        <x:b/>
        <x:color rgb="FF7F6000"/>
      </x:font>
      <x:fill>
        <x:patternFill>
          <x:bgColor rgb="FFFFF6D8"/>
        </x:patternFill>
      </x:fill>
    </x:dxf>
    <x:dxf>
      <x:font>
        <x:color rgb="FF595959"/>
      </x:font>
      <x:fill>
        <x:patternFill>
          <x:bgColor rgb="FFF4F6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d557c9fd404c64" /><Relationship Type="http://schemas.openxmlformats.org/officeDocument/2006/relationships/theme" Target="/xl/theme/theme1.xml" Id="Redfe0913ee37427b" /><Relationship Type="http://schemas.openxmlformats.org/officeDocument/2006/relationships/sharedStrings" Target="/xl/sharedStrings.xml" Id="R1bc40324e98040bb" /><Relationship Type="http://schemas.openxmlformats.org/officeDocument/2006/relationships/worksheet" Target="/xl/worksheets/sheet1.xml" Id="R3ec4d50319cf4b69" /><Relationship Type="http://schemas.openxmlformats.org/officeDocument/2006/relationships/worksheet" Target="/xl/worksheets/sheet2.xml" Id="R382816b3019344e3" /><Relationship Type="http://schemas.openxmlformats.org/officeDocument/2006/relationships/worksheet" Target="/xl/worksheets/sheet3.xml" Id="R76bb5cb7081a44cd" /><Relationship Type="http://schemas.microsoft.com/office/2017/10/relationships/person" Target="/xl/persons/person.xml" Id="Ra0a487f53b334b4a" /></Relationships>
</file>

<file path=xl/persons/person.xml><?xml version="1.0" encoding="utf-8"?>
<xltc:personList xmlns:xltc="http://schemas.microsoft.com/office/spreadsheetml/2018/threadedcomments">
  <xltc:person displayName="AI Investment Copilot" id="{5A52BF0D-81F2-4EDC-8E39-C14E4ADF55A7}"/>
</xltc:personList>
</file>

<file path=xl/tables/table1.xml><?xml version="1.0" encoding="utf-8"?>
<x:table xmlns:x="http://schemas.openxmlformats.org/spreadsheetml/2006/main" id="1" name="V6AnnotationTable" displayName="V6AnnotationTable" ref="A1:R301" headerRowCount="1" totalsRowCount="0" totalsRowShown="0">
  <x:autoFilter ref="A1:R301"/>
  <x:tableColumns count="18">
    <x:tableColumn id="1" name="关系样本ID"/>
    <x:tableColumn id="2" name="事件样本ID"/>
    <x:tableColumn id="3" name="查询ID"/>
    <x:tableColumn id="4" name="公司"/>
    <x:tableColumn id="5" name="证券代码"/>
    <x:tableColumn id="6" name="检索截止时间"/>
    <x:tableColumn id="7" name="查询假设"/>
    <x:tableColumn id="8" name="候选文档ID"/>
    <x:tableColumn id="9" name="候选公告标题"/>
    <x:tableColumn id="10" name="候选发布日期"/>
    <x:tableColumn id="11" name="候选原文链接"/>
    <x:tableColumn id="12" name="关键证据定位"/>
    <x:tableColumn id="13" name="关键证据原文"/>
    <x:tableColumn id="14" name="相关性等级"/>
    <x:tableColumn id="15" name="关系路径可成立"/>
    <x:tableColumn id="16" name="标注理由"/>
    <x:tableColumn id="17" name="标注员"/>
    <x:tableColumn id="18" name="标注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1" dT="2026-08-30T04:19:33.59" personId="{5A52BF0D-81F2-4EDC-8E39-C14E4ADF55A7}" id="{AE4A2250-F012-4B64-83EF-236629964852}">
    <xltc:text>必须从下拉列表选择：0-无关、1-弱相关、2-间接相关或3-直接相关。</xltc:text>
  </xltc:threadedComment>
  <xltc:threadedComment ref="P1" dT="2026-08-30T04:19:33.59" personId="{5A52BF0D-81F2-4EDC-8E39-C14E4ADF55A7}" id="{71E4E77C-01E6-49AD-883E-E7C900355DC3}">
    <xltc:text>请写出可复核的判断依据，说明候选原文如何影响查询假设，不能只写‘相关’或‘无关’。</xltc:text>
  </xltc:threadedComment>
  <xltc:threadedComment ref="R1" dT="2026-08-30T04:19:33.59" personId="{5A52BF0D-81F2-4EDC-8E39-C14E4ADF55A7}" id="{2E4897DD-4318-4CB9-B687-2908468E6EE6}">
    <xltc:text>请按 ISO 8601 且带时区填写，例如 2026-08-28T10:30:00+08:00。</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a209c0992a0f4409" /><Relationship Type="http://schemas.openxmlformats.org/officeDocument/2006/relationships/vmlDrawing" Target="/xl/drawings/vmldrawing.vml" Id="R0dd5cd9b747b4d63" /><Relationship Type="http://schemas.microsoft.com/office/2017/10/relationships/threadedComment" Target="/xl/threadedcomments/threadedcomment.xml" Id="Raa43262d9183495b" /><Relationship Type="http://schemas.openxmlformats.org/officeDocument/2006/relationships/table" Target="/xl/tables/table1.xml" Id="R1bb1f601fe454219"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12" hidden="0" customWidth="1"/>
    <x:col min="4" max="4" width="12" hidden="0" customWidth="1"/>
    <x:col min="5" max="5" width="11" hidden="0" customWidth="1"/>
    <x:col min="6" max="6" width="24" hidden="0" customWidth="1"/>
    <x:col min="7" max="7" width="42" hidden="0" customWidth="1"/>
    <x:col min="8" max="8" width="27" hidden="0" customWidth="1"/>
    <x:col min="9" max="9" width="44" hidden="0" customWidth="1"/>
    <x:col min="10" max="10" width="24" hidden="0" customWidth="1"/>
    <x:col min="11" max="11" width="45" hidden="0" customWidth="1"/>
    <x:col min="12" max="12" width="11" hidden="0" customWidth="1"/>
    <x:col min="13" max="13" width="70" hidden="0" customWidth="1"/>
    <x:col min="14" max="14" width="17" hidden="0" customWidth="1"/>
    <x:col min="15" max="15" width="17" hidden="0" customWidth="1"/>
    <x:col min="16" max="16" width="48" hidden="0" customWidth="1"/>
    <x:col min="17" max="17" width="18" hidden="0" customWidth="1"/>
    <x:col min="18" max="18" width="28" hidden="0" customWidth="1"/>
  </x:cols>
  <x:sheetData>
    <x:row r="1" ht="38" customHeight="1">
      <x:c r="A1" s="62" t="str">
        <x:v>关系样本ID</x:v>
      </x:c>
      <x:c r="B1" s="70" t="str">
        <x:v>事件样本ID</x:v>
      </x:c>
      <x:c r="C1" s="70" t="str">
        <x:v>查询ID</x:v>
      </x:c>
      <x:c r="D1" s="29" t="str">
        <x:v>公司</x:v>
      </x:c>
      <x:c r="E1" s="70" t="str">
        <x:v>证券代码</x:v>
      </x:c>
      <x:c r="F1" s="29" t="str">
        <x:v>检索截止时间</x:v>
      </x:c>
      <x:c r="G1" s="29" t="str">
        <x:v>查询假设</x:v>
      </x:c>
      <x:c r="H1" s="70" t="str">
        <x:v>候选文档ID</x:v>
      </x:c>
      <x:c r="I1" s="29" t="str">
        <x:v>候选公告标题</x:v>
      </x:c>
      <x:c r="J1" s="29" t="str">
        <x:v>候选发布日期</x:v>
      </x:c>
      <x:c r="K1" s="70" t="str">
        <x:v>候选原文链接</x:v>
      </x:c>
      <x:c r="L1" s="29" t="str">
        <x:v>关键证据定位</x:v>
      </x:c>
      <x:c r="M1" s="29" t="str">
        <x:v>关键证据原文</x:v>
      </x:c>
      <x:c r="N1" s="29" t="str">
        <x:v>相关性等级</x:v>
      </x:c>
      <x:c r="O1" s="29" t="str">
        <x:v>关系路径可成立</x:v>
      </x:c>
      <x:c r="P1" s="29" t="str">
        <x:v>标注理由</x:v>
      </x:c>
      <x:c r="Q1" s="29" t="str">
        <x:v>标注员</x:v>
      </x:c>
      <x:c r="R1" s="78" t="str">
        <x:v>标注时间</x:v>
      </x:c>
    </x:row>
    <x:row r="2" ht="72" customHeight="1">
      <x:c r="A2" s="63" t="str">
        <x:v>V6-R-Q001-C04</x:v>
      </x:c>
      <x:c r="B2" s="63" t="str">
        <x:v>V6-E-002594-C04</x:v>
      </x:c>
      <x:c r="C2" s="63" t="str">
        <x:v>V6-Q001</x:v>
      </x:c>
      <x:c r="D2" s="38" t="str">
        <x:v>比亚迪</x:v>
      </x:c>
      <x:c r="E2" s="63" t="str">
        <x:v>002594</x:v>
      </x:c>
      <x:c r="F2" s="86" t="n">
        <x:v>46260.75</x:v>
      </x:c>
      <x:c r="G2" s="50" t="str">
        <x:v>动力电池外供与储能业务能否形成第二增长曲线</x:v>
      </x:c>
      <x:c r="H2" s="63" t="str">
        <x:v>DOC-EVT-002594-00338</x:v>
      </x:c>
      <x:c r="I2" s="50" t="str">
        <x:v>关于“质量回报双提升”行动方案的进展公告</x:v>
      </x:c>
      <x:c r="J2" s="86" t="n">
        <x:v>46109</x:v>
      </x:c>
      <x:c r="K2" s="72" t="str">
        <x:v>http://static.cninfo.com.cn/finalpage/2026-03-28/1225045367.PDF</x:v>
      </x:c>
      <x:c r="L2" s="38" t="str">
        <x:v>第1页</x:v>
      </x:c>
      <x:c r="M2" s="50"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2" s="39" t="str">
        <x:v>1-弱相关</x:v>
      </x:c>
      <x:c r="O2" s="39" t="str">
        <x:v>否</x:v>
      </x:c>
      <x:c r="P2" s="56" t="str">
        <x:v>公告披露持续高强度研发、全产业链优势及新能源汽车销量领先；虽与新能源业务与第二增长曲线主题相近，但未提供动力电池外供与储能业务的独立收入、销量和利润贡献，不足以建立可靠传导链。</x:v>
      </x:c>
      <x:c r="Q2" s="39" t="str">
        <x:v>B-CODEX-FIN-01</x:v>
      </x:c>
      <x:c r="R2" s="79" t="inlineStr">
        <x:is>
          <x:t>2026-08-30T13:30:00+08:00</x:t>
        </x:is>
      </x:c>
    </x:row>
    <x:row r="3" ht="72" customHeight="1">
      <x:c r="A3" s="64" t="str">
        <x:v>V6-R-Q001-C06</x:v>
      </x:c>
      <x:c r="B3" s="64" t="str">
        <x:v>V6-E-002594-C06</x:v>
      </x:c>
      <x:c r="C3" s="64" t="str">
        <x:v>V6-Q001</x:v>
      </x:c>
      <x:c r="D3" s="40" t="str">
        <x:v>比亚迪</x:v>
      </x:c>
      <x:c r="E3" s="64" t="str">
        <x:v>002594</x:v>
      </x:c>
      <x:c r="F3" s="87" t="n">
        <x:v>46260.75</x:v>
      </x:c>
      <x:c r="G3" s="51" t="str">
        <x:v>动力电池外供与储能业务能否形成第二增长曲线</x:v>
      </x:c>
      <x:c r="H3" s="64" t="str">
        <x:v>DOC-EVT-002594-00269</x:v>
      </x:c>
      <x:c r="I3" s="51" t="str">
        <x:v>关于增加外汇衍生品交易业务额度的可行性分析报告</x:v>
      </x:c>
      <x:c r="J3" s="87" t="n">
        <x:v>45871</x:v>
      </x:c>
      <x:c r="K3" s="73" t="str">
        <x:v>http://static.cninfo.com.cn/finalpage/2025-08-02/1224368798.PDF</x:v>
      </x:c>
      <x:c r="L3" s="40" t="str">
        <x:v>第1页</x:v>
      </x:c>
      <x:c r="M3"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3" s="41" t="str">
        <x:v>0-无关</x:v>
      </x:c>
      <x:c r="O3" s="41" t="str">
        <x:v>否</x:v>
      </x:c>
      <x:c r="P3" s="57" t="str">
        <x:v>报告披露海外业务快速发展、外汇敞口扩大及套保额度增至120亿美元；内容与新能源业务与第二增长曲线缺少业务传导，未提供动力电池外供与储能业务的独立收入、销量和利润贡献，不能支持当前判断。</x:v>
      </x:c>
      <x:c r="Q3" s="41" t="str">
        <x:v>B-CODEX-FIN-01</x:v>
      </x:c>
      <x:c r="R3" s="80" t="inlineStr">
        <x:is>
          <x:t>2026-08-30T13:30:00+08:00</x:t>
        </x:is>
      </x:c>
    </x:row>
    <x:row r="4" ht="72" customHeight="1">
      <x:c r="A4" s="64" t="str">
        <x:v>V6-R-Q001-C05</x:v>
      </x:c>
      <x:c r="B4" s="64" t="str">
        <x:v>V6-E-002594-C05</x:v>
      </x:c>
      <x:c r="C4" s="64" t="str">
        <x:v>V6-Q001</x:v>
      </x:c>
      <x:c r="D4" s="40" t="str">
        <x:v>比亚迪</x:v>
      </x:c>
      <x:c r="E4" s="64" t="str">
        <x:v>002594</x:v>
      </x:c>
      <x:c r="F4" s="87" t="n">
        <x:v>46260.75</x:v>
      </x:c>
      <x:c r="G4" s="51" t="str">
        <x:v>动力电池外供与储能业务能否形成第二增长曲线</x:v>
      </x:c>
      <x:c r="H4" s="64" t="str">
        <x:v>DOC-EVT-002594-00238</x:v>
      </x:c>
      <x:c r="I4" s="51" t="str">
        <x:v>2025年一季度报告</x:v>
      </x:c>
      <x:c r="J4" s="87" t="n">
        <x:v>45773</x:v>
      </x:c>
      <x:c r="K4" s="73" t="str">
        <x:v>http://static.cninfo.com.cn/finalpage/2025-04-26/1223309368.PDF</x:v>
      </x:c>
      <x:c r="L4" s="40" t="str">
        <x:v>第3页</x:v>
      </x:c>
      <x:c r="M4" s="51" t="str">
        <x:v>比亚迪股份有限公司 2025 年第一季度报告 3 （三） 主要会计数据和财务指标发生变动的情况及原因 适用 □不适用 资产负债表 单位：元 科目名称 2025/3/31 2024/12/31 变动率 变动原因 应收款项融资 5,736,785,000.00 10,449,966,000.00 -45.10% 主要是票据背书和贴现增加所致 预付款项 5,182,250,000.00 3,974,023,000.00 30.40% 主要是材料采购的预付款增加所致 存货 154,373,616,000.00 116,036,237,000.00 33.04% 主要是市场订单增加备货增加所致 开发支出 859,988,000.00 508,038,000.00 69.28% 主要是资本化研发支出增加所致 损益表 单位：元 科目名称 2025 年 1-3 月 2024 年 1-3 月 变动率 变动原因 营业收入 170,360,448,000.00 124,944,397,000.00 36.35% 主要是新能源汽车业务增长所致 营业成本 136,175,385,000.00 99,074,282,000.00 37.45% 主要是新能源汽车业务增长所致 税金及附加 3,273,367,000.00 2,141,223,000.00 52.87% 主要是新能源汽车业务增长所致 管理费用 4,905,868,000.00 3,768,509,000.00 30.18% 主要是职工薪酬…</x:v>
      </x:c>
      <x:c r="N4" s="41" t="str">
        <x:v>1-弱相关</x:v>
      </x:c>
      <x:c r="O4" s="41" t="str">
        <x:v>否</x:v>
      </x:c>
      <x:c r="P4" s="57" t="str">
        <x:v>一季报披露收入成本增长、存货增加33.04%及应收款项融资下降45.10%；虽与新能源业务与第二增长曲线主题相近，但未提供动力电池外供与储能业务的独立收入、销量和利润贡献，不足以建立可靠传导链。</x:v>
      </x:c>
      <x:c r="Q4" s="41" t="str">
        <x:v>B-CODEX-FIN-01</x:v>
      </x:c>
      <x:c r="R4" s="80" t="inlineStr">
        <x:is>
          <x:t>2026-08-30T13:30:00+08:00</x:t>
        </x:is>
      </x:c>
    </x:row>
    <x:row r="5" ht="72" customHeight="1">
      <x:c r="A5" s="64" t="str">
        <x:v>V6-R-Q001-C02</x:v>
      </x:c>
      <x:c r="B5" s="64" t="str">
        <x:v>V6-E-002594-C02</x:v>
      </x:c>
      <x:c r="C5" s="64" t="str">
        <x:v>V6-Q001</x:v>
      </x:c>
      <x:c r="D5" s="40" t="str">
        <x:v>比亚迪</x:v>
      </x:c>
      <x:c r="E5" s="64" t="str">
        <x:v>002594</x:v>
      </x:c>
      <x:c r="F5" s="87" t="n">
        <x:v>46260.75</x:v>
      </x:c>
      <x:c r="G5" s="51" t="str">
        <x:v>动力电池外供与储能业务能否形成第二增长曲线</x:v>
      </x:c>
      <x:c r="H5" s="64" t="str">
        <x:v>DOC-EVT-002594-00165</x:v>
      </x:c>
      <x:c r="I5" s="51" t="str">
        <x:v>关于开展外汇衍生品套期保值交易业务的公告</x:v>
      </x:c>
      <x:c r="J5" s="87" t="n">
        <x:v>45682</x:v>
      </x:c>
      <x:c r="K5" s="73" t="str">
        <x:v>http://static.cninfo.com.cn/finalpage/2025-01-25/1222430444.PDF</x:v>
      </x:c>
      <x:c r="L5" s="40" t="str">
        <x:v>第1页</x:v>
      </x:c>
      <x:c r="M5"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5" s="41" t="str">
        <x:v>0-无关</x:v>
      </x:c>
      <x:c r="O5" s="41" t="str">
        <x:v>否</x:v>
      </x:c>
      <x:c r="P5" s="57" t="str">
        <x:v>公告披露海外布局推进、外币收支增长及50亿美元套保额度；内容与新能源业务与第二增长曲线缺少业务传导，未提供动力电池外供与储能业务的独立收入、销量和利润贡献，不能支持当前判断。</x:v>
      </x:c>
      <x:c r="Q5" s="41" t="str">
        <x:v>B-CODEX-FIN-01</x:v>
      </x:c>
      <x:c r="R5" s="80" t="inlineStr">
        <x:is>
          <x:t>2026-08-30T13:30:00+08:00</x:t>
        </x:is>
      </x:c>
    </x:row>
    <x:row r="6" ht="72" customHeight="1">
      <x:c r="A6" s="64" t="str">
        <x:v>V6-R-Q001-C03</x:v>
      </x:c>
      <x:c r="B6" s="64" t="str">
        <x:v>V6-E-002594-C03</x:v>
      </x:c>
      <x:c r="C6" s="64" t="str">
        <x:v>V6-Q001</x:v>
      </x:c>
      <x:c r="D6" s="40" t="str">
        <x:v>比亚迪</x:v>
      </x:c>
      <x:c r="E6" s="64" t="str">
        <x:v>002594</x:v>
      </x:c>
      <x:c r="F6" s="87" t="n">
        <x:v>46260.75</x:v>
      </x:c>
      <x:c r="G6" s="51" t="str">
        <x:v>动力电池外供与储能业务能否形成第二增长曲线</x:v>
      </x:c>
      <x:c r="H6" s="64" t="str">
        <x:v>DOC-EVT-002594-00223</x:v>
      </x:c>
      <x:c r="I6" s="51" t="str">
        <x:v>关于召开2024年年度报告网上说明会并征集问题的公告</x:v>
      </x:c>
      <x:c r="J6" s="87" t="n">
        <x:v>45745</x:v>
      </x:c>
      <x:c r="K6" s="73" t="str">
        <x:v>http://static.cninfo.com.cn/finalpage/2025-03-29/1222945849.PDF</x:v>
      </x:c>
      <x:c r="L6" s="40" t="str">
        <x:v>第1页</x:v>
      </x:c>
      <x:c r="M6"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6" s="41" t="str">
        <x:v>0-无关</x:v>
      </x:c>
      <x:c r="O6" s="41" t="str">
        <x:v>否</x:v>
      </x:c>
      <x:c r="P6" s="57" t="str">
        <x:v>公告仅安排年度报告说明会并征集投资者问题；内容与新能源业务与第二增长曲线缺少业务传导，未提供动力电池外供与储能业务的独立收入、销量和利润贡献，不能支持当前判断。</x:v>
      </x:c>
      <x:c r="Q6" s="41" t="str">
        <x:v>B-CODEX-FIN-01</x:v>
      </x:c>
      <x:c r="R6" s="80" t="inlineStr">
        <x:is>
          <x:t>2026-08-30T13:30:00+08:00</x:t>
        </x:is>
      </x:c>
    </x:row>
    <x:row r="7" ht="72" customHeight="1">
      <x:c r="A7" s="64" t="str">
        <x:v>V6-R-Q001-C10</x:v>
      </x:c>
      <x:c r="B7" s="64" t="str">
        <x:v>V6-E-002594-C10</x:v>
      </x:c>
      <x:c r="C7" s="64" t="str">
        <x:v>V6-Q001</x:v>
      </x:c>
      <x:c r="D7" s="40" t="str">
        <x:v>比亚迪</x:v>
      </x:c>
      <x:c r="E7" s="64" t="str">
        <x:v>002594</x:v>
      </x:c>
      <x:c r="F7" s="87" t="n">
        <x:v>46260.75</x:v>
      </x:c>
      <x:c r="G7" s="51" t="str">
        <x:v>动力电池外供与储能业务能否形成第二增长曲线</x:v>
      </x:c>
      <x:c r="H7" s="64" t="str">
        <x:v>DOC-EVT-002594-00390</x:v>
      </x:c>
      <x:c r="I7" s="51" t="str">
        <x:v>2026年7月产销快报</x:v>
      </x:c>
      <x:c r="J7" s="87" t="n">
        <x:v>46237</x:v>
      </x:c>
      <x:c r="K7" s="73" t="str">
        <x:v>http://static.cninfo.com.cn/finalpage/2026-08-03/1225452785.PDF</x:v>
      </x:c>
      <x:c r="L7" s="40" t="str">
        <x:v>第1页</x:v>
      </x:c>
      <x:c r="M7"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7" s="41" t="str">
        <x:v>0-无关</x:v>
      </x:c>
      <x:c r="O7" s="41" t="str">
        <x:v>否</x:v>
      </x:c>
      <x:c r="P7" s="57" t="str">
        <x:v>产销快报披露新能源乘用车分动力类型的产量、销量和同比变化；内容与新能源业务与第二增长曲线缺少业务传导，未提供动力电池外供与储能业务的独立收入、销量和利润贡献，不能支持当前判断。</x:v>
      </x:c>
      <x:c r="Q7" s="41" t="str">
        <x:v>B-CODEX-FIN-01</x:v>
      </x:c>
      <x:c r="R7" s="80" t="inlineStr">
        <x:is>
          <x:t>2026-08-30T13:30:00+08:00</x:t>
        </x:is>
      </x:c>
    </x:row>
    <x:row r="8" ht="72" customHeight="1">
      <x:c r="A8" s="64" t="str">
        <x:v>V6-R-Q001-C07</x:v>
      </x:c>
      <x:c r="B8" s="64" t="str">
        <x:v>V6-E-002594-C07</x:v>
      </x:c>
      <x:c r="C8" s="64" t="str">
        <x:v>V6-Q001</x:v>
      </x:c>
      <x:c r="D8" s="40" t="str">
        <x:v>比亚迪</x:v>
      </x:c>
      <x:c r="E8" s="64" t="str">
        <x:v>002594</x:v>
      </x:c>
      <x:c r="F8" s="87" t="n">
        <x:v>46260.75</x:v>
      </x:c>
      <x:c r="G8" s="51" t="str">
        <x:v>动力电池外供与储能业务能否形成第二增长曲线</x:v>
      </x:c>
      <x:c r="H8" s="64" t="str">
        <x:v>DOC-EVT-002594-00274</x:v>
      </x:c>
      <x:c r="I8" s="51" t="str">
        <x:v>H股公告（二零二五年中期业绩公告）</x:v>
      </x:c>
      <x:c r="J8" s="87" t="n">
        <x:v>45899</x:v>
      </x:c>
      <x:c r="K8" s="73" t="str">
        <x:v>http://static.cninfo.com.cn/finalpage/2025-08-30/1224626656.PDF</x:v>
      </x:c>
      <x:c r="L8" s="40" t="str">
        <x:v>第35页</x:v>
      </x:c>
      <x:c r="M8"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8" s="41" t="str">
        <x:v>1-弱相关</x:v>
      </x:c>
      <x:c r="O8" s="41" t="str">
        <x:v>否</x:v>
      </x:c>
      <x:c r="P8" s="57" t="str">
        <x:v>中期业绩披露汽车相关产品与手机部件的收入结构变化；虽与新能源业务与第二增长曲线主题相近，但未提供动力电池外供与储能业务的独立收入、销量和利润贡献，不足以建立可靠传导链。</x:v>
      </x:c>
      <x:c r="Q8" s="41" t="str">
        <x:v>B-CODEX-FIN-01</x:v>
      </x:c>
      <x:c r="R8" s="80" t="inlineStr">
        <x:is>
          <x:t>2026-08-30T13:30:00+08:00</x:t>
        </x:is>
      </x:c>
    </x:row>
    <x:row r="9" ht="72" customHeight="1">
      <x:c r="A9" s="64" t="str">
        <x:v>V6-R-Q001-C01</x:v>
      </x:c>
      <x:c r="B9" s="64" t="str">
        <x:v>V6-E-002594-C01</x:v>
      </x:c>
      <x:c r="C9" s="64" t="str">
        <x:v>V6-Q001</x:v>
      </x:c>
      <x:c r="D9" s="40" t="str">
        <x:v>比亚迪</x:v>
      </x:c>
      <x:c r="E9" s="64" t="str">
        <x:v>002594</x:v>
      </x:c>
      <x:c r="F9" s="87" t="n">
        <x:v>46260.75</x:v>
      </x:c>
      <x:c r="G9" s="51" t="str">
        <x:v>动力电池外供与储能业务能否形成第二增长曲线</x:v>
      </x:c>
      <x:c r="H9" s="64" t="str">
        <x:v>DOC-EVT-002594-00017</x:v>
      </x:c>
      <x:c r="I9" s="51" t="str">
        <x:v>关于“质量回报双提升”行动方案的公告</x:v>
      </x:c>
      <x:c r="J9" s="87" t="n">
        <x:v>45341</x:v>
      </x:c>
      <x:c r="K9" s="73" t="str">
        <x:v>http://static.cninfo.com.cn/finalpage/2024-02-19/1219137500.PDF</x:v>
      </x:c>
      <x:c r="L9" s="40" t="str">
        <x:v>第1页</x:v>
      </x:c>
      <x:c r="M9"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9" s="41" t="str">
        <x:v>1-弱相关</x:v>
      </x:c>
      <x:c r="O9" s="41" t="str">
        <x:v>否</x:v>
      </x:c>
      <x:c r="P9" s="57" t="str">
        <x:v>行动方案披露新能源汽车技术投入、品牌向上及长期研发建设；虽与新能源业务与第二增长曲线主题相近，但未提供动力电池外供与储能业务的独立收入、销量和利润贡献，不足以建立可靠传导链。</x:v>
      </x:c>
      <x:c r="Q9" s="41" t="str">
        <x:v>B-CODEX-FIN-01</x:v>
      </x:c>
      <x:c r="R9" s="80" t="inlineStr">
        <x:is>
          <x:t>2026-08-30T13:30:00+08:00</x:t>
        </x:is>
      </x:c>
    </x:row>
    <x:row r="10" ht="72" customHeight="1">
      <x:c r="A10" s="64" t="str">
        <x:v>V6-R-Q001-C09</x:v>
      </x:c>
      <x:c r="B10" s="64" t="str">
        <x:v>V6-E-002594-C09</x:v>
      </x:c>
      <x:c r="C10" s="64" t="str">
        <x:v>V6-Q001</x:v>
      </x:c>
      <x:c r="D10" s="40" t="str">
        <x:v>比亚迪</x:v>
      </x:c>
      <x:c r="E10" s="64" t="str">
        <x:v>002594</x:v>
      </x:c>
      <x:c r="F10" s="87" t="n">
        <x:v>46260.75</x:v>
      </x:c>
      <x:c r="G10" s="51" t="str">
        <x:v>动力电池外供与储能业务能否形成第二增长曲线</x:v>
      </x:c>
      <x:c r="H10" s="64" t="str">
        <x:v>DOC-EVT-002594-00317</x:v>
      </x:c>
      <x:c r="I10" s="51" t="str">
        <x:v>关于召开2025年第二次临时股东会的通知</x:v>
      </x:c>
      <x:c r="J10" s="87" t="n">
        <x:v>45974</x:v>
      </x:c>
      <x:c r="K10" s="73" t="str">
        <x:v>http://static.cninfo.com.cn/finalpage/2025-11-13/1224801089.PDF</x:v>
      </x:c>
      <x:c r="L10" s="40" t="str">
        <x:v>第1页</x:v>
      </x:c>
      <x:c r="M10"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10" s="41" t="str">
        <x:v>0-无关</x:v>
      </x:c>
      <x:c r="O10" s="41" t="str">
        <x:v>否</x:v>
      </x:c>
      <x:c r="P10" s="57" t="str">
        <x:v>公告仅涉及临时股东会时间、投票和程序安排；内容与新能源业务与第二增长曲线缺少业务传导，未提供动力电池外供与储能业务的独立收入、销量和利润贡献，不能支持当前判断。</x:v>
      </x:c>
      <x:c r="Q10" s="41" t="str">
        <x:v>B-CODEX-FIN-01</x:v>
      </x:c>
      <x:c r="R10" s="80" t="inlineStr">
        <x:is>
          <x:t>2026-08-30T13:30:00+08:00</x:t>
        </x:is>
      </x:c>
    </x:row>
    <x:row r="11" ht="72" customHeight="1">
      <x:c r="A11" s="64" t="str">
        <x:v>V6-R-Q001-C08</x:v>
      </x:c>
      <x:c r="B11" s="64" t="str">
        <x:v>V6-E-002594-C08</x:v>
      </x:c>
      <x:c r="C11" s="64" t="str">
        <x:v>V6-Q001</x:v>
      </x:c>
      <x:c r="D11" s="40" t="str">
        <x:v>比亚迪</x:v>
      </x:c>
      <x:c r="E11" s="64" t="str">
        <x:v>002594</x:v>
      </x:c>
      <x:c r="F11" s="87" t="n">
        <x:v>46260.75</x:v>
      </x:c>
      <x:c r="G11" s="51" t="str">
        <x:v>动力电池外供与储能业务能否形成第二增长曲线</x:v>
      </x:c>
      <x:c r="H11" s="64" t="str">
        <x:v>DOC-EVT-002594-00215</x:v>
      </x:c>
      <x:c r="I11" s="51" t="str">
        <x:v>2024年年度报告</x:v>
      </x:c>
      <x:c r="J11" s="87" t="n">
        <x:v>45741</x:v>
      </x:c>
      <x:c r="K11" s="73" t="str">
        <x:v>http://static.cninfo.com.cn/finalpage/2025-03-25/1222881496.PDF</x:v>
      </x:c>
      <x:c r="L11" s="40" t="str">
        <x:v>第22页</x:v>
      </x:c>
      <x:c r="M11" s="51" t="str">
        <x:v>比亚迪股份有限公司 2024 年年度报告全文 22 消费电子业务方面，本集团凭借领先的技术优势和强大的制造能力，深度参与客户的新产品开发，助力客户提升产品 竞争力。本集团持续深耕安卓高端市场，为客户提供高品质的全方位服务，年内，受国内和海外客户需求增长驱动，安卓 零部件和整机组装业务均实现增长。海外大客户业务方面，凭借卓越的业务能力，本集团的业务份额持续提升，带动出货 量和收入同比增长。此外，随着本集团并表二零二三年年底完 成收购的业务，拉动零部件业务规模快速扩大，并通过资源 整合和自动化快速提升运营效率。 新型智能产品业务方面，本集团持续加强与各板块的行业头部客户的战略合作，无人机、智能家居、游戏硬件等业务 板块均保持稳健发展。同时，本集团持续发力新产品研发，抢抓市场机遇，积极拓展新业务，持续完善在 AI数据中心、AI 机器人等赛道的布局。其中，3D打印机、AI服务器于年内实现量产，液冷和电源产品完成开发，为本集团业务增长注入新 动力。 二、报告期内公司从事的主要业务 公司需遵守《深圳证券交易所上市公司自律监管指引第 3 号——行业信息披露》中汽车制造相关业的披露要求 本集团主要从事以新能源汽车为主的汽车业务，手机部件及组装业务，二次充电电池及光伏业务，同时利用自身的技 术优势拓展城市轨道交通业务领域。 作为全球新能源汽车行业先行者和领导者，本集团凭借在汽车电动化及智能化等关键领域的雄厚技术积累，通过技术 的持续创新，打造出长期、可持续的核心竞争优势，夯实了本集团于全球新…</x:v>
      </x:c>
      <x:c r="N11" s="41" t="str">
        <x:v>2-间接相关</x:v>
      </x:c>
      <x:c r="O11" s="41" t="str">
        <x:v>是</x:v>
      </x:c>
      <x:c r="P11" s="57" t="str">
        <x:v>年报披露汽车、二次充电电池和光伏等主要业务构成；该事实可通过业务结构和增量来源向第二增长曲线传导，间接验证动力电池外供与储能业务的独立收入、销量和利润贡献，关系清晰且可复核。</x:v>
      </x:c>
      <x:c r="Q11" s="41" t="str">
        <x:v>B-CODEX-FIN-01</x:v>
      </x:c>
      <x:c r="R11" s="80" t="inlineStr">
        <x:is>
          <x:t>2026-08-30T13:30:00+08:00</x:t>
        </x:is>
      </x:c>
    </x:row>
    <x:row r="12" ht="72" customHeight="1">
      <x:c r="A12" s="64" t="str">
        <x:v>V6-R-Q002-C06</x:v>
      </x:c>
      <x:c r="B12" s="64" t="str">
        <x:v>V6-E-002594-C06</x:v>
      </x:c>
      <x:c r="C12" s="64" t="str">
        <x:v>V6-Q002</x:v>
      </x:c>
      <x:c r="D12" s="40" t="str">
        <x:v>比亚迪</x:v>
      </x:c>
      <x:c r="E12" s="64" t="str">
        <x:v>002594</x:v>
      </x:c>
      <x:c r="F12" s="87" t="n">
        <x:v>46260.75</x:v>
      </x:c>
      <x:c r="G12" s="51" t="str">
        <x:v>高端车型占比提升能否抵消价格竞争对单车利润的压力</x:v>
      </x:c>
      <x:c r="H12" s="64" t="str">
        <x:v>DOC-EVT-002594-00269</x:v>
      </x:c>
      <x:c r="I12" s="51" t="str">
        <x:v>关于增加外汇衍生品交易业务额度的可行性分析报告</x:v>
      </x:c>
      <x:c r="J12" s="87" t="n">
        <x:v>45871</x:v>
      </x:c>
      <x:c r="K12" s="73" t="str">
        <x:v>http://static.cninfo.com.cn/finalpage/2025-08-02/1224368798.PDF</x:v>
      </x:c>
      <x:c r="L12" s="40" t="str">
        <x:v>第1页</x:v>
      </x:c>
      <x:c r="M12"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12" s="41" t="str">
        <x:v>0-无关</x:v>
      </x:c>
      <x:c r="O12" s="41" t="str">
        <x:v>否</x:v>
      </x:c>
      <x:c r="P12" s="57" t="str">
        <x:v>报告披露海外业务快速发展、外汇敞口扩大及套保额度增至120亿美元；内容与车型结构、品牌与汽车盈利缺少业务传导，未提供高端车型占比、价格竞争和单车利润之间的量化关系，不能支持当前判断。</x:v>
      </x:c>
      <x:c r="Q12" s="41" t="str">
        <x:v>B-CODEX-FIN-01</x:v>
      </x:c>
      <x:c r="R12" s="80" t="inlineStr">
        <x:is>
          <x:t>2026-08-30T13:30:00+08:00</x:t>
        </x:is>
      </x:c>
    </x:row>
    <x:row r="13" ht="72" customHeight="1">
      <x:c r="A13" s="64" t="str">
        <x:v>V6-R-Q002-C10</x:v>
      </x:c>
      <x:c r="B13" s="64" t="str">
        <x:v>V6-E-002594-C10</x:v>
      </x:c>
      <x:c r="C13" s="64" t="str">
        <x:v>V6-Q002</x:v>
      </x:c>
      <x:c r="D13" s="40" t="str">
        <x:v>比亚迪</x:v>
      </x:c>
      <x:c r="E13" s="64" t="str">
        <x:v>002594</x:v>
      </x:c>
      <x:c r="F13" s="87" t="n">
        <x:v>46260.75</x:v>
      </x:c>
      <x:c r="G13" s="51" t="str">
        <x:v>高端车型占比提升能否抵消价格竞争对单车利润的压力</x:v>
      </x:c>
      <x:c r="H13" s="64" t="str">
        <x:v>DOC-EVT-002594-00390</x:v>
      </x:c>
      <x:c r="I13" s="51" t="str">
        <x:v>2026年7月产销快报</x:v>
      </x:c>
      <x:c r="J13" s="87" t="n">
        <x:v>46237</x:v>
      </x:c>
      <x:c r="K13" s="73" t="str">
        <x:v>http://static.cninfo.com.cn/finalpage/2026-08-03/1225452785.PDF</x:v>
      </x:c>
      <x:c r="L13" s="40" t="str">
        <x:v>第1页</x:v>
      </x:c>
      <x:c r="M13"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13" s="41" t="str">
        <x:v>1-弱相关</x:v>
      </x:c>
      <x:c r="O13" s="41" t="str">
        <x:v>否</x:v>
      </x:c>
      <x:c r="P13" s="57" t="str">
        <x:v>产销快报披露新能源乘用车分动力类型的产量、销量和同比变化；虽与车型结构、品牌与汽车盈利主题相近，但未提供高端车型占比、价格竞争和单车利润之间的量化关系，不足以建立可靠传导链。</x:v>
      </x:c>
      <x:c r="Q13" s="41" t="str">
        <x:v>B-CODEX-FIN-01</x:v>
      </x:c>
      <x:c r="R13" s="80" t="inlineStr">
        <x:is>
          <x:t>2026-08-30T13:30:00+08:00</x:t>
        </x:is>
      </x:c>
    </x:row>
    <x:row r="14" ht="72" customHeight="1">
      <x:c r="A14" s="64" t="str">
        <x:v>V6-R-Q002-C04</x:v>
      </x:c>
      <x:c r="B14" s="64" t="str">
        <x:v>V6-E-002594-C04</x:v>
      </x:c>
      <x:c r="C14" s="64" t="str">
        <x:v>V6-Q002</x:v>
      </x:c>
      <x:c r="D14" s="40" t="str">
        <x:v>比亚迪</x:v>
      </x:c>
      <x:c r="E14" s="64" t="str">
        <x:v>002594</x:v>
      </x:c>
      <x:c r="F14" s="87" t="n">
        <x:v>46260.75</x:v>
      </x:c>
      <x:c r="G14" s="51" t="str">
        <x:v>高端车型占比提升能否抵消价格竞争对单车利润的压力</x:v>
      </x:c>
      <x:c r="H14" s="64" t="str">
        <x:v>DOC-EVT-002594-00338</x:v>
      </x:c>
      <x:c r="I14" s="51" t="str">
        <x:v>关于“质量回报双提升”行动方案的进展公告</x:v>
      </x:c>
      <x:c r="J14" s="87" t="n">
        <x:v>46109</x:v>
      </x:c>
      <x:c r="K14" s="73" t="str">
        <x:v>http://static.cninfo.com.cn/finalpage/2026-03-28/1225045367.PDF</x:v>
      </x:c>
      <x:c r="L14" s="40" t="str">
        <x:v>第1页</x:v>
      </x:c>
      <x:c r="M14" s="51"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14" s="41" t="str">
        <x:v>1-弱相关</x:v>
      </x:c>
      <x:c r="O14" s="41" t="str">
        <x:v>否</x:v>
      </x:c>
      <x:c r="P14" s="57" t="str">
        <x:v>公告披露持续高强度研发、全产业链优势及新能源汽车销量领先；虽与车型结构、品牌与汽车盈利主题相近，但未提供高端车型占比、价格竞争和单车利润之间的量化关系，不足以建立可靠传导链。</x:v>
      </x:c>
      <x:c r="Q14" s="41" t="str">
        <x:v>B-CODEX-FIN-01</x:v>
      </x:c>
      <x:c r="R14" s="80" t="inlineStr">
        <x:is>
          <x:t>2026-08-30T13:30:00+08:00</x:t>
        </x:is>
      </x:c>
    </x:row>
    <x:row r="15" ht="72" customHeight="1">
      <x:c r="A15" s="64" t="str">
        <x:v>V6-R-Q002-C05</x:v>
      </x:c>
      <x:c r="B15" s="64" t="str">
        <x:v>V6-E-002594-C05</x:v>
      </x:c>
      <x:c r="C15" s="64" t="str">
        <x:v>V6-Q002</x:v>
      </x:c>
      <x:c r="D15" s="40" t="str">
        <x:v>比亚迪</x:v>
      </x:c>
      <x:c r="E15" s="64" t="str">
        <x:v>002594</x:v>
      </x:c>
      <x:c r="F15" s="87" t="n">
        <x:v>46260.75</x:v>
      </x:c>
      <x:c r="G15" s="51" t="str">
        <x:v>高端车型占比提升能否抵消价格竞争对单车利润的压力</x:v>
      </x:c>
      <x:c r="H15" s="64" t="str">
        <x:v>DOC-EVT-002594-00238</x:v>
      </x:c>
      <x:c r="I15" s="51" t="str">
        <x:v>2025年一季度报告</x:v>
      </x:c>
      <x:c r="J15" s="87" t="n">
        <x:v>45773</x:v>
      </x:c>
      <x:c r="K15" s="73" t="str">
        <x:v>http://static.cninfo.com.cn/finalpage/2025-04-26/1223309368.PDF</x:v>
      </x:c>
      <x:c r="L15" s="40" t="str">
        <x:v>第2页</x:v>
      </x:c>
      <x:c r="M15" s="51" t="str">
        <x:v>比亚迪股份有限公司 2025 年第一季度报告 2 一、主要财务数据 （一） 主要会计数据和财务指标 公司是否需追溯调整或重述以前年度会计数据 □是 否 本报告期 上年同期 本报告期比上年同期 增减（%） 营业收入（元） 170,360,448,000.00 124,944,397,000.00 36.35% 归属于上市公司股东的净利润（元） 9,154,985,000.00 4,568,793,000.00 100.38% 归属于上市公司股东的扣除非经常性损益 的净利润（元） 8,171,627,000.00 3,751,980,000.00 117.80% 经营活动产生的现金流量净额（元） 8,580,961,000.00 10,227,984,000.00 -16.10% 基本每股收益（元/股） 3.12 1.57 98.73% 稀释每股收益（元/股） 3.12 1.57 98.73% 加权平均净资产收益率 4.37% 3.24% 1.13% 本报告期末 上年度末 本报告期末比上年度末 增减（%） 总资产（元） 840,527,145,000.00 783,355,855,000.00 7.30% 归属于上市公司股东的所有者权益（元） 233,361,322,000.00 185,251,104,000.00 25.97% （二） 非经常性损益项目和金额 适用 □不适用 单位：元 项目 本报告期金额 说明 非流动性资产处置损益（包括已计提资产减值准备的冲销部 分）…</x:v>
      </x:c>
      <x:c r="N15" s="41" t="str">
        <x:v>1-弱相关</x:v>
      </x:c>
      <x:c r="O15" s="41" t="str">
        <x:v>否</x:v>
      </x:c>
      <x:c r="P15" s="57" t="str">
        <x:v>一季报披露收入成本增长、存货增加33.04%及应收款项融资下降45.10%；虽与车型结构、品牌与汽车盈利主题相近，但未提供高端车型占比、价格竞争和单车利润之间的量化关系，不足以建立可靠传导链。</x:v>
      </x:c>
      <x:c r="Q15" s="41" t="str">
        <x:v>B-CODEX-FIN-01</x:v>
      </x:c>
      <x:c r="R15" s="80" t="inlineStr">
        <x:is>
          <x:t>2026-08-30T13:30:00+08:00</x:t>
        </x:is>
      </x:c>
    </x:row>
    <x:row r="16" ht="72" customHeight="1">
      <x:c r="A16" s="64" t="str">
        <x:v>V6-R-Q002-C08</x:v>
      </x:c>
      <x:c r="B16" s="64" t="str">
        <x:v>V6-E-002594-C08</x:v>
      </x:c>
      <x:c r="C16" s="64" t="str">
        <x:v>V6-Q002</x:v>
      </x:c>
      <x:c r="D16" s="40" t="str">
        <x:v>比亚迪</x:v>
      </x:c>
      <x:c r="E16" s="64" t="str">
        <x:v>002594</x:v>
      </x:c>
      <x:c r="F16" s="87" t="n">
        <x:v>46260.75</x:v>
      </x:c>
      <x:c r="G16" s="51" t="str">
        <x:v>高端车型占比提升能否抵消价格竞争对单车利润的压力</x:v>
      </x:c>
      <x:c r="H16" s="64" t="str">
        <x:v>DOC-EVT-002594-00215</x:v>
      </x:c>
      <x:c r="I16" s="51" t="str">
        <x:v>2024年年度报告</x:v>
      </x:c>
      <x:c r="J16" s="87" t="n">
        <x:v>45741</x:v>
      </x:c>
      <x:c r="K16" s="73" t="str">
        <x:v>http://static.cninfo.com.cn/finalpage/2025-03-25/1222881496.PDF</x:v>
      </x:c>
      <x:c r="L16" s="40" t="str">
        <x:v>第29页</x:v>
      </x:c>
      <x:c r="M16" s="51" t="str">
        <x:v>比亚迪股份有限公司 2024 年年度报告全文 29 基础。 直冷直热车 载冰箱 为综合提高乘员舱的用 户体验，首创一种利用 空调制冷系统提供冷量 给冰箱系统，实现冰箱 极速制冷/制热；首创低 转速压缩机，实现空调 与冰箱共用压缩机。同 时降低成本，降低空调 能耗，提高换热效率。 2024年7月搭载腾势 Z9GT 量产;后续将冰 箱 8 大平台产品，搭 载应用到全系车型 上。 冰箱内有效容积增加约 30~50%；系 统实现 4 个以上车载冰箱箱体搭 载；冰箱制冷（制热）速度优于行 业水平50%以上；春秋季空调能耗降 低约 50%。 通过冰箱自研自制、集成 创新降本，将冰箱作为普 惠技术全车型搭载。实现 冰箱配置率行业领先，引 领车用冰箱全面量产应 用，赢得更多用户口碑。 分体分控式 后轮转向器 后轮转向技术国内尚无 批量装车案例、国外品 牌开发费高，售价昂 贵。为配合公司后期长 轴距及高端车型的应 用，打破技术及市场的 双重垄断，研发分体分 控式后轮转向技术。同 时满足车辆后轮左右分 别实现大角度转向的应 用需求，进一步减小转 弯半径，极大提升驾驶 操控性。 2024年7月搭载腾势 Z9GT 车型量产；后 轮转向器拟 3.0M 轴 距以上车型全系搭 载。 实现公司内首次搭载后轮转向器， 转角角度突破行业水平，达到± 10°，行业第一。相较于外部供应 商，开发成本降低 50%以上。 突破国外后轮转向技术， 从行业的追赶者变成领跑 者。创新功能自主实现、 集团品牌发布、补全转向…</x:v>
      </x:c>
      <x:c r="N16" s="41" t="str">
        <x:v>1-弱相关</x:v>
      </x:c>
      <x:c r="O16" s="41" t="str">
        <x:v>否</x:v>
      </x:c>
      <x:c r="P16" s="57" t="str">
        <x:v>年报披露汽车、二次充电电池和光伏等主要业务构成；虽与车型结构、品牌与汽车盈利主题相近，但未提供高端车型占比、价格竞争和单车利润之间的量化关系，不足以建立可靠传导链。</x:v>
      </x:c>
      <x:c r="Q16" s="41" t="str">
        <x:v>B-CODEX-FIN-01</x:v>
      </x:c>
      <x:c r="R16" s="80" t="inlineStr">
        <x:is>
          <x:t>2026-08-30T13:30:00+08:00</x:t>
        </x:is>
      </x:c>
    </x:row>
    <x:row r="17" ht="72" customHeight="1">
      <x:c r="A17" s="64" t="str">
        <x:v>V6-R-Q002-C09</x:v>
      </x:c>
      <x:c r="B17" s="64" t="str">
        <x:v>V6-E-002594-C09</x:v>
      </x:c>
      <x:c r="C17" s="64" t="str">
        <x:v>V6-Q002</x:v>
      </x:c>
      <x:c r="D17" s="40" t="str">
        <x:v>比亚迪</x:v>
      </x:c>
      <x:c r="E17" s="64" t="str">
        <x:v>002594</x:v>
      </x:c>
      <x:c r="F17" s="87" t="n">
        <x:v>46260.75</x:v>
      </x:c>
      <x:c r="G17" s="51" t="str">
        <x:v>高端车型占比提升能否抵消价格竞争对单车利润的压力</x:v>
      </x:c>
      <x:c r="H17" s="64" t="str">
        <x:v>DOC-EVT-002594-00317</x:v>
      </x:c>
      <x:c r="I17" s="51" t="str">
        <x:v>关于召开2025年第二次临时股东会的通知</x:v>
      </x:c>
      <x:c r="J17" s="87" t="n">
        <x:v>45974</x:v>
      </x:c>
      <x:c r="K17" s="73" t="str">
        <x:v>http://static.cninfo.com.cn/finalpage/2025-11-13/1224801089.PDF</x:v>
      </x:c>
      <x:c r="L17" s="40" t="str">
        <x:v>第1页</x:v>
      </x:c>
      <x:c r="M17"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17" s="41" t="str">
        <x:v>0-无关</x:v>
      </x:c>
      <x:c r="O17" s="41" t="str">
        <x:v>否</x:v>
      </x:c>
      <x:c r="P17" s="57" t="str">
        <x:v>公告仅涉及临时股东会时间、投票和程序安排；内容与车型结构、品牌与汽车盈利缺少业务传导，未提供高端车型占比、价格竞争和单车利润之间的量化关系，不能支持当前判断。</x:v>
      </x:c>
      <x:c r="Q17" s="41" t="str">
        <x:v>B-CODEX-FIN-01</x:v>
      </x:c>
      <x:c r="R17" s="80" t="inlineStr">
        <x:is>
          <x:t>2026-08-30T13:30:00+08:00</x:t>
        </x:is>
      </x:c>
    </x:row>
    <x:row r="18" ht="72" customHeight="1">
      <x:c r="A18" s="64" t="str">
        <x:v>V6-R-Q002-C01</x:v>
      </x:c>
      <x:c r="B18" s="64" t="str">
        <x:v>V6-E-002594-C01</x:v>
      </x:c>
      <x:c r="C18" s="64" t="str">
        <x:v>V6-Q002</x:v>
      </x:c>
      <x:c r="D18" s="40" t="str">
        <x:v>比亚迪</x:v>
      </x:c>
      <x:c r="E18" s="64" t="str">
        <x:v>002594</x:v>
      </x:c>
      <x:c r="F18" s="87" t="n">
        <x:v>46260.75</x:v>
      </x:c>
      <x:c r="G18" s="51" t="str">
        <x:v>高端车型占比提升能否抵消价格竞争对单车利润的压力</x:v>
      </x:c>
      <x:c r="H18" s="64" t="str">
        <x:v>DOC-EVT-002594-00017</x:v>
      </x:c>
      <x:c r="I18" s="51" t="str">
        <x:v>关于“质量回报双提升”行动方案的公告</x:v>
      </x:c>
      <x:c r="J18" s="87" t="n">
        <x:v>45341</x:v>
      </x:c>
      <x:c r="K18" s="73" t="str">
        <x:v>http://static.cninfo.com.cn/finalpage/2024-02-19/1219137500.PDF</x:v>
      </x:c>
      <x:c r="L18" s="40" t="str">
        <x:v>第1页</x:v>
      </x:c>
      <x:c r="M18"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18" s="41" t="str">
        <x:v>2-间接相关</x:v>
      </x:c>
      <x:c r="O18" s="41" t="str">
        <x:v>是</x:v>
      </x:c>
      <x:c r="P18" s="57" t="str">
        <x:v>行动方案披露新能源汽车技术投入、品牌向上及长期研发建设；该事实可通过车型结构或收入成本变化向单车利润传导，间接验证高端车型占比、价格竞争和单车利润之间的量化关系，关系清晰且可复核。</x:v>
      </x:c>
      <x:c r="Q18" s="41" t="str">
        <x:v>B-CODEX-FIN-01</x:v>
      </x:c>
      <x:c r="R18" s="80" t="inlineStr">
        <x:is>
          <x:t>2026-08-30T13:30:00+08:00</x:t>
        </x:is>
      </x:c>
    </x:row>
    <x:row r="19" ht="72" customHeight="1">
      <x:c r="A19" s="64" t="str">
        <x:v>V6-R-Q002-C07</x:v>
      </x:c>
      <x:c r="B19" s="64" t="str">
        <x:v>V6-E-002594-C07</x:v>
      </x:c>
      <x:c r="C19" s="64" t="str">
        <x:v>V6-Q002</x:v>
      </x:c>
      <x:c r="D19" s="40" t="str">
        <x:v>比亚迪</x:v>
      </x:c>
      <x:c r="E19" s="64" t="str">
        <x:v>002594</x:v>
      </x:c>
      <x:c r="F19" s="87" t="n">
        <x:v>46260.75</x:v>
      </x:c>
      <x:c r="G19" s="51" t="str">
        <x:v>高端车型占比提升能否抵消价格竞争对单车利润的压力</x:v>
      </x:c>
      <x:c r="H19" s="64" t="str">
        <x:v>DOC-EVT-002594-00274</x:v>
      </x:c>
      <x:c r="I19" s="51" t="str">
        <x:v>H股公告（二零二五年中期业绩公告）</x:v>
      </x:c>
      <x:c r="J19" s="87" t="n">
        <x:v>45899</x:v>
      </x:c>
      <x:c r="K19" s="73" t="str">
        <x:v>http://static.cninfo.com.cn/finalpage/2025-08-30/1224626656.PDF</x:v>
      </x:c>
      <x:c r="L19" s="40" t="str">
        <x:v>第35页</x:v>
      </x:c>
      <x:c r="M19"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19" s="41" t="str">
        <x:v>1-弱相关</x:v>
      </x:c>
      <x:c r="O19" s="41" t="str">
        <x:v>否</x:v>
      </x:c>
      <x:c r="P19" s="57" t="str">
        <x:v>中期业绩披露汽车相关产品与手机部件的收入结构变化；虽与车型结构、品牌与汽车盈利主题相近，但未提供高端车型占比、价格竞争和单车利润之间的量化关系，不足以建立可靠传导链。</x:v>
      </x:c>
      <x:c r="Q19" s="41" t="str">
        <x:v>B-CODEX-FIN-01</x:v>
      </x:c>
      <x:c r="R19" s="80" t="inlineStr">
        <x:is>
          <x:t>2026-08-30T13:30:00+08:00</x:t>
        </x:is>
      </x:c>
    </x:row>
    <x:row r="20" ht="72" customHeight="1">
      <x:c r="A20" s="64" t="str">
        <x:v>V6-R-Q002-C02</x:v>
      </x:c>
      <x:c r="B20" s="64" t="str">
        <x:v>V6-E-002594-C02</x:v>
      </x:c>
      <x:c r="C20" s="64" t="str">
        <x:v>V6-Q002</x:v>
      </x:c>
      <x:c r="D20" s="40" t="str">
        <x:v>比亚迪</x:v>
      </x:c>
      <x:c r="E20" s="64" t="str">
        <x:v>002594</x:v>
      </x:c>
      <x:c r="F20" s="87" t="n">
        <x:v>46260.75</x:v>
      </x:c>
      <x:c r="G20" s="51" t="str">
        <x:v>高端车型占比提升能否抵消价格竞争对单车利润的压力</x:v>
      </x:c>
      <x:c r="H20" s="64" t="str">
        <x:v>DOC-EVT-002594-00165</x:v>
      </x:c>
      <x:c r="I20" s="51" t="str">
        <x:v>关于开展外汇衍生品套期保值交易业务的公告</x:v>
      </x:c>
      <x:c r="J20" s="87" t="n">
        <x:v>45682</x:v>
      </x:c>
      <x:c r="K20" s="73" t="str">
        <x:v>http://static.cninfo.com.cn/finalpage/2025-01-25/1222430444.PDF</x:v>
      </x:c>
      <x:c r="L20" s="40" t="str">
        <x:v>第1页</x:v>
      </x:c>
      <x:c r="M20"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20" s="41" t="str">
        <x:v>0-无关</x:v>
      </x:c>
      <x:c r="O20" s="41" t="str">
        <x:v>否</x:v>
      </x:c>
      <x:c r="P20" s="57" t="str">
        <x:v>公告披露海外布局推进、外币收支增长及50亿美元套保额度；内容与车型结构、品牌与汽车盈利缺少业务传导，未提供高端车型占比、价格竞争和单车利润之间的量化关系，不能支持当前判断。</x:v>
      </x:c>
      <x:c r="Q20" s="41" t="str">
        <x:v>B-CODEX-FIN-01</x:v>
      </x:c>
      <x:c r="R20" s="80" t="inlineStr">
        <x:is>
          <x:t>2026-08-30T13:30:00+08:00</x:t>
        </x:is>
      </x:c>
    </x:row>
    <x:row r="21" ht="72" customHeight="1">
      <x:c r="A21" s="64" t="str">
        <x:v>V6-R-Q002-C03</x:v>
      </x:c>
      <x:c r="B21" s="64" t="str">
        <x:v>V6-E-002594-C03</x:v>
      </x:c>
      <x:c r="C21" s="64" t="str">
        <x:v>V6-Q002</x:v>
      </x:c>
      <x:c r="D21" s="40" t="str">
        <x:v>比亚迪</x:v>
      </x:c>
      <x:c r="E21" s="64" t="str">
        <x:v>002594</x:v>
      </x:c>
      <x:c r="F21" s="87" t="n">
        <x:v>46260.75</x:v>
      </x:c>
      <x:c r="G21" s="51" t="str">
        <x:v>高端车型占比提升能否抵消价格竞争对单车利润的压力</x:v>
      </x:c>
      <x:c r="H21" s="64" t="str">
        <x:v>DOC-EVT-002594-00223</x:v>
      </x:c>
      <x:c r="I21" s="51" t="str">
        <x:v>关于召开2024年年度报告网上说明会并征集问题的公告</x:v>
      </x:c>
      <x:c r="J21" s="87" t="n">
        <x:v>45745</x:v>
      </x:c>
      <x:c r="K21" s="73" t="str">
        <x:v>http://static.cninfo.com.cn/finalpage/2025-03-29/1222945849.PDF</x:v>
      </x:c>
      <x:c r="L21" s="40" t="str">
        <x:v>第1页</x:v>
      </x:c>
      <x:c r="M21"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21" s="41" t="str">
        <x:v>0-无关</x:v>
      </x:c>
      <x:c r="O21" s="41" t="str">
        <x:v>否</x:v>
      </x:c>
      <x:c r="P21" s="57" t="str">
        <x:v>公告仅安排年度报告说明会并征集投资者问题；内容与车型结构、品牌与汽车盈利缺少业务传导，未提供高端车型占比、价格竞争和单车利润之间的量化关系，不能支持当前判断。</x:v>
      </x:c>
      <x:c r="Q21" s="41" t="str">
        <x:v>B-CODEX-FIN-01</x:v>
      </x:c>
      <x:c r="R21" s="80" t="inlineStr">
        <x:is>
          <x:t>2026-08-30T13:30:00+08:00</x:t>
        </x:is>
      </x:c>
    </x:row>
    <x:row r="22" ht="72" customHeight="1">
      <x:c r="A22" s="64" t="str">
        <x:v>V6-R-Q003-C09</x:v>
      </x:c>
      <x:c r="B22" s="64" t="str">
        <x:v>V6-E-002594-C09</x:v>
      </x:c>
      <x:c r="C22" s="64" t="str">
        <x:v>V6-Q003</x:v>
      </x:c>
      <x:c r="D22" s="40" t="str">
        <x:v>比亚迪</x:v>
      </x:c>
      <x:c r="E22" s="64" t="str">
        <x:v>002594</x:v>
      </x:c>
      <x:c r="F22" s="87" t="n">
        <x:v>46260.75</x:v>
      </x:c>
      <x:c r="G22" s="51" t="str">
        <x:v>经销商库存与应收变化是否会削弱销量增长的现金质量</x:v>
      </x:c>
      <x:c r="H22" s="64" t="str">
        <x:v>DOC-EVT-002594-00317</x:v>
      </x:c>
      <x:c r="I22" s="51" t="str">
        <x:v>关于召开2025年第二次临时股东会的通知</x:v>
      </x:c>
      <x:c r="J22" s="87" t="n">
        <x:v>45974</x:v>
      </x:c>
      <x:c r="K22" s="73" t="str">
        <x:v>http://static.cninfo.com.cn/finalpage/2025-11-13/1224801089.PDF</x:v>
      </x:c>
      <x:c r="L22" s="40" t="str">
        <x:v>第1页</x:v>
      </x:c>
      <x:c r="M22"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22" s="41" t="str">
        <x:v>0-无关</x:v>
      </x:c>
      <x:c r="O22" s="41" t="str">
        <x:v>否</x:v>
      </x:c>
      <x:c r="P22" s="57" t="str">
        <x:v>公告仅涉及临时股东会时间、投票和程序安排；内容与销量增长和营运资金质量缺少业务传导，未提供经销商库存、应收项目与经营现金流质量，不能支持当前判断。</x:v>
      </x:c>
      <x:c r="Q22" s="41" t="str">
        <x:v>B-CODEX-FIN-01</x:v>
      </x:c>
      <x:c r="R22" s="80" t="inlineStr">
        <x:is>
          <x:t>2026-08-30T13:30:00+08:00</x:t>
        </x:is>
      </x:c>
    </x:row>
    <x:row r="23" ht="72" customHeight="1">
      <x:c r="A23" s="64" t="str">
        <x:v>V6-R-Q003-C07</x:v>
      </x:c>
      <x:c r="B23" s="64" t="str">
        <x:v>V6-E-002594-C07</x:v>
      </x:c>
      <x:c r="C23" s="64" t="str">
        <x:v>V6-Q003</x:v>
      </x:c>
      <x:c r="D23" s="40" t="str">
        <x:v>比亚迪</x:v>
      </x:c>
      <x:c r="E23" s="64" t="str">
        <x:v>002594</x:v>
      </x:c>
      <x:c r="F23" s="87" t="n">
        <x:v>46260.75</x:v>
      </x:c>
      <x:c r="G23" s="51" t="str">
        <x:v>经销商库存与应收变化是否会削弱销量增长的现金质量</x:v>
      </x:c>
      <x:c r="H23" s="64" t="str">
        <x:v>DOC-EVT-002594-00274</x:v>
      </x:c>
      <x:c r="I23" s="51" t="str">
        <x:v>H股公告（二零二五年中期业绩公告）</x:v>
      </x:c>
      <x:c r="J23" s="87" t="n">
        <x:v>45899</x:v>
      </x:c>
      <x:c r="K23" s="73" t="str">
        <x:v>http://static.cninfo.com.cn/finalpage/2025-08-30/1224626656.PDF</x:v>
      </x:c>
      <x:c r="L23" s="40" t="str">
        <x:v>第35页</x:v>
      </x:c>
      <x:c r="M23"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23" s="41" t="str">
        <x:v>1-弱相关</x:v>
      </x:c>
      <x:c r="O23" s="41" t="str">
        <x:v>否</x:v>
      </x:c>
      <x:c r="P23" s="57" t="str">
        <x:v>中期业绩披露汽车相关产品与手机部件的收入结构变化；虽与销量增长和营运资金质量主题相近，但未提供经销商库存、应收项目与经营现金流质量，不足以建立可靠传导链。</x:v>
      </x:c>
      <x:c r="Q23" s="41" t="str">
        <x:v>B-CODEX-FIN-01</x:v>
      </x:c>
      <x:c r="R23" s="80" t="inlineStr">
        <x:is>
          <x:t>2026-08-30T13:30:00+08:00</x:t>
        </x:is>
      </x:c>
    </x:row>
    <x:row r="24" ht="72" customHeight="1">
      <x:c r="A24" s="64" t="str">
        <x:v>V6-R-Q003-C08</x:v>
      </x:c>
      <x:c r="B24" s="64" t="str">
        <x:v>V6-E-002594-C08</x:v>
      </x:c>
      <x:c r="C24" s="64" t="str">
        <x:v>V6-Q003</x:v>
      </x:c>
      <x:c r="D24" s="40" t="str">
        <x:v>比亚迪</x:v>
      </x:c>
      <x:c r="E24" s="64" t="str">
        <x:v>002594</x:v>
      </x:c>
      <x:c r="F24" s="87" t="n">
        <x:v>46260.75</x:v>
      </x:c>
      <x:c r="G24" s="51" t="str">
        <x:v>经销商库存与应收变化是否会削弱销量增长的现金质量</x:v>
      </x:c>
      <x:c r="H24" s="64" t="str">
        <x:v>DOC-EVT-002594-00215</x:v>
      </x:c>
      <x:c r="I24" s="51" t="str">
        <x:v>2024年年度报告</x:v>
      </x:c>
      <x:c r="J24" s="87" t="n">
        <x:v>45741</x:v>
      </x:c>
      <x:c r="K24" s="73" t="str">
        <x:v>http://static.cninfo.com.cn/finalpage/2025-03-25/1222881496.PDF</x:v>
      </x:c>
      <x:c r="L24" s="40" t="str">
        <x:v>第20页</x:v>
      </x:c>
      <x:c r="M24" s="51" t="str">
        <x:v>比亚迪股份有限公司 2024 年年度报告全文 20 “仰望”品牌： 作为本集团旗下的百万级高端新能源汽车品牌，“仰望”以极致技术打造高端品牌和产品，基于“易四方”、 “云辇”、“刀片电池”、超级车身、智能座舱、智能辅助驾驶六大技术，通过技术的灵活组合，聚焦不同场景需 求，打造了新能源硬派越野“仰望 U8”、纯电性能超跑“仰望 U9”、新能源旗舰轿车“仰望 U7”等多品类高端产 品。 “仰望 U9”：纯电性能超跑 二月正式上市，搭载“易四方”技术平台和“云辇 - X”智能全主动车身控制系统两大核心技术。作为纯电 动时代的超级跑车新物种，“仰望 U9”跳出传统超跑 的性能和体验框架，提供“可赛、可街、可玩”的用 户体验，重新构建新时代的超跑价值标杆。 “仰望 U7”：D 级纯电/插混轿车 十一月开启预售，搭载“易四方”和革命性技术“云辇 -Z”，定位新能源旗舰轿车，优雅与科技兼备。其中， “云辇-Z”以悬浮电机替代传统液压减振器，引领悬架 从油时代跨入电时代，赋予“仰望 U7”极致安全、极 致平稳的驾乘体验。 此外，为配合产品密集推出、渠道快速扩张、市场规模快速增长的新阶段，“腾势”品牌及“方程豹”品牌加 速渠道布局，于六月宣布引入经销商伙伴模式，构建多元渠道体系，为更多地区用户提供更高质量的服务。</x:v>
      </x:c>
      <x:c r="N24" s="41" t="str">
        <x:v>1-弱相关</x:v>
      </x:c>
      <x:c r="O24" s="41" t="str">
        <x:v>否</x:v>
      </x:c>
      <x:c r="P24" s="57" t="str">
        <x:v>年报披露汽车、二次充电电池和光伏等主要业务构成；虽与销量增长和营运资金质量主题相近，但未提供经销商库存、应收项目与经营现金流质量，不足以建立可靠传导链。</x:v>
      </x:c>
      <x:c r="Q24" s="41" t="str">
        <x:v>B-CODEX-FIN-01</x:v>
      </x:c>
      <x:c r="R24" s="80" t="inlineStr">
        <x:is>
          <x:t>2026-08-30T13:30:00+08:00</x:t>
        </x:is>
      </x:c>
    </x:row>
    <x:row r="25" ht="72" customHeight="1">
      <x:c r="A25" s="64" t="str">
        <x:v>V6-R-Q003-C10</x:v>
      </x:c>
      <x:c r="B25" s="64" t="str">
        <x:v>V6-E-002594-C10</x:v>
      </x:c>
      <x:c r="C25" s="64" t="str">
        <x:v>V6-Q003</x:v>
      </x:c>
      <x:c r="D25" s="40" t="str">
        <x:v>比亚迪</x:v>
      </x:c>
      <x:c r="E25" s="64" t="str">
        <x:v>002594</x:v>
      </x:c>
      <x:c r="F25" s="87" t="n">
        <x:v>46260.75</x:v>
      </x:c>
      <x:c r="G25" s="51" t="str">
        <x:v>经销商库存与应收变化是否会削弱销量增长的现金质量</x:v>
      </x:c>
      <x:c r="H25" s="64" t="str">
        <x:v>DOC-EVT-002594-00390</x:v>
      </x:c>
      <x:c r="I25" s="51" t="str">
        <x:v>2026年7月产销快报</x:v>
      </x:c>
      <x:c r="J25" s="87" t="n">
        <x:v>46237</x:v>
      </x:c>
      <x:c r="K25" s="73" t="str">
        <x:v>http://static.cninfo.com.cn/finalpage/2026-08-03/1225452785.PDF</x:v>
      </x:c>
      <x:c r="L25" s="40" t="str">
        <x:v>第1页</x:v>
      </x:c>
      <x:c r="M25"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25" s="41" t="str">
        <x:v>2-间接相关</x:v>
      </x:c>
      <x:c r="O25" s="41" t="str">
        <x:v>是</x:v>
      </x:c>
      <x:c r="P25" s="57" t="str">
        <x:v>产销快报披露新能源乘用车分动力类型的产量、销量和同比变化；该事实可通过产销、库存及应收变化向经营现金流传导，间接验证经销商库存、应收项目与经营现金流质量，关系清晰且可复核。</x:v>
      </x:c>
      <x:c r="Q25" s="41" t="str">
        <x:v>B-CODEX-FIN-01</x:v>
      </x:c>
      <x:c r="R25" s="80" t="inlineStr">
        <x:is>
          <x:t>2026-08-30T13:30:00+08:00</x:t>
        </x:is>
      </x:c>
    </x:row>
    <x:row r="26" ht="72" customHeight="1">
      <x:c r="A26" s="64" t="str">
        <x:v>V6-R-Q003-C06</x:v>
      </x:c>
      <x:c r="B26" s="64" t="str">
        <x:v>V6-E-002594-C06</x:v>
      </x:c>
      <x:c r="C26" s="64" t="str">
        <x:v>V6-Q003</x:v>
      </x:c>
      <x:c r="D26" s="40" t="str">
        <x:v>比亚迪</x:v>
      </x:c>
      <x:c r="E26" s="64" t="str">
        <x:v>002594</x:v>
      </x:c>
      <x:c r="F26" s="87" t="n">
        <x:v>46260.75</x:v>
      </x:c>
      <x:c r="G26" s="51" t="str">
        <x:v>经销商库存与应收变化是否会削弱销量增长的现金质量</x:v>
      </x:c>
      <x:c r="H26" s="64" t="str">
        <x:v>DOC-EVT-002594-00269</x:v>
      </x:c>
      <x:c r="I26" s="51" t="str">
        <x:v>关于增加外汇衍生品交易业务额度的可行性分析报告</x:v>
      </x:c>
      <x:c r="J26" s="87" t="n">
        <x:v>45871</x:v>
      </x:c>
      <x:c r="K26" s="73" t="str">
        <x:v>http://static.cninfo.com.cn/finalpage/2025-08-02/1224368798.PDF</x:v>
      </x:c>
      <x:c r="L26" s="40" t="str">
        <x:v>第1页</x:v>
      </x:c>
      <x:c r="M26"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26" s="41" t="str">
        <x:v>0-无关</x:v>
      </x:c>
      <x:c r="O26" s="41" t="str">
        <x:v>否</x:v>
      </x:c>
      <x:c r="P26" s="57" t="str">
        <x:v>报告披露海外业务快速发展、外汇敞口扩大及套保额度增至120亿美元；内容与销量增长和营运资金质量缺少业务传导，未提供经销商库存、应收项目与经营现金流质量，不能支持当前判断。</x:v>
      </x:c>
      <x:c r="Q26" s="41" t="str">
        <x:v>B-CODEX-FIN-01</x:v>
      </x:c>
      <x:c r="R26" s="80" t="inlineStr">
        <x:is>
          <x:t>2026-08-30T13:30:00+08:00</x:t>
        </x:is>
      </x:c>
    </x:row>
    <x:row r="27" ht="72" customHeight="1">
      <x:c r="A27" s="64" t="str">
        <x:v>V6-R-Q003-C04</x:v>
      </x:c>
      <x:c r="B27" s="64" t="str">
        <x:v>V6-E-002594-C04</x:v>
      </x:c>
      <x:c r="C27" s="64" t="str">
        <x:v>V6-Q003</x:v>
      </x:c>
      <x:c r="D27" s="40" t="str">
        <x:v>比亚迪</x:v>
      </x:c>
      <x:c r="E27" s="64" t="str">
        <x:v>002594</x:v>
      </x:c>
      <x:c r="F27" s="87" t="n">
        <x:v>46260.75</x:v>
      </x:c>
      <x:c r="G27" s="51" t="str">
        <x:v>经销商库存与应收变化是否会削弱销量增长的现金质量</x:v>
      </x:c>
      <x:c r="H27" s="64" t="str">
        <x:v>DOC-EVT-002594-00338</x:v>
      </x:c>
      <x:c r="I27" s="51" t="str">
        <x:v>关于“质量回报双提升”行动方案的进展公告</x:v>
      </x:c>
      <x:c r="J27" s="87" t="n">
        <x:v>46109</x:v>
      </x:c>
      <x:c r="K27" s="73" t="str">
        <x:v>http://static.cninfo.com.cn/finalpage/2026-03-28/1225045367.PDF</x:v>
      </x:c>
      <x:c r="L27" s="40" t="str">
        <x:v>第1页</x:v>
      </x:c>
      <x:c r="M27" s="51"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27" s="41" t="str">
        <x:v>0-无关</x:v>
      </x:c>
      <x:c r="O27" s="41" t="str">
        <x:v>否</x:v>
      </x:c>
      <x:c r="P27" s="57" t="str">
        <x:v>公告披露持续高强度研发、全产业链优势及新能源汽车销量领先；内容与销量增长和营运资金质量缺少业务传导，未提供经销商库存、应收项目与经营现金流质量，不能支持当前判断。</x:v>
      </x:c>
      <x:c r="Q27" s="41" t="str">
        <x:v>B-CODEX-FIN-01</x:v>
      </x:c>
      <x:c r="R27" s="80" t="inlineStr">
        <x:is>
          <x:t>2026-08-30T13:30:00+08:00</x:t>
        </x:is>
      </x:c>
    </x:row>
    <x:row r="28" ht="72" customHeight="1">
      <x:c r="A28" s="64" t="str">
        <x:v>V6-R-Q003-C05</x:v>
      </x:c>
      <x:c r="B28" s="64" t="str">
        <x:v>V6-E-002594-C05</x:v>
      </x:c>
      <x:c r="C28" s="64" t="str">
        <x:v>V6-Q003</x:v>
      </x:c>
      <x:c r="D28" s="40" t="str">
        <x:v>比亚迪</x:v>
      </x:c>
      <x:c r="E28" s="64" t="str">
        <x:v>002594</x:v>
      </x:c>
      <x:c r="F28" s="87" t="n">
        <x:v>46260.75</x:v>
      </x:c>
      <x:c r="G28" s="51" t="str">
        <x:v>经销商库存与应收变化是否会削弱销量增长的现金质量</x:v>
      </x:c>
      <x:c r="H28" s="64" t="str">
        <x:v>DOC-EVT-002594-00238</x:v>
      </x:c>
      <x:c r="I28" s="51" t="str">
        <x:v>2025年一季度报告</x:v>
      </x:c>
      <x:c r="J28" s="87" t="n">
        <x:v>45773</x:v>
      </x:c>
      <x:c r="K28" s="73" t="str">
        <x:v>http://static.cninfo.com.cn/finalpage/2025-04-26/1223309368.PDF</x:v>
      </x:c>
      <x:c r="L28" s="40" t="str">
        <x:v>第2页</x:v>
      </x:c>
      <x:c r="M28" s="51" t="str">
        <x:v>比亚迪股份有限公司 2025 年第一季度报告 2 一、主要财务数据 （一） 主要会计数据和财务指标 公司是否需追溯调整或重述以前年度会计数据 □是 否 本报告期 上年同期 本报告期比上年同期 增减（%） 营业收入（元） 170,360,448,000.00 124,944,397,000.00 36.35% 归属于上市公司股东的净利润（元） 9,154,985,000.00 4,568,793,000.00 100.38% 归属于上市公司股东的扣除非经常性损益 的净利润（元） 8,171,627,000.00 3,751,980,000.00 117.80% 经营活动产生的现金流量净额（元） 8,580,961,000.00 10,227,984,000.00 -16.10% 基本每股收益（元/股） 3.12 1.57 98.73% 稀释每股收益（元/股） 3.12 1.57 98.73% 加权平均净资产收益率 4.37% 3.24% 1.13% 本报告期末 上年度末 本报告期末比上年度末 增减（%） 总资产（元） 840,527,145,000.00 783,355,855,000.00 7.30% 归属于上市公司股东的所有者权益（元） 233,361,322,000.00 185,251,104,000.00 25.97% （二） 非经常性损益项目和金额 适用 □不适用 单位：元 项目 本报告期金额 说明 非流动性资产处置损益（包括已计提资产减值准备的冲销部 分）…</x:v>
      </x:c>
      <x:c r="N28" s="41" t="str">
        <x:v>3-直接相关</x:v>
      </x:c>
      <x:c r="O28" s="41" t="str">
        <x:v>是</x:v>
      </x:c>
      <x:c r="P28" s="57" t="str">
        <x:v>一季报披露收入成本增长、存货增加33.04%及应收款项融资下降45.10%；证据直接披露或决定经销商库存、应收项目与经营现金流质量，可直接用于回答当前查询。</x:v>
      </x:c>
      <x:c r="Q28" s="41" t="str">
        <x:v>B-CODEX-FIN-01</x:v>
      </x:c>
      <x:c r="R28" s="80" t="inlineStr">
        <x:is>
          <x:t>2026-08-30T13:30:00+08:00</x:t>
        </x:is>
      </x:c>
    </x:row>
    <x:row r="29" ht="72" customHeight="1">
      <x:c r="A29" s="64" t="str">
        <x:v>V6-R-Q003-C01</x:v>
      </x:c>
      <x:c r="B29" s="64" t="str">
        <x:v>V6-E-002594-C01</x:v>
      </x:c>
      <x:c r="C29" s="64" t="str">
        <x:v>V6-Q003</x:v>
      </x:c>
      <x:c r="D29" s="40" t="str">
        <x:v>比亚迪</x:v>
      </x:c>
      <x:c r="E29" s="64" t="str">
        <x:v>002594</x:v>
      </x:c>
      <x:c r="F29" s="87" t="n">
        <x:v>46260.75</x:v>
      </x:c>
      <x:c r="G29" s="51" t="str">
        <x:v>经销商库存与应收变化是否会削弱销量增长的现金质量</x:v>
      </x:c>
      <x:c r="H29" s="64" t="str">
        <x:v>DOC-EVT-002594-00017</x:v>
      </x:c>
      <x:c r="I29" s="51" t="str">
        <x:v>关于“质量回报双提升”行动方案的公告</x:v>
      </x:c>
      <x:c r="J29" s="87" t="n">
        <x:v>45341</x:v>
      </x:c>
      <x:c r="K29" s="73" t="str">
        <x:v>http://static.cninfo.com.cn/finalpage/2024-02-19/1219137500.PDF</x:v>
      </x:c>
      <x:c r="L29" s="40" t="str">
        <x:v>第1页</x:v>
      </x:c>
      <x:c r="M29"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29" s="41" t="str">
        <x:v>0-无关</x:v>
      </x:c>
      <x:c r="O29" s="41" t="str">
        <x:v>否</x:v>
      </x:c>
      <x:c r="P29" s="57" t="str">
        <x:v>行动方案披露新能源汽车技术投入、品牌向上及长期研发建设；内容与销量增长和营运资金质量缺少业务传导，未提供经销商库存、应收项目与经营现金流质量，不能支持当前判断。</x:v>
      </x:c>
      <x:c r="Q29" s="41" t="str">
        <x:v>B-CODEX-FIN-01</x:v>
      </x:c>
      <x:c r="R29" s="80" t="inlineStr">
        <x:is>
          <x:t>2026-08-30T13:30:00+08:00</x:t>
        </x:is>
      </x:c>
    </x:row>
    <x:row r="30" ht="72" customHeight="1">
      <x:c r="A30" s="64" t="str">
        <x:v>V6-R-Q003-C03</x:v>
      </x:c>
      <x:c r="B30" s="64" t="str">
        <x:v>V6-E-002594-C03</x:v>
      </x:c>
      <x:c r="C30" s="64" t="str">
        <x:v>V6-Q003</x:v>
      </x:c>
      <x:c r="D30" s="40" t="str">
        <x:v>比亚迪</x:v>
      </x:c>
      <x:c r="E30" s="64" t="str">
        <x:v>002594</x:v>
      </x:c>
      <x:c r="F30" s="87" t="n">
        <x:v>46260.75</x:v>
      </x:c>
      <x:c r="G30" s="51" t="str">
        <x:v>经销商库存与应收变化是否会削弱销量增长的现金质量</x:v>
      </x:c>
      <x:c r="H30" s="64" t="str">
        <x:v>DOC-EVT-002594-00223</x:v>
      </x:c>
      <x:c r="I30" s="51" t="str">
        <x:v>关于召开2024年年度报告网上说明会并征集问题的公告</x:v>
      </x:c>
      <x:c r="J30" s="87" t="n">
        <x:v>45745</x:v>
      </x:c>
      <x:c r="K30" s="73" t="str">
        <x:v>http://static.cninfo.com.cn/finalpage/2025-03-29/1222945849.PDF</x:v>
      </x:c>
      <x:c r="L30" s="40" t="str">
        <x:v>第1页</x:v>
      </x:c>
      <x:c r="M30"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30" s="41" t="str">
        <x:v>0-无关</x:v>
      </x:c>
      <x:c r="O30" s="41" t="str">
        <x:v>否</x:v>
      </x:c>
      <x:c r="P30" s="57" t="str">
        <x:v>公告仅安排年度报告说明会并征集投资者问题；内容与销量增长和营运资金质量缺少业务传导，未提供经销商库存、应收项目与经营现金流质量，不能支持当前判断。</x:v>
      </x:c>
      <x:c r="Q30" s="41" t="str">
        <x:v>B-CODEX-FIN-01</x:v>
      </x:c>
      <x:c r="R30" s="80" t="inlineStr">
        <x:is>
          <x:t>2026-08-30T13:30:00+08:00</x:t>
        </x:is>
      </x:c>
    </x:row>
    <x:row r="31" ht="72" customHeight="1">
      <x:c r="A31" s="64" t="str">
        <x:v>V6-R-Q003-C02</x:v>
      </x:c>
      <x:c r="B31" s="64" t="str">
        <x:v>V6-E-002594-C02</x:v>
      </x:c>
      <x:c r="C31" s="64" t="str">
        <x:v>V6-Q003</x:v>
      </x:c>
      <x:c r="D31" s="40" t="str">
        <x:v>比亚迪</x:v>
      </x:c>
      <x:c r="E31" s="64" t="str">
        <x:v>002594</x:v>
      </x:c>
      <x:c r="F31" s="87" t="n">
        <x:v>46260.75</x:v>
      </x:c>
      <x:c r="G31" s="51" t="str">
        <x:v>经销商库存与应收变化是否会削弱销量增长的现金质量</x:v>
      </x:c>
      <x:c r="H31" s="64" t="str">
        <x:v>DOC-EVT-002594-00165</x:v>
      </x:c>
      <x:c r="I31" s="51" t="str">
        <x:v>关于开展外汇衍生品套期保值交易业务的公告</x:v>
      </x:c>
      <x:c r="J31" s="87" t="n">
        <x:v>45682</x:v>
      </x:c>
      <x:c r="K31" s="73" t="str">
        <x:v>http://static.cninfo.com.cn/finalpage/2025-01-25/1222430444.PDF</x:v>
      </x:c>
      <x:c r="L31" s="40" t="str">
        <x:v>第1页</x:v>
      </x:c>
      <x:c r="M31"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31" s="41" t="str">
        <x:v>0-无关</x:v>
      </x:c>
      <x:c r="O31" s="41" t="str">
        <x:v>否</x:v>
      </x:c>
      <x:c r="P31" s="57" t="str">
        <x:v>公告披露海外布局推进、外币收支增长及50亿美元套保额度；内容与销量增长和营运资金质量缺少业务传导，未提供经销商库存、应收项目与经营现金流质量，不能支持当前判断。</x:v>
      </x:c>
      <x:c r="Q31" s="41" t="str">
        <x:v>B-CODEX-FIN-01</x:v>
      </x:c>
      <x:c r="R31" s="80" t="inlineStr">
        <x:is>
          <x:t>2026-08-30T13:30:00+08:00</x:t>
        </x:is>
      </x:c>
    </x:row>
    <x:row r="32" ht="72" customHeight="1">
      <x:c r="A32" s="64" t="str">
        <x:v>V6-R-Q004-C06</x:v>
      </x:c>
      <x:c r="B32" s="64" t="str">
        <x:v>V6-E-002594-C06</x:v>
      </x:c>
      <x:c r="C32" s="64" t="str">
        <x:v>V6-Q004</x:v>
      </x:c>
      <x:c r="D32" s="40" t="str">
        <x:v>比亚迪</x:v>
      </x:c>
      <x:c r="E32" s="64" t="str">
        <x:v>002594</x:v>
      </x:c>
      <x:c r="F32" s="87" t="n">
        <x:v>46260.75</x:v>
      </x:c>
      <x:c r="G32" s="51" t="str">
        <x:v>海外产能爬坡期的折旧与费用是否会拖累境外业务利润率</x:v>
      </x:c>
      <x:c r="H32" s="64" t="str">
        <x:v>DOC-EVT-002594-00269</x:v>
      </x:c>
      <x:c r="I32" s="51" t="str">
        <x:v>关于增加外汇衍生品交易业务额度的可行性分析报告</x:v>
      </x:c>
      <x:c r="J32" s="87" t="n">
        <x:v>45871</x:v>
      </x:c>
      <x:c r="K32" s="73" t="str">
        <x:v>http://static.cninfo.com.cn/finalpage/2025-08-02/1224368798.PDF</x:v>
      </x:c>
      <x:c r="L32" s="40" t="str">
        <x:v>第1页</x:v>
      </x:c>
      <x:c r="M32" s="51" t="str">
        <x:v>比亚迪股份有限公司 关于增加外汇衍生品交易业务额度的可行性分析报告 一、 公司增加外汇衍生品交易业务额度的背景 比亚迪股份有限公司 （以下简称 “公司” ）及控股子公司海外业务快速发展， 外汇风险敞口不断扩大，加之 2025 年以来，国际政治、经济形势复杂多变，汇 率和利率波动加剧，公司的外汇风险敞口管理需求也进一步增加。 公司以汇率风险中性为管理原则，为控制风险，拟增加外汇衍生品交易业务 额度以及预计占用的授信额度。公司开展的外汇衍生品交易与日常经营需求紧密 相关，是基于公司外币资产、负债状况以及外汇收支业务情况进行，能够提高公 司积极应对风险的能力，增强公司财务稳健性。 二、 公司增加外汇衍生品交易业务额度的基本情况 （一）交易金额： 公司及控股子公司拟开展的外汇衍生品交易业务额度由等值 100 亿美元增 加至等值 120 亿美元， 额度使用期限自该事项获第八届董事会第十九次会议审议 通过之日起 12 个月内。上述额度在期限内可循环滚动使用，但期限内任一时点 的投资余额不超过等值 120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不需要缴纳保证金，在授权期限内任一时点预计占用的授信额度由不超过等值5 亿美元增加至不超过等值 6 亿美元。</x:v>
      </x:c>
      <x:c r="N32" s="41" t="str">
        <x:v>2-间接相关</x:v>
      </x:c>
      <x:c r="O32" s="41" t="str">
        <x:v>是</x:v>
      </x:c>
      <x:c r="P32" s="57" t="str">
        <x:v>报告披露海外业务快速发展、外汇敞口扩大及套保额度增至120亿美元；该事实可通过海外经营规模与新增成本向境外利润率传导，间接验证海外新增产能的折旧费用及境外业务利润率，关系清晰且可复核。</x:v>
      </x:c>
      <x:c r="Q32" s="41" t="str">
        <x:v>B-CODEX-FIN-01</x:v>
      </x:c>
      <x:c r="R32" s="80" t="inlineStr">
        <x:is>
          <x:t>2026-08-30T13:30:00+08:00</x:t>
        </x:is>
      </x:c>
    </x:row>
    <x:row r="33" ht="72" customHeight="1">
      <x:c r="A33" s="64" t="str">
        <x:v>V6-R-Q004-C04</x:v>
      </x:c>
      <x:c r="B33" s="64" t="str">
        <x:v>V6-E-002594-C04</x:v>
      </x:c>
      <x:c r="C33" s="64" t="str">
        <x:v>V6-Q004</x:v>
      </x:c>
      <x:c r="D33" s="40" t="str">
        <x:v>比亚迪</x:v>
      </x:c>
      <x:c r="E33" s="64" t="str">
        <x:v>002594</x:v>
      </x:c>
      <x:c r="F33" s="87" t="n">
        <x:v>46260.75</x:v>
      </x:c>
      <x:c r="G33" s="51" t="str">
        <x:v>海外产能爬坡期的折旧与费用是否会拖累境外业务利润率</x:v>
      </x:c>
      <x:c r="H33" s="64" t="str">
        <x:v>DOC-EVT-002594-00338</x:v>
      </x:c>
      <x:c r="I33" s="51" t="str">
        <x:v>关于“质量回报双提升”行动方案的进展公告</x:v>
      </x:c>
      <x:c r="J33" s="87" t="n">
        <x:v>46109</x:v>
      </x:c>
      <x:c r="K33" s="73" t="str">
        <x:v>http://static.cninfo.com.cn/finalpage/2026-03-28/1225045367.PDF</x:v>
      </x:c>
      <x:c r="L33" s="40" t="str">
        <x:v>第1页</x:v>
      </x:c>
      <x:c r="M33" s="51" t="str">
        <x:v>1 证券代码：002594 证券简称：比亚迪 公告编号：2026-014 比亚迪股份有限公司 关于“质量回报双提升”行动方案的进展公告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体股东利益，增强投资者信心，促进公司长远健康可持续发展，公司制定了“质 量回报双提升”行动方案（以下简称“行动方案”），并于2024年2月19日在《证 券时报》、《中国证券报》、《上海证券报》、《证券日报》及巨潮资讯网 （www.cninfo.com.cn）披露《关于“质量回报双提升”行动方案的公告》（公 告编号：2024-014）。现将行动方案的2025年进展情况公告如下： 一、坚持技术创新，开启高质量发展新纪元 “技术为王，创新为本”是公司发展的核心理念，也是公司发展的不竭动力。 2025 年，凭借长期的技术积累，依托全产业链布局的独特优势，公司卫冕中国 汽车市场车企、中国汽车市场品牌、全球新能源汽车市场销量“三冠王”，并历 史性登顶全球纯电动汽车市场销量榜首，彰显出强大的市场主导力。2025 年公 司继续保持高强度研发投入，夯实智能化上半场，开拓智能化下半场…</x:v>
      </x:c>
      <x:c r="N33" s="41" t="str">
        <x:v>1-弱相关</x:v>
      </x:c>
      <x:c r="O33" s="41" t="str">
        <x:v>否</x:v>
      </x:c>
      <x:c r="P33" s="57" t="str">
        <x:v>公告披露持续高强度研发、全产业链优势及新能源汽车销量领先；虽与海外扩张和境外盈利主题相近，但未提供海外新增产能的折旧费用及境外业务利润率，不足以建立可靠传导链。</x:v>
      </x:c>
      <x:c r="Q33" s="41" t="str">
        <x:v>B-CODEX-FIN-01</x:v>
      </x:c>
      <x:c r="R33" s="80" t="inlineStr">
        <x:is>
          <x:t>2026-08-30T13:30:00+08:00</x:t>
        </x:is>
      </x:c>
    </x:row>
    <x:row r="34" ht="72" customHeight="1">
      <x:c r="A34" s="64" t="str">
        <x:v>V6-R-Q004-C03</x:v>
      </x:c>
      <x:c r="B34" s="64" t="str">
        <x:v>V6-E-002594-C03</x:v>
      </x:c>
      <x:c r="C34" s="64" t="str">
        <x:v>V6-Q004</x:v>
      </x:c>
      <x:c r="D34" s="40" t="str">
        <x:v>比亚迪</x:v>
      </x:c>
      <x:c r="E34" s="64" t="str">
        <x:v>002594</x:v>
      </x:c>
      <x:c r="F34" s="87" t="n">
        <x:v>46260.75</x:v>
      </x:c>
      <x:c r="G34" s="51" t="str">
        <x:v>海外产能爬坡期的折旧与费用是否会拖累境外业务利润率</x:v>
      </x:c>
      <x:c r="H34" s="64" t="str">
        <x:v>DOC-EVT-002594-00223</x:v>
      </x:c>
      <x:c r="I34" s="51" t="str">
        <x:v>关于召开2024年年度报告网上说明会并征集问题的公告</x:v>
      </x:c>
      <x:c r="J34" s="87" t="n">
        <x:v>45745</x:v>
      </x:c>
      <x:c r="K34" s="73" t="str">
        <x:v>http://static.cninfo.com.cn/finalpage/2025-03-29/1222945849.PDF</x:v>
      </x:c>
      <x:c r="L34" s="40" t="str">
        <x:v>第1页</x:v>
      </x:c>
      <x:c r="M34" s="51" t="str">
        <x:v>证券代码：002594 证券简称：比亚迪 公告编号：2025-027 比亚迪股份有限公司 关于召开2024年年度报告网上说明会并征集问题的公告 本公司及董事会全体成员保证信息披露内容的真实、准确和完整，没有虚假 记载、误导性陈述或重大遗漏。 比亚迪股份有限公司（以下简称“公司” ）已于2025年3月25日在巨潮资讯网 (www.cninfo.com.cn)披露公司《2024年年度报告》全文及其摘要，供全体股东和 投资者查询参阅。 为使广大投资者进一步详细了解公司年报信息，公司将于2025年4月2日（星 期三）下午15：00-17:00通过路演中的路演中心平台举行2024年年度报告网上说 明会。 本次说明会将采用网络远程方式举行， 投资者可登陆 “路演中-路演中心” （参会链接：https://www.roadshowchina.cn/Meet/detail.html?mid=24955） 参与本次说明会。 同时，为更高质量的与投资者沟通交流、提高投资者的参会体验，公司现就 2024年度业绩和经营情况提前向投资者征集相关问题。 投资者可扫描下方二维码， 进入问题征集页面。 公司将于2024年年度报告网上说明会上对投资者普遍关注的 问题进行回答。 出席本次说明会的人员有：公司董事长兼总裁王传福先生、独立董事张敏先 生、高级副总裁兼财务总监周亚琳女士、董事会秘书及公司秘书李黔先生、证券 事务代表吴越先生。</x:v>
      </x:c>
      <x:c r="N34" s="41" t="str">
        <x:v>0-无关</x:v>
      </x:c>
      <x:c r="O34" s="41" t="str">
        <x:v>否</x:v>
      </x:c>
      <x:c r="P34" s="57" t="str">
        <x:v>公告仅安排年度报告说明会并征集投资者问题；内容与海外扩张和境外盈利缺少业务传导，未提供海外新增产能的折旧费用及境外业务利润率，不能支持当前判断。</x:v>
      </x:c>
      <x:c r="Q34" s="41" t="str">
        <x:v>B-CODEX-FIN-01</x:v>
      </x:c>
      <x:c r="R34" s="80" t="inlineStr">
        <x:is>
          <x:t>2026-08-30T13:30:00+08:00</x:t>
        </x:is>
      </x:c>
    </x:row>
    <x:row r="35" ht="72" customHeight="1">
      <x:c r="A35" s="64" t="str">
        <x:v>V6-R-Q004-C09</x:v>
      </x:c>
      <x:c r="B35" s="64" t="str">
        <x:v>V6-E-002594-C09</x:v>
      </x:c>
      <x:c r="C35" s="64" t="str">
        <x:v>V6-Q004</x:v>
      </x:c>
      <x:c r="D35" s="40" t="str">
        <x:v>比亚迪</x:v>
      </x:c>
      <x:c r="E35" s="64" t="str">
        <x:v>002594</x:v>
      </x:c>
      <x:c r="F35" s="87" t="n">
        <x:v>46260.75</x:v>
      </x:c>
      <x:c r="G35" s="51" t="str">
        <x:v>海外产能爬坡期的折旧与费用是否会拖累境外业务利润率</x:v>
      </x:c>
      <x:c r="H35" s="64" t="str">
        <x:v>DOC-EVT-002594-00317</x:v>
      </x:c>
      <x:c r="I35" s="51" t="str">
        <x:v>关于召开2025年第二次临时股东会的通知</x:v>
      </x:c>
      <x:c r="J35" s="87" t="n">
        <x:v>45974</x:v>
      </x:c>
      <x:c r="K35" s="73" t="str">
        <x:v>http://static.cninfo.com.cn/finalpage/2025-11-13/1224801089.PDF</x:v>
      </x:c>
      <x:c r="L35" s="40" t="str">
        <x:v>第1页</x:v>
      </x:c>
      <x:c r="M35" s="51" t="str">
        <x:v>1 证券代码：002594 证券简称：比亚迪 公告编号：2025-061 比亚迪股份有限公司 关于召开2025年第二次临时股东会的通知 本公司及董事会全体成员保证信息披露的内容真实、准确、完整，没有虚 假记载、误导性陈述或重大遗漏。 比亚迪股份有限公司（以下简称“公司”）于 2025 年 10 月 30 日召开第八 届董事会第二十一次会议，决定于 2025 年 12 月 5 日（星期五）召开公司 2025 年第二次临时股东会（以下简称“本次股东会”），现将有关事项通知如下： 一、召开会议的基本情况 1、股东会届次：2025 年第二次临时股东会。 2、股东会的召集人：公司董事会。 3、会议召开的合法、合规性：本次股东会的召开符合有关法律、行政法规、 部门规章、规范性文件和《公司章程》的规定。 4、会议时间： （1）现场会议时间：2025 年 12 月 5 日（星期五）上午 10:00。 （2）网络投票时间：通过深圳证券交易所（以下简称“深交所”）交易系 统进行网络投票的具体时间为 2025 年 12 月 5 日上午 9:15—9:25、9:30—11:30 和下午 13:00-15:00；通过互联网投票系统投票的具体时间为 2025 年 12 月 5 日 9:15 至 15:00 的任意时间。 5、会议召开方式：现场投票与网络投票相结合。 公司将通过深交所交易系统和互联网投票系统（http://wltp.cninfo.com. cn）向公司 A 股股东提供网络形式的投票平台，…</x:v>
      </x:c>
      <x:c r="N35" s="41" t="str">
        <x:v>0-无关</x:v>
      </x:c>
      <x:c r="O35" s="41" t="str">
        <x:v>否</x:v>
      </x:c>
      <x:c r="P35" s="57" t="str">
        <x:v>公告仅涉及临时股东会时间、投票和程序安排；内容与海外扩张和境外盈利缺少业务传导，未提供海外新增产能的折旧费用及境外业务利润率，不能支持当前判断。</x:v>
      </x:c>
      <x:c r="Q35" s="41" t="str">
        <x:v>B-CODEX-FIN-01</x:v>
      </x:c>
      <x:c r="R35" s="80" t="inlineStr">
        <x:is>
          <x:t>2026-08-30T13:30:00+08:00</x:t>
        </x:is>
      </x:c>
    </x:row>
    <x:row r="36" ht="72" customHeight="1">
      <x:c r="A36" s="64" t="str">
        <x:v>V6-R-Q004-C01</x:v>
      </x:c>
      <x:c r="B36" s="64" t="str">
        <x:v>V6-E-002594-C01</x:v>
      </x:c>
      <x:c r="C36" s="64" t="str">
        <x:v>V6-Q004</x:v>
      </x:c>
      <x:c r="D36" s="40" t="str">
        <x:v>比亚迪</x:v>
      </x:c>
      <x:c r="E36" s="64" t="str">
        <x:v>002594</x:v>
      </x:c>
      <x:c r="F36" s="87" t="n">
        <x:v>46260.75</x:v>
      </x:c>
      <x:c r="G36" s="51" t="str">
        <x:v>海外产能爬坡期的折旧与费用是否会拖累境外业务利润率</x:v>
      </x:c>
      <x:c r="H36" s="64" t="str">
        <x:v>DOC-EVT-002594-00017</x:v>
      </x:c>
      <x:c r="I36" s="51" t="str">
        <x:v>关于“质量回报双提升”行动方案的公告</x:v>
      </x:c>
      <x:c r="J36" s="87" t="n">
        <x:v>45341</x:v>
      </x:c>
      <x:c r="K36" s="73" t="str">
        <x:v>http://static.cninfo.com.cn/finalpage/2024-02-19/1219137500.PDF</x:v>
      </x:c>
      <x:c r="L36" s="40" t="str">
        <x:v>第1页</x:v>
      </x:c>
      <x:c r="M36" s="51" t="str">
        <x:v>1 证券代码：002594 证券简称：比亚迪 公告编号：2024-014 比亚迪股份有限公司 关于“质量回报双提升”行动方案的公告 本公司及董事会全体成员保证信息披露的内容真实、准确、完整，没有虚假 记载、误导性陈述或重大遗漏。 比亚迪股份有限公司（以下简称“本公司”或“公司”或“比亚迪”）为践 行中央政治局会议提出的“要活跃资本市场、提振投资者信心”及国常会提出的 “要大力提升上市公司质量和投资价值，要采取更加有力有效措施，着力稳市场、 稳信心”的指导思想，结合公司发展战略、经营情况及财务情况，为维护公司全 体股东利益，增强投资者信心，促进公司长远健康可持续发展，公司“质量回报 双提升”行动方案如下： 一、践行长期主义，做大做强主业 比亚迪经过三十年的发展，已成长为业务横跨汽车、电子、新能源和轨道交 通四大领域的世界 500 强企业。比亚迪作为全球新能源汽车的领导企业，始终致 力于在新能源汽车技术研发和市场应用上引领产业变革和行业潮流，推动新能源 汽车产业的蓬勃发展。 公司投资价值是核心竞争力的重要要素，在为股东提供良好回报的同时，也 大大提升了公司在资本市场的品牌形象，对公司产品市场的拓展也有积极意义。 与中国证监会一直以来倡导的长期投资理念相契合，新能源汽车行业同样需要长 期的研发投入及品牌建设，方可打造核心竞争力，助力国家“双碳”目标的达成。 在新能源汽车领域，公司用二十余年的专注和坚守，通过持续的技术创新，开发 出多项颠覆性技术和产品，推动品牌向上，2023 年新…</x:v>
      </x:c>
      <x:c r="N36" s="41" t="str">
        <x:v>1-弱相关</x:v>
      </x:c>
      <x:c r="O36" s="41" t="str">
        <x:v>否</x:v>
      </x:c>
      <x:c r="P36" s="57" t="str">
        <x:v>行动方案披露新能源汽车技术投入、品牌向上及长期研发建设；虽与海外扩张和境外盈利主题相近，但未提供海外新增产能的折旧费用及境外业务利润率，不足以建立可靠传导链。</x:v>
      </x:c>
      <x:c r="Q36" s="41" t="str">
        <x:v>B-CODEX-FIN-01</x:v>
      </x:c>
      <x:c r="R36" s="80" t="inlineStr">
        <x:is>
          <x:t>2026-08-30T13:30:00+08:00</x:t>
        </x:is>
      </x:c>
    </x:row>
    <x:row r="37" ht="72" customHeight="1">
      <x:c r="A37" s="64" t="str">
        <x:v>V6-R-Q004-C10</x:v>
      </x:c>
      <x:c r="B37" s="64" t="str">
        <x:v>V6-E-002594-C10</x:v>
      </x:c>
      <x:c r="C37" s="64" t="str">
        <x:v>V6-Q004</x:v>
      </x:c>
      <x:c r="D37" s="40" t="str">
        <x:v>比亚迪</x:v>
      </x:c>
      <x:c r="E37" s="64" t="str">
        <x:v>002594</x:v>
      </x:c>
      <x:c r="F37" s="87" t="n">
        <x:v>46260.75</x:v>
      </x:c>
      <x:c r="G37" s="51" t="str">
        <x:v>海外产能爬坡期的折旧与费用是否会拖累境外业务利润率</x:v>
      </x:c>
      <x:c r="H37" s="64" t="str">
        <x:v>DOC-EVT-002594-00390</x:v>
      </x:c>
      <x:c r="I37" s="51" t="str">
        <x:v>2026年7月产销快报</x:v>
      </x:c>
      <x:c r="J37" s="87" t="n">
        <x:v>46237</x:v>
      </x:c>
      <x:c r="K37" s="73" t="str">
        <x:v>http://static.cninfo.com.cn/finalpage/2026-08-03/1225452785.PDF</x:v>
      </x:c>
      <x:c r="L37" s="40" t="str">
        <x:v>第1页</x:v>
      </x:c>
      <x:c r="M37" s="51" t="str">
        <x:v>证券代码：002594 证券简称：比亚迪 公告编号：2026-027 比亚迪股份有限公司 2026年7月产销快报 本公司及董事会全体成员保证信息披露的内容真实、准确、完整，没有虚假记载、误导性陈述或重大遗漏。 比亚迪股份有限公司(以下简称“本公司”)2026年7月产销快报数据如下： 单位：辆 产量 销量 项目类别 本月 去年同期 本年累计 去年累计 累计同比 本月 去年同期 本年累计 去年累计 累计同比 新能源汽车 420,249 317,892 2,234,379 2,454,925 -8.98% 419,211 344,296 2,227,722 2,490,250 -10.54% -乘用车 411,791 315,269 2,196,092 2,418,378 -9.19% 411,072 341,030 2,188,447 2,454,301 -10.83% -纯电动 233,785 160,050 1,104,529 1,188,464 -7.06% 233,105 177,887 1,100,584 1,201,268 -8.38% -插电式混合动力 178,006 155,219 1,091,563 1,229,914 -11.25% 177,967 163,143 1,087,863 1,253,033 -13.18% -商用车 8,458 2,623 38,287 36,547 4.76% 8,139 3,266 39,275 35,949 9.25% -…</x:v>
      </x:c>
      <x:c r="N37" s="41" t="str">
        <x:v>0-无关</x:v>
      </x:c>
      <x:c r="O37" s="41" t="str">
        <x:v>否</x:v>
      </x:c>
      <x:c r="P37" s="57" t="str">
        <x:v>产销快报披露新能源乘用车分动力类型的产量、销量和同比变化；内容与海外扩张和境外盈利缺少业务传导，未提供海外新增产能的折旧费用及境外业务利润率，不能支持当前判断。</x:v>
      </x:c>
      <x:c r="Q37" s="41" t="str">
        <x:v>B-CODEX-FIN-01</x:v>
      </x:c>
      <x:c r="R37" s="80" t="inlineStr">
        <x:is>
          <x:t>2026-08-30T13:30:00+08:00</x:t>
        </x:is>
      </x:c>
    </x:row>
    <x:row r="38" ht="72" customHeight="1">
      <x:c r="A38" s="64" t="str">
        <x:v>V6-R-Q004-C07</x:v>
      </x:c>
      <x:c r="B38" s="64" t="str">
        <x:v>V6-E-002594-C07</x:v>
      </x:c>
      <x:c r="C38" s="64" t="str">
        <x:v>V6-Q004</x:v>
      </x:c>
      <x:c r="D38" s="40" t="str">
        <x:v>比亚迪</x:v>
      </x:c>
      <x:c r="E38" s="64" t="str">
        <x:v>002594</x:v>
      </x:c>
      <x:c r="F38" s="87" t="n">
        <x:v>46260.75</x:v>
      </x:c>
      <x:c r="G38" s="51" t="str">
        <x:v>海外产能爬坡期的折旧与费用是否会拖累境外业务利润率</x:v>
      </x:c>
      <x:c r="H38" s="64" t="str">
        <x:v>DOC-EVT-002594-00274</x:v>
      </x:c>
      <x:c r="I38" s="51" t="str">
        <x:v>H股公告（二零二五年中期业绩公告）</x:v>
      </x:c>
      <x:c r="J38" s="87" t="n">
        <x:v>45899</x:v>
      </x:c>
      <x:c r="K38" s="73" t="str">
        <x:v>http://static.cninfo.com.cn/finalpage/2025-08-30/1224626656.PDF</x:v>
      </x:c>
      <x:c r="L38" s="40" t="str">
        <x:v>第35页</x:v>
      </x:c>
      <x:c r="M38" s="51" t="str">
        <x:v>nt company increased by 13.79% as compared to the same period of previous year, mainly attributable to the growth of the new energy vehicle business. Segmental Information Comparisons of the Group’s revenue by product categories for the six months ended 30 June 2025 and 2024 are illustrated as follows: 2025H1 2024H1 2025H1 18.51% Mobile handset components, assembly and other products 81.48% Automobiles and related products, and other products 二零二五年上半年 手機部件、組裝及 其他產品 汽車、汽車相關產品 及其他產品 2024H1 24.17% Mobile handset components, assembly and other products 75.82% Automobiles and related products, and other products 二零二四年上半年 手機部件、組裝及 其他產品 汽車、汽車相關產品…</x:v>
      </x:c>
      <x:c r="N38" s="41" t="str">
        <x:v>1-弱相关</x:v>
      </x:c>
      <x:c r="O38" s="41" t="str">
        <x:v>否</x:v>
      </x:c>
      <x:c r="P38" s="57" t="str">
        <x:v>中期业绩披露汽车相关产品与手机部件的收入结构变化；虽与海外扩张和境外盈利主题相近，但未提供海外新增产能的折旧费用及境外业务利润率，不足以建立可靠传导链。</x:v>
      </x:c>
      <x:c r="Q38" s="41" t="str">
        <x:v>B-CODEX-FIN-01</x:v>
      </x:c>
      <x:c r="R38" s="80" t="inlineStr">
        <x:is>
          <x:t>2026-08-30T13:30:00+08:00</x:t>
        </x:is>
      </x:c>
    </x:row>
    <x:row r="39" ht="72" customHeight="1">
      <x:c r="A39" s="64" t="str">
        <x:v>V6-R-Q004-C05</x:v>
      </x:c>
      <x:c r="B39" s="64" t="str">
        <x:v>V6-E-002594-C05</x:v>
      </x:c>
      <x:c r="C39" s="64" t="str">
        <x:v>V6-Q004</x:v>
      </x:c>
      <x:c r="D39" s="40" t="str">
        <x:v>比亚迪</x:v>
      </x:c>
      <x:c r="E39" s="64" t="str">
        <x:v>002594</x:v>
      </x:c>
      <x:c r="F39" s="87" t="n">
        <x:v>46260.75</x:v>
      </x:c>
      <x:c r="G39" s="51" t="str">
        <x:v>海外产能爬坡期的折旧与费用是否会拖累境外业务利润率</x:v>
      </x:c>
      <x:c r="H39" s="64" t="str">
        <x:v>DOC-EVT-002594-00238</x:v>
      </x:c>
      <x:c r="I39" s="51" t="str">
        <x:v>2025年一季度报告</x:v>
      </x:c>
      <x:c r="J39" s="87" t="n">
        <x:v>45773</x:v>
      </x:c>
      <x:c r="K39" s="73" t="str">
        <x:v>http://static.cninfo.com.cn/finalpage/2025-04-26/1223309368.PDF</x:v>
      </x:c>
      <x:c r="L39" s="40" t="str">
        <x:v>第2页</x:v>
      </x:c>
      <x:c r="M39" s="51" t="str">
        <x:v>比亚迪股份有限公司 2025 年第一季度报告 2 一、主要财务数据 （一） 主要会计数据和财务指标 公司是否需追溯调整或重述以前年度会计数据 □是 否 本报告期 上年同期 本报告期比上年同期 增减（%） 营业收入（元） 170,360,448,000.00 124,944,397,000.00 36.35% 归属于上市公司股东的净利润（元） 9,154,985,000.00 4,568,793,000.00 100.38% 归属于上市公司股东的扣除非经常性损益 的净利润（元） 8,171,627,000.00 3,751,980,000.00 117.80% 经营活动产生的现金流量净额（元） 8,580,961,000.00 10,227,984,000.00 -16.10% 基本每股收益（元/股） 3.12 1.57 98.73% 稀释每股收益（元/股） 3.12 1.57 98.73% 加权平均净资产收益率 4.37% 3.24% 1.13% 本报告期末 上年度末 本报告期末比上年度末 增减（%） 总资产（元） 840,527,145,000.00 783,355,855,000.00 7.30% 归属于上市公司股东的所有者权益（元） 233,361,322,000.00 185,251,104,000.00 25.97% （二） 非经常性损益项目和金额 适用 □不适用 单位：元 项目 本报告期金额 说明 非流动性资产处置损益（包括已计提资产减值准备的冲销部 分）…</x:v>
      </x:c>
      <x:c r="N39" s="41" t="str">
        <x:v>1-弱相关</x:v>
      </x:c>
      <x:c r="O39" s="41" t="str">
        <x:v>否</x:v>
      </x:c>
      <x:c r="P39" s="57" t="str">
        <x:v>一季报披露收入成本增长、存货增加33.04%及应收款项融资下降45.10%；虽与海外扩张和境外盈利主题相近，但未提供海外新增产能的折旧费用及境外业务利润率，不足以建立可靠传导链。</x:v>
      </x:c>
      <x:c r="Q39" s="41" t="str">
        <x:v>B-CODEX-FIN-01</x:v>
      </x:c>
      <x:c r="R39" s="80" t="inlineStr">
        <x:is>
          <x:t>2026-08-30T13:30:00+08:00</x:t>
        </x:is>
      </x:c>
    </x:row>
    <x:row r="40" ht="72" customHeight="1">
      <x:c r="A40" s="64" t="str">
        <x:v>V6-R-Q004-C02</x:v>
      </x:c>
      <x:c r="B40" s="64" t="str">
        <x:v>V6-E-002594-C02</x:v>
      </x:c>
      <x:c r="C40" s="64" t="str">
        <x:v>V6-Q004</x:v>
      </x:c>
      <x:c r="D40" s="40" t="str">
        <x:v>比亚迪</x:v>
      </x:c>
      <x:c r="E40" s="64" t="str">
        <x:v>002594</x:v>
      </x:c>
      <x:c r="F40" s="87" t="n">
        <x:v>46260.75</x:v>
      </x:c>
      <x:c r="G40" s="51" t="str">
        <x:v>海外产能爬坡期的折旧与费用是否会拖累境外业务利润率</x:v>
      </x:c>
      <x:c r="H40" s="64" t="str">
        <x:v>DOC-EVT-002594-00165</x:v>
      </x:c>
      <x:c r="I40" s="51" t="str">
        <x:v>关于开展外汇衍生品套期保值交易业务的公告</x:v>
      </x:c>
      <x:c r="J40" s="87" t="n">
        <x:v>45682</x:v>
      </x:c>
      <x:c r="K40" s="73" t="str">
        <x:v>http://static.cninfo.com.cn/finalpage/2025-01-25/1222430444.PDF</x:v>
      </x:c>
      <x:c r="L40" s="40" t="str">
        <x:v>第1页</x:v>
      </x:c>
      <x:c r="M40" s="51" t="str">
        <x:v>1 证券代码：002594 证券简称：比亚迪 公告编号：2025-003 比亚迪股份有限公司 关于开展外汇衍生品套期保值交易业务的公告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品交易业务额度为等值50亿美元， 额度使用期限自该事项获第八届董事会第十三 次会议审议通过之日起12个月内（以下简称“期限内” ） 。上述额度在期限内可循 环滚动使用，但期限内任一时点的投资余额不超过等值50亿美元；所涉及的外汇 衍生品仅占用公司及控股子公司在合作金融机构的授信额度， 不需要缴纳保证金， 在授权期限内任一时点预计占用的授信额度不超过等值2.5亿美元。 3、风险提示：本交易无本金或收益保证，在交易过程中存在市场风险、流 动性风险、履约风险等，敬请投资者注意投资风险。 一、外汇衍生品交易业务情况概述 1、交易目的：海外业务不断拓展，全球产业布局的稳步推进，外汇收支规 模呈现出不断增长的态势。在此过程中，收支结算所涉及的币别增多，外币收支 期限较难契合，双重因素引起外汇风险敞口不断扩大。加之国际政治、经济形势 复杂多变，汇率与利率的波动幅度愈发加大，进一步使得公司面临的外汇风险显 著增加。为规避汇率大幅波动对公司造成…</x:v>
      </x:c>
      <x:c r="N40" s="41" t="str">
        <x:v>2-间接相关</x:v>
      </x:c>
      <x:c r="O40" s="41" t="str">
        <x:v>是</x:v>
      </x:c>
      <x:c r="P40" s="57" t="str">
        <x:v>公告披露海外布局推进、外币收支增长及50亿美元套保额度；该事实可通过海外经营规模与新增成本向境外利润率传导，间接验证海外新增产能的折旧费用及境外业务利润率，关系清晰且可复核。</x:v>
      </x:c>
      <x:c r="Q40" s="41" t="str">
        <x:v>B-CODEX-FIN-01</x:v>
      </x:c>
      <x:c r="R40" s="80" t="inlineStr">
        <x:is>
          <x:t>2026-08-30T13:30:00+08:00</x:t>
        </x:is>
      </x:c>
    </x:row>
    <x:row r="41" ht="72" customHeight="1">
      <x:c r="A41" s="64" t="str">
        <x:v>V6-R-Q004-C08</x:v>
      </x:c>
      <x:c r="B41" s="64" t="str">
        <x:v>V6-E-002594-C08</x:v>
      </x:c>
      <x:c r="C41" s="64" t="str">
        <x:v>V6-Q004</x:v>
      </x:c>
      <x:c r="D41" s="40" t="str">
        <x:v>比亚迪</x:v>
      </x:c>
      <x:c r="E41" s="64" t="str">
        <x:v>002594</x:v>
      </x:c>
      <x:c r="F41" s="87" t="n">
        <x:v>46260.75</x:v>
      </x:c>
      <x:c r="G41" s="51" t="str">
        <x:v>海外产能爬坡期的折旧与费用是否会拖累境外业务利润率</x:v>
      </x:c>
      <x:c r="H41" s="64" t="str">
        <x:v>DOC-EVT-002594-00215</x:v>
      </x:c>
      <x:c r="I41" s="51" t="str">
        <x:v>2024年年度报告</x:v>
      </x:c>
      <x:c r="J41" s="87" t="n">
        <x:v>45741</x:v>
      </x:c>
      <x:c r="K41" s="73" t="str">
        <x:v>http://static.cninfo.com.cn/finalpage/2025-03-25/1222881496.PDF</x:v>
      </x:c>
      <x:c r="L41" s="40" t="str">
        <x:v>第21页</x:v>
      </x:c>
      <x:c r="M41" s="51" t="str">
        <x:v>比亚迪股份有限公司 2024 年年度报告全文 21 海外市场拓展蹄疾步稳，加速乘用车业务全球化布局 本集团紧抓历史性发展机遇，加速乘用车业务全球化布局，海外乘用车销量继续保持强劲增长。期内，本集团不断丰 富车型矩阵，多品牌车型纷纷在国际亮相与上市，纯电动、插电式混动共同发力，深受全球消费者青睐，跻身多国新能源 汽车热销前列。截至二零二四年年底，本集团新能源汽车已进入全球6大洲、100多个国家和地区。 本集团秉承合作共赢的理念，携手众多全球优质经销商，为当地消费者提供优质的新能源汽车产品及服务，推动全球 汽车电动化转型。此外，本集团着力于品牌建设与宣传，成为“ 2024欧洲杯”、“2024美洲杯”拉美区域及“2025欧洲U- 21足球锦标赛”官方合作伙伴，通过多种活动方式推广绿色出行理念。本集团亦积极搭建出海船队，两艘汽车运输滚装船 “EXPLORER NO.1 ”、“BYD CHANGZHOU ”分别于一月和十一月顺利启航，进一步增强在国际航运市场的竞争力，助力本集 团海外市场拓展。 随着乘用车业务全球化加速布局，本集团积极推进本地化生产进程。六月，本集团乌兹别克斯坦工厂首批量产新能源 车型正式下线；七月，本集团泰国工厂正式竣工投产，结合本地一流的汽车制造能力与本集团领先的新能源技术，助力当 地汽车产业链转型升级。此外，本集团亦积极推进更多海外产能的布局及建设，为海外需求的爆发做好充足准备。 凭借核心零部件优势，持续发力新能源相关领域 新能源商用车领域，本集团通过灵活战略持…</x:v>
      </x:c>
      <x:c r="N41" s="41" t="str">
        <x:v>1-弱相关</x:v>
      </x:c>
      <x:c r="O41" s="41" t="str">
        <x:v>否</x:v>
      </x:c>
      <x:c r="P41" s="57" t="str">
        <x:v>年报披露汽车、二次充电电池和光伏等主要业务构成；虽与海外扩张和境外盈利主题相近，但未提供海外新增产能的折旧费用及境外业务利润率，不足以建立可靠传导链。</x:v>
      </x:c>
      <x:c r="Q41" s="41" t="str">
        <x:v>B-CODEX-FIN-01</x:v>
      </x:c>
      <x:c r="R41" s="80" t="inlineStr">
        <x:is>
          <x:t>2026-08-30T13:30:00+08:00</x:t>
        </x:is>
      </x:c>
    </x:row>
    <x:row r="42" ht="72" customHeight="1">
      <x:c r="A42" s="64" t="str">
        <x:v>V6-R-Q005-C07</x:v>
      </x:c>
      <x:c r="B42" s="64" t="str">
        <x:v>V6-E-00175-C07</x:v>
      </x:c>
      <x:c r="C42" s="64" t="str">
        <x:v>V6-Q005</x:v>
      </x:c>
      <x:c r="D42" s="40" t="str">
        <x:v>吉利汽车</x:v>
      </x:c>
      <x:c r="E42" s="64" t="str">
        <x:v>00175</x:v>
      </x:c>
      <x:c r="F42" s="87" t="n">
        <x:v>46260.75</x:v>
      </x:c>
      <x:c r="G42" s="51" t="str">
        <x:v>出口区域与海外产能扩张能否改善规模效应和盈利结构</x:v>
      </x:c>
      <x:c r="H42" s="64" t="str">
        <x:v>DOC-EVT-00175-00286</x:v>
      </x:c>
      <x:c r="I42" s="51" t="str">
        <x:v>海外监管公布上市附属公司－ZEEKR INTELLIGENT TECHNOLOGY HOLDING LIMITED二零二五年第三季度未经审核财务业绩公布</x:v>
      </x:c>
      <x:c r="J42" s="87" t="n">
        <x:v>45978.807025462964</x:v>
      </x:c>
      <x:c r="K42" s="73" t="str">
        <x:v>http://static.cninfo.com.cn/finalpage/2025-11-17/1224811004.PDF</x:v>
      </x:c>
      <x:c r="L42" s="40" t="str">
        <x:v>第1页</x:v>
      </x:c>
      <x:c r="M42"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上市附屬公司－ZEEKR INTELLIGENT TECHNOLOGY HOLDING LIMITED 二零二五年第三季度未經審核財務業績公佈 本公佈由吉利汽車控股有限公司 （ 「本公司」 ） 根據香港聯合交易所有限公司證券上市規則 第13.10B條而作出。 ZEEKR Intelligent Technology Holding Limited （ 「極氪」 ） 為本公司之非全資附屬公司，其 股份以美國存託股票形式於美國紐約證券交易所上市，已於二零二五年十一月十七日向 美國證券交易委員會遞交表格6-K，內容有關極氪截至二零二五年第三季度之未經審核財 務業績 （ 「二零二五年第三季度業績」 ） 。詳情請參閱隨附之二零二五年第三季度業績。 本公佈以英文發佈，並備有中文譯本。如中英文版本內容有任何歧義或不一致，概以英 文版本為準。 承董事會命 吉利汽車控股有限公司 公司秘書 張頌仁 香港，二零二五年十一月十七日 於本公佈日期，本公司執行董事為李書福先生 （主席） 、李東輝先生 （副主席） 、桂生悅先 生 （行政總裁） 、淦家閱先生及毛鑒明先生；而本公司獨立非執行董事為高劼…</x:v>
      </x:c>
      <x:c r="N42" s="41" t="str">
        <x:v>1-弱相关</x:v>
      </x:c>
      <x:c r="O42" s="41" t="str">
        <x:v>否</x:v>
      </x:c>
      <x:c r="P42" s="57" t="str">
        <x:v>公告说明极氪发布季度未经审核财务业绩，但摘录未列核心经营指标；虽与海外扩张与盈利结构主题相近，但未提供出口区域、海外产能及其规模效应和利润贡献，不足以建立可靠传导链。</x:v>
      </x:c>
      <x:c r="Q42" s="41" t="str">
        <x:v>B-CODEX-FIN-01</x:v>
      </x:c>
      <x:c r="R42" s="80" t="inlineStr">
        <x:is>
          <x:t>2026-08-30T13:30:00+08:00</x:t>
        </x:is>
      </x:c>
    </x:row>
    <x:row r="43" ht="72" customHeight="1">
      <x:c r="A43" s="64" t="str">
        <x:v>V6-R-Q005-C04</x:v>
      </x:c>
      <x:c r="B43" s="64" t="str">
        <x:v>V6-E-00175-C04</x:v>
      </x:c>
      <x:c r="C43" s="64" t="str">
        <x:v>V6-Q005</x:v>
      </x:c>
      <x:c r="D43" s="40" t="str">
        <x:v>吉利汽车</x:v>
      </x:c>
      <x:c r="E43" s="64" t="str">
        <x:v>00175</x:v>
      </x:c>
      <x:c r="F43" s="87" t="n">
        <x:v>46260.75</x:v>
      </x:c>
      <x:c r="G43" s="51" t="str">
        <x:v>出口区域与海外产能扩张能否改善规模效应和盈利结构</x:v>
      </x:c>
      <x:c r="H43" s="64" t="str">
        <x:v>DOC-EVT-00175-00184</x:v>
      </x:c>
      <x:c r="I43" s="51" t="str">
        <x:v>内幕消息有关本集团对极氪私有化建议之非约束性报价函</x:v>
      </x:c>
      <x:c r="J43" s="87" t="n">
        <x:v>45784.69184027778</x:v>
      </x:c>
      <x:c r="K43" s="73" t="str">
        <x:v>http://static.cninfo.com.cn/finalpage/2025-05-07/1223488572.PDF</x:v>
      </x:c>
      <x:c r="L43" s="40" t="str">
        <x:v>第1页</x:v>
      </x:c>
      <x:c r="M43"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內幕消息 有關本集團對極氪私有化建議之非約束性報價函 本公佈乃由本公司根據上市規則第13.09條及證券及期貨條例 （香港法例第571章） 第XIVA 部的內幕消息條文 （定義見上市規則） 而作出。 非約束性報價函 為了推動內部資源深度整合和高效協同，杜絕重複投入，降低成本，提升企業競爭力， 打造長期價值，本公司於二零二五年五月七日向極氪提交了非約束性報價函，據此，本 公司初步表明其有意進行私有化建議，收購所有已發行及發行在外的極氪股份及美國存 託股票 （本集團實益擁有者除外） ，惟須經進一步磋商及簽訂最終協議方可作實。 非約束性報價函的主要條款如下： 指涉事項及購買價 本公司建議以每股極氪股份2.566美元或每股美國存託股票25.66美元作為對極氪的估值。 每名極氪股東及美國存託股票持有人可 （就其持有的全部極氪股份及╱或美國存託股票）…</x:v>
      </x:c>
      <x:c r="N43" s="41" t="str">
        <x:v>1-弱相关</x:v>
      </x:c>
      <x:c r="O43" s="41" t="str">
        <x:v>否</x:v>
      </x:c>
      <x:c r="P43" s="57" t="str">
        <x:v>私有化建议明确以资源深度整合、减少重复投入和降低成本为目标；虽与海外扩张与盈利结构主题相近，但未提供出口区域、海外产能及其规模效应和利润贡献，不足以建立可靠传导链。</x:v>
      </x:c>
      <x:c r="Q43" s="41" t="str">
        <x:v>B-CODEX-FIN-01</x:v>
      </x:c>
      <x:c r="R43" s="80" t="inlineStr">
        <x:is>
          <x:t>2026-08-30T13:30:00+08:00</x:t>
        </x:is>
      </x:c>
    </x:row>
    <x:row r="44" ht="72" customHeight="1">
      <x:c r="A44" s="64" t="str">
        <x:v>V6-R-Q005-C06</x:v>
      </x:c>
      <x:c r="B44" s="64" t="str">
        <x:v>V6-E-00175-C06</x:v>
      </x:c>
      <x:c r="C44" s="64" t="str">
        <x:v>V6-Q005</x:v>
      </x:c>
      <x:c r="D44" s="40" t="str">
        <x:v>吉利汽车</x:v>
      </x:c>
      <x:c r="E44" s="64" t="str">
        <x:v>00175</x:v>
      </x:c>
      <x:c r="F44" s="87" t="n">
        <x:v>46260.75</x:v>
      </x:c>
      <x:c r="G44" s="51" t="str">
        <x:v>出口区域与海外产能扩张能否改善规模效应和盈利结构</x:v>
      </x:c>
      <x:c r="H44" s="64" t="str">
        <x:v>DOC-EVT-00175-00284</x:v>
      </x:c>
      <x:c r="I44" s="51" t="str">
        <x:v>未经审核之二零二五年十月销量</x:v>
      </x:c>
      <x:c r="J44" s="87" t="n">
        <x:v>45963.75568287037</x:v>
      </x:c>
      <x:c r="K44" s="73" t="str">
        <x:v>http://static.cninfo.com.cn/finalpage/2025-11-02/1224781929.PDF</x:v>
      </x:c>
      <x:c r="L44" s="40" t="str">
        <x:v>第1页</x:v>
      </x:c>
      <x:c r="M4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二零二五年 十 月 銷量 吉利汽車控股有限公司( 「 本公司 」， 連同其附屬公司統稱為 「 本集團 」 ） 董事會欣然宣佈， 本集團於二零二 五 年 十 月 的 汽車 總銷量為307,133 部， 較去年同期 增長約35 % 。詳細如下： 品牌 本月 （部） 去年同期 （部） 同比變動 (%) 今年累計 （部） 去年同期累計 （部） 同比變動 (%) 吉利 245,497 170,563 44 2,030,614 1,321,777 54 其中: 銀河 127,476 63,492 101 1,002,461 349,768 187 極氪 21,423 25,049 -14 165,023 167,922 -2 領克 40,213 31,074 29 281,685 226,677 24 合計 307,133 226,686 35 2,477,322 1,716,376 44 其中： 純電動汽車(BEVs) 98,348 78,858 25 892,072 408,192 119 插電式混動汽車 (PHEVs) 79,534 29,864 166 453,633 246,384 8…</x:v>
      </x:c>
      <x:c r="N44" s="41" t="str">
        <x:v>2-间接相关</x:v>
      </x:c>
      <x:c r="O44" s="41" t="str">
        <x:v>是</x:v>
      </x:c>
      <x:c r="P44" s="57" t="str">
        <x:v>月度公告披露各品牌及纯电、插混汽车批发销量和同比增速；该事实可通过出口放量或业务整合向规模效应和盈利结构传导，间接验证出口区域、海外产能及其规模效应和利润贡献，关系清晰且可复核。</x:v>
      </x:c>
      <x:c r="Q44" s="41" t="str">
        <x:v>B-CODEX-FIN-01</x:v>
      </x:c>
      <x:c r="R44" s="80" t="inlineStr">
        <x:is>
          <x:t>2026-08-30T13:30:00+08:00</x:t>
        </x:is>
      </x:c>
    </x:row>
    <x:row r="45" ht="72" customHeight="1">
      <x:c r="A45" s="64" t="str">
        <x:v>V6-R-Q005-C03</x:v>
      </x:c>
      <x:c r="B45" s="64" t="str">
        <x:v>V6-E-00175-C03</x:v>
      </x:c>
      <x:c r="C45" s="64" t="str">
        <x:v>V6-Q005</x:v>
      </x:c>
      <x:c r="D45" s="40" t="str">
        <x:v>吉利汽车</x:v>
      </x:c>
      <x:c r="E45" s="64" t="str">
        <x:v>00175</x:v>
      </x:c>
      <x:c r="F45" s="87" t="n">
        <x:v>46260.75</x:v>
      </x:c>
      <x:c r="G45" s="51" t="str">
        <x:v>出口区域与海外产能扩张能否改善规模效应和盈利结构</x:v>
      </x:c>
      <x:c r="H45" s="64" t="str">
        <x:v>DOC-EVT-00175-00044</x:v>
      </x:c>
      <x:c r="I45" s="51" t="str">
        <x:v>海外监管公布</x:v>
      </x:c>
      <x:c r="J45" s="87" t="n">
        <x:v>45446.741944444446</x:v>
      </x:c>
      <x:c r="K45" s="73" t="str">
        <x:v>http://static.cninfo.com.cn/finalpage/2024-06-03/1220245278.PDF</x:v>
      </x:c>
      <x:c r="L45" s="40" t="str">
        <x:v>第2页</x:v>
      </x:c>
      <x:c r="M45" s="51" t="str">
        <x:v>GEELY AUTO MOBILE HOL DINGS LIMI TED 175 80175 海外監管公佈 本海外監管公佈乃根據香港聯合交易所有限公司 （ 「聯交所」 ） 證券上市規則 （ 「上市規則」 ） 第13.10B條而發出。 茲提述吉利汽車控股有限公司 （ 「本公司」 ） 日期為二零一九年十一月二十八日有關證券發 行之公佈 （ 「該公佈」 ） 。除文義另有所指外，本公佈所用詞彙與該公佈所界定者具有相同 涵義。 請參閱隨附日期為二零二四年六月三日有關證券之分派公佈 （ 「分派公佈」 ） ，該分派公佈 已於二零二四年六月三日於新加坡證券交易所有限公司之網站發佈。 在聯交所網站刊登分派公佈僅旨在向香港投資者同步發佈資訊及遵守上市規則第13.10B 條，並無任何其他目的。 分派公佈並不構成於任何司法權區向公眾人士提呈出售任何證券之招股章程、通告、通 函、小冊子或廣告，或作為向公眾人士提呈以供認購或購買任何證券之邀請，亦不得視 作公眾人士提呈認購或購買任何證券之邀請。 分派公佈不得被視作誘使認購或購買本公司任何證券，亦不擬構成該等勸誘。不應根據 分派公佈所載資料作出任何投資決定。 承董事會命 吉利汽車控股有限公司 公司秘書 張頌仁 香港，二零二四年六月三日 - 2 -</x:v>
      </x:c>
      <x:c r="N45" s="41" t="str">
        <x:v>0-无关</x:v>
      </x:c>
      <x:c r="O45" s="41" t="str">
        <x:v>否</x:v>
      </x:c>
      <x:c r="P45" s="57" t="str">
        <x:v>公告仅同步证券分派文件，不含汽车经营信息；内容与海外扩张与盈利结构缺少业务传导，未提供出口区域、海外产能及其规模效应和利润贡献，不能支持当前判断。</x:v>
      </x:c>
      <x:c r="Q45" s="41" t="str">
        <x:v>B-CODEX-FIN-01</x:v>
      </x:c>
      <x:c r="R45" s="80" t="inlineStr">
        <x:is>
          <x:t>2026-08-30T13:30:00+08:00</x:t>
        </x:is>
      </x:c>
    </x:row>
    <x:row r="46" ht="72" customHeight="1">
      <x:c r="A46" s="64" t="str">
        <x:v>V6-R-Q005-C10</x:v>
      </x:c>
      <x:c r="B46" s="64" t="str">
        <x:v>V6-E-00175-C10</x:v>
      </x:c>
      <x:c r="C46" s="64" t="str">
        <x:v>V6-Q005</x:v>
      </x:c>
      <x:c r="D46" s="40" t="str">
        <x:v>吉利汽车</x:v>
      </x:c>
      <x:c r="E46" s="64" t="str">
        <x:v>00175</x:v>
      </x:c>
      <x:c r="F46" s="87" t="n">
        <x:v>46260.75</x:v>
      </x:c>
      <x:c r="G46" s="51" t="str">
        <x:v>出口区域与海外产能扩张能否改善规模效应和盈利结构</x:v>
      </x:c>
      <x:c r="H46" s="64" t="str">
        <x:v>DOC-EVT-00175-00448</x:v>
      </x:c>
      <x:c r="I46" s="51" t="str">
        <x:v>翌日披露报表</x:v>
      </x:c>
      <x:c r="J46" s="87" t="n">
        <x:v>46218.691770833335</x:v>
      </x:c>
      <x:c r="K46" s="73" t="str">
        <x:v>http://static.cninfo.com.cn/finalpage/2026-07-15/1225425783.PDF</x:v>
      </x:c>
      <x:c r="L46" s="40" t="str">
        <x:v>第1页</x:v>
      </x:c>
      <x:c r="M46" s="51" t="str">
        <x:v>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N46" s="41" t="str">
        <x:v>0-无关</x:v>
      </x:c>
      <x:c r="O46" s="41" t="str">
        <x:v>否</x:v>
      </x:c>
      <x:c r="P46" s="57" t="str">
        <x:v>翌日披露报表主要为股本变动及证券程序数据；内容与海外扩张与盈利结构缺少业务传导，未提供出口区域、海外产能及其规模效应和利润贡献，不能支持当前判断。</x:v>
      </x:c>
      <x:c r="Q46" s="41" t="str">
        <x:v>B-CODEX-FIN-01</x:v>
      </x:c>
      <x:c r="R46" s="80" t="inlineStr">
        <x:is>
          <x:t>2026-08-30T13:30:00+08:00</x:t>
        </x:is>
      </x:c>
    </x:row>
    <x:row r="47" ht="72" customHeight="1">
      <x:c r="A47" s="64" t="str">
        <x:v>V6-R-Q005-C08</x:v>
      </x:c>
      <x:c r="B47" s="64" t="str">
        <x:v>V6-E-00175-C08</x:v>
      </x:c>
      <x:c r="C47" s="64" t="str">
        <x:v>V6-Q005</x:v>
      </x:c>
      <x:c r="D47" s="40" t="str">
        <x:v>吉利汽车</x:v>
      </x:c>
      <x:c r="E47" s="64" t="str">
        <x:v>00175</x:v>
      </x:c>
      <x:c r="F47" s="87" t="n">
        <x:v>46260.75</x:v>
      </x:c>
      <x:c r="G47" s="51" t="str">
        <x:v>出口区域与海外产能扩张能否改善规模效应和盈利结构</x:v>
      </x:c>
      <x:c r="H47" s="64" t="str">
        <x:v>DOC-EVT-00175-00285</x:v>
      </x:c>
      <x:c r="I47" s="51" t="str">
        <x:v>截至二零二五年九月三十日止九个月之第三季度业绩公布</x:v>
      </x:c>
      <x:c r="J47" s="87" t="n">
        <x:v>45978.502858796295</x:v>
      </x:c>
      <x:c r="K47" s="73" t="str">
        <x:v>http://static.cninfo.com.cn/finalpage/2025-11-17/1224808624.PDF</x:v>
      </x:c>
      <x:c r="L47" s="40" t="str">
        <x:v>第1页</x:v>
      </x:c>
      <x:c r="M47" s="51" t="str">
        <x:v>- 1 - பd࿁Չ Ͼପ͛ ዄ΂Оப΂f 吉利汽車控股有限公司 GEELY AUTOMOBILE HOLDINGS LIMITED ʮ̡ ΅˾໮j175ಥ࿆ᓞ̨ ʿ80175ɛ͏࿆ᓞ̨ 截至二零二五年九月三十日止九個月之 第三季度業績公佈 ʮ̡  本公司໨ ԫ ึ董事會᙮ʮ̡  本 集團ၝΥุᐶdஹΝɚཧɚ̬ϋ d  ᄲቡf 一、 主要財務數據和指標 ఊЗjɛ͏࿆  人民幣ϵ ຬ ʩ 財務摘要 截至九月三十日止三個月 Νˢ 同比 ᜊਗ(%) 截至九月三十日止九個月 Νˢ ᜊਗ(%) 二零二五年 （未經審核） ɚཧɚ̬ϋ ࣨ ΐ 二零二五年 （未經審核） ɚཧɚ̬ϋ ࣨ ΐ ቖඎ ຬሿ 76.10 53.40 43 217.02 148.97 46 ϗɝ 89,192 70,486 27 239,477 189,534 26 ๐л 3,820 2,398 59 13,110 13,213 (1) 財務摘要 於二零二五年 九月三十日 （未經審核） ɚཧɚ̬ϋ ɤɚ˜ɧɤɓ˚ ΐ ᜊਗ(%) ᐼ༟ପ 274,436 271,074 1 ͎ʮ̡ኹϞɛᏐЦᛆू 93,516 86,538 8</x:v>
      </x:c>
      <x:c r="N47" s="41" t="str">
        <x:v>2-间接相关</x:v>
      </x:c>
      <x:c r="O47" s="41" t="str">
        <x:v>是</x:v>
      </x:c>
      <x:c r="P47" s="57" t="str">
        <x:v>季度业绩披露销量、收入和利润同比变化，可观察经营规模与盈利；该事实可通过出口放量或业务整合向规模效应和盈利结构传导，间接验证出口区域、海外产能及其规模效应和利润贡献，关系清晰且可复核。</x:v>
      </x:c>
      <x:c r="Q47" s="41" t="str">
        <x:v>B-CODEX-FIN-01</x:v>
      </x:c>
      <x:c r="R47" s="80" t="inlineStr">
        <x:is>
          <x:t>2026-08-30T13:30:00+08:00</x:t>
        </x:is>
      </x:c>
    </x:row>
    <x:row r="48" ht="72" customHeight="1">
      <x:c r="A48" s="64" t="str">
        <x:v>V6-R-Q005-C01</x:v>
      </x:c>
      <x:c r="B48" s="64" t="str">
        <x:v>V6-E-00175-C01</x:v>
      </x:c>
      <x:c r="C48" s="64" t="str">
        <x:v>V6-Q005</x:v>
      </x:c>
      <x:c r="D48" s="40" t="str">
        <x:v>吉利汽车</x:v>
      </x:c>
      <x:c r="E48" s="64" t="str">
        <x:v>00175</x:v>
      </x:c>
      <x:c r="F48" s="87" t="n">
        <x:v>46260.75</x:v>
      </x:c>
      <x:c r="G48" s="51" t="str">
        <x:v>出口区域与海外产能扩张能否改善规模效应和盈利结构</x:v>
      </x:c>
      <x:c r="H48" s="64" t="str">
        <x:v>DOC-EVT-00175-00384</x:v>
      </x:c>
      <x:c r="I48" s="51" t="str">
        <x:v>未经审核之二零二六年三月销量</x:v>
      </x:c>
      <x:c r="J48" s="87" t="n">
        <x:v>46113.76541666667</x:v>
      </x:c>
      <x:c r="K48" s="73" t="str">
        <x:v>http://static.cninfo.com.cn/finalpage/2026-04-01/1225072095.PDF</x:v>
      </x:c>
      <x:c r="L48" s="40" t="str">
        <x:v>第1页</x:v>
      </x:c>
      <x:c r="M48"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三 月 銷量 吉利汽車控股有限公司( 「 本公司 」， 連同其附屬公司統稱為 「 本集團 」 ） 董事會欣然宣佈， 本集團於二零二 六 年 三 月 的 汽車 總銷量為233,031 部，與 去年同期 持平 。 詳細如下： 品牌 本月 （部） 去年同期 （部） 同比變動 (%) 今年累計 （部） 去年同期累計 （部） 同比變動 (%) 吉利 178,287 191,462 -7 550,659 589,813 -7 其中: 銀河 82,744 90,032 -8 238,859 259,709 -8 領克 25,426 25,293 1 81,662 72,608 12 極氪 29,318 15,422 90 77,037 41,403 86 合計 233,031 232,177 0 709,358 703,824 1 其中： 純電動汽車(BEVs) 70,557 86,329 -18 206,401 238,524 -13 插電式混動汽車 (PHEVs) 56,762 33,367 70 162,658 100,676 62 其中： 出口 注1 81,639 37,0…</x:v>
      </x:c>
      <x:c r="N48" s="41" t="str">
        <x:v>3-直接相关</x:v>
      </x:c>
      <x:c r="O48" s="41" t="str">
        <x:v>是</x:v>
      </x:c>
      <x:c r="P48" s="57" t="str">
        <x:v>月度销量公告同时披露品牌、动力类型及出口销量变化；证据直接披露或决定出口区域、海外产能及其规模效应和利润贡献，可直接用于回答当前查询。</x:v>
      </x:c>
      <x:c r="Q48" s="41" t="str">
        <x:v>B-CODEX-FIN-01</x:v>
      </x:c>
      <x:c r="R48" s="80" t="inlineStr">
        <x:is>
          <x:t>2026-08-30T13:30:00+08:00</x:t>
        </x:is>
      </x:c>
    </x:row>
    <x:row r="49" ht="72" customHeight="1">
      <x:c r="A49" s="64" t="str">
        <x:v>V6-R-Q005-C05</x:v>
      </x:c>
      <x:c r="B49" s="64" t="str">
        <x:v>V6-E-00175-C05</x:v>
      </x:c>
      <x:c r="C49" s="64" t="str">
        <x:v>V6-Q005</x:v>
      </x:c>
      <x:c r="D49" s="40" t="str">
        <x:v>吉利汽车</x:v>
      </x:c>
      <x:c r="E49" s="64" t="str">
        <x:v>00175</x:v>
      </x:c>
      <x:c r="F49" s="87" t="n">
        <x:v>46260.75</x:v>
      </x:c>
      <x:c r="G49" s="51" t="str">
        <x:v>出口区域与海外产能扩张能否改善规模效应和盈利结构</x:v>
      </x:c>
      <x:c r="H49" s="64" t="str">
        <x:v>DOC-EVT-00175-00317</x:v>
      </x:c>
      <x:c r="I49" s="51" t="str">
        <x:v>海外监管公布终止向美国证券交易委员会履行美国申报义务</x:v>
      </x:c>
      <x:c r="J49" s="87" t="n">
        <x:v>46013.92949074074</x:v>
      </x:c>
      <x:c r="K49" s="73" t="str">
        <x:v>http://static.cninfo.com.cn/finalpage/2025-12-22/1224892691.PDF</x:v>
      </x:c>
      <x:c r="L49" s="40" t="str">
        <x:v>第1页</x:v>
      </x:c>
      <x:c r="M49"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終止向美國證券交易委員會 履行美國申報義務 本公佈由吉利汽車控股有限公司 （ 「本公司」 ） 根據香港聯合交易所有限公司證券上市規則 第13.10B條而作出。 茲提述本公司日期為二零二五年五月七日、二零二五年七月十五日、二零二五年九月五 日、二零二五年九月十五日、二零二五年十二月九日及二零二五年十二月二十二日之公 佈 （統稱為 「該等公佈」 ） 、本公司日期為二零二五年八月十八日之通函 （ 「該通函」 ） ，及本 公司日期為二零二五年十一月二十一日有關合併協議項下擬進行交易 （包括私有化及合併 事項） 之海外監管公佈。 本公司欣然宣佈，根據先前於二零二五年七月十五日公佈的合併協議，極氪與合併附屬 公司 （本公司間接全資附屬公司） 的合併已完成。由於合併，極氪現已成為一家私人持有 公司，並且是本公司全資附屬公司。 於合併事項完成後，根據美國 《一九三四年證券交易法》 （經修訂） （ 「交易法」 ） 第12g-3條， 本公司已承繼極氪於交易法項下之第12條註冊義務及第13(a)條申報義務。 然而，本公司已向美國證券交易委員會遞交表格15F，根據交易法第12(g)條自願終止…</x:v>
      </x:c>
      <x:c r="N49" s="41" t="str">
        <x:v>1-弱相关</x:v>
      </x:c>
      <x:c r="O49" s="41" t="str">
        <x:v>否</x:v>
      </x:c>
      <x:c r="P49" s="57" t="str">
        <x:v>公告披露极氪私有化合并完成并成为全资附属公司；虽与海外扩张与盈利结构主题相近，但未提供出口区域、海外产能及其规模效应和利润贡献，不足以建立可靠传导链。</x:v>
      </x:c>
      <x:c r="Q49" s="41" t="str">
        <x:v>B-CODEX-FIN-01</x:v>
      </x:c>
      <x:c r="R49" s="80" t="inlineStr">
        <x:is>
          <x:t>2026-08-30T13:30:00+08:00</x:t>
        </x:is>
      </x:c>
    </x:row>
    <x:row r="50" ht="72" customHeight="1">
      <x:c r="A50" s="64" t="str">
        <x:v>V6-R-Q005-C09</x:v>
      </x:c>
      <x:c r="B50" s="64" t="str">
        <x:v>V6-E-00175-C09</x:v>
      </x:c>
      <x:c r="C50" s="64" t="str">
        <x:v>V6-Q005</x:v>
      </x:c>
      <x:c r="D50" s="40" t="str">
        <x:v>吉利汽车</x:v>
      </x:c>
      <x:c r="E50" s="64" t="str">
        <x:v>00175</x:v>
      </x:c>
      <x:c r="F50" s="87" t="n">
        <x:v>46260.75</x:v>
      </x:c>
      <x:c r="G50" s="51" t="str">
        <x:v>出口区域与海外产能扩张能否改善规模效应和盈利结构</x:v>
      </x:c>
      <x:c r="H50" s="64" t="str">
        <x:v>DOC-EVT-00175-00004</x:v>
      </x:c>
      <x:c r="I50" s="51" t="str">
        <x:v>致登记股东之函件及回条 - 以电子方式发布公司通讯之安排</x:v>
      </x:c>
      <x:c r="J50" s="87" t="n">
        <x:v>45320.691979166666</x:v>
      </x:c>
      <x:c r="K50" s="73" t="str">
        <x:v>http://static.cninfo.com.cn/finalpage/2024-01-29/1219026576.PDF</x:v>
      </x:c>
      <x:c r="L50" s="40" t="str">
        <x:v>第1页</x:v>
      </x:c>
      <x:c r="M50" s="51" t="str">
        <x:v>(於開曼群島註冊成立之有限公司) (股份代號： 175 (港幣櫃台) 及 80175 (人民幣櫃台)) 各位股東： 以電子方式傳送公司通訊 根據香港聯合交易所有限公司證券上市規則第 2.07A 條，吉利汽車控股有限公司（「本公司」）將以電子方 式向其證券持有人 傳送已公布或將公布之公司通訊，供證券持有人參考或採取行動， 公司通訊文件包括但 不限於：(a)董事會報告、年度財務報表連同核數師報告及如適用，財務摘要報告； (b)中期報告及如適用， 中期摘要報告；(c)會議通告；(d)上市文件；(e)通函；及(f)委任代表表格（「公司通訊」），而 閣下可選擇： (1) 收取電郵通知以接收有關公司通訊 已在本公司網站 (http://www.geelyauto.com.hk ) 及香港聯合交易所有 限公司網站 (http://www.hkexnews.hk ) （以下統稱「相關網站」）發布的通知（「電郵選項」）；或 (2) 收取通知信函印刷本以接收有關公司通訊已在相關網站發布的通知。 本公司作出有關安排是為了提高效率及成本效益和保護環境，因此建議 閣下選擇電郵選項並向本公司提供有 效的電郵地址。 在行使上述選擇權時，請 閣下於隨本信函附上的回條上適當的空格內劃上「 」號，並在回條上填寫所需資 料及簽名，然後把回條寄回或親身交回本公司之香港股份過戶登記處聯合證券登記有限公司（「香港股份過 戶登記處」）（地址為香港北角英皇道338號華懋交易廣場2期33樓3301-04室）。倘若 閣下在…</x:v>
      </x:c>
      <x:c r="N50" s="41" t="str">
        <x:v>0-无关</x:v>
      </x:c>
      <x:c r="O50" s="41" t="str">
        <x:v>否</x:v>
      </x:c>
      <x:c r="P50" s="57" t="str">
        <x:v>函件仅说明公司通讯电子化安排；内容与海外扩张与盈利结构缺少业务传导，未提供出口区域、海外产能及其规模效应和利润贡献，不能支持当前判断。</x:v>
      </x:c>
      <x:c r="Q50" s="41" t="str">
        <x:v>B-CODEX-FIN-01</x:v>
      </x:c>
      <x:c r="R50" s="80" t="inlineStr">
        <x:is>
          <x:t>2026-08-30T13:30:00+08:00</x:t>
        </x:is>
      </x:c>
    </x:row>
    <x:row r="51" ht="72" customHeight="1">
      <x:c r="A51" s="64" t="str">
        <x:v>V6-R-Q005-C02</x:v>
      </x:c>
      <x:c r="B51" s="64" t="str">
        <x:v>V6-E-00175-C02</x:v>
      </x:c>
      <x:c r="C51" s="64" t="str">
        <x:v>V6-Q005</x:v>
      </x:c>
      <x:c r="D51" s="40" t="str">
        <x:v>吉利汽车</x:v>
      </x:c>
      <x:c r="E51" s="64" t="str">
        <x:v>00175</x:v>
      </x:c>
      <x:c r="F51" s="87" t="n">
        <x:v>46260.75</x:v>
      </x:c>
      <x:c r="G51" s="51" t="str">
        <x:v>出口区域与海外产能扩张能否改善规模效应和盈利结构</x:v>
      </x:c>
      <x:c r="H51" s="64" t="str">
        <x:v>DOC-EVT-00175-00393</x:v>
      </x:c>
      <x:c r="I51" s="51" t="str">
        <x:v>致登记股东之通知信函及回条 - 公司通讯之发布通知</x:v>
      </x:c>
      <x:c r="J51" s="87" t="n">
        <x:v>46139.7515625</x:v>
      </x:c>
      <x:c r="K51" s="73" t="str">
        <x:v>http://static.cninfo.com.cn/finalpage/2026-04-27/1225204505.PDF</x:v>
      </x:c>
      <x:c r="L51" s="40" t="str">
        <x:v>第1页</x:v>
      </x:c>
      <x:c r="M51" s="51" t="str">
        <x:v>not limited to (a) the directors’ report, its annual accounts together with a copy of the auditors’ report and, where applicable, its summary financial report; (b) the interim report and, where applicable, its summary interim report; (c) a notice of meeting; (d) a listing document; (e) a circular; and (f) a proxy form. 各位股東： 吉利汽車控股有限公司(「本公司」)下述文件已以中、英文版本編制及於本公司網站 (http://www.geelyauto.com.hk ) 及香港聯合交易所有限公司 網站 (http://www.hkexnews.hk ) （統稱「相關網站」）刊載:- • 2025 年年報 • 日期為2026 年4 月28 日的通函及將於2026 年 6 月 1 日舉行之股東週年大會通告 • 股東週年大會之代表委任表格 如 閣下並未提供電郵地址或電郵地址無效，並現在希望日後收取有關公司通訊 （附註） 於相關網站發佈的電郵通知，以代替 通知信函印刷本， 請 閣下填妥本函背面的回條及簽名，然後把回條電郵至 175-corpcomm@unionregis…</x:v>
      </x:c>
      <x:c r="N51" s="41" t="str">
        <x:v>0-无关</x:v>
      </x:c>
      <x:c r="O51" s="41" t="str">
        <x:v>否</x:v>
      </x:c>
      <x:c r="P51" s="57" t="str">
        <x:v>通知仅告知年报、通函和股东会文件的发布方式；内容与海外扩张与盈利结构缺少业务传导，未提供出口区域、海外产能及其规模效应和利润贡献，不能支持当前判断。</x:v>
      </x:c>
      <x:c r="Q51" s="41" t="str">
        <x:v>B-CODEX-FIN-01</x:v>
      </x:c>
      <x:c r="R51" s="80" t="inlineStr">
        <x:is>
          <x:t>2026-08-30T13:30:00+08:00</x:t>
        </x:is>
      </x:c>
    </x:row>
    <x:row r="52" ht="72" customHeight="1">
      <x:c r="A52" s="64" t="str">
        <x:v>V6-R-Q006-C05</x:v>
      </x:c>
      <x:c r="B52" s="64" t="str">
        <x:v>V6-E-00175-C05</x:v>
      </x:c>
      <x:c r="C52" s="64" t="str">
        <x:v>V6-Q006</x:v>
      </x:c>
      <x:c r="D52" s="40" t="str">
        <x:v>吉利汽车</x:v>
      </x:c>
      <x:c r="E52" s="64" t="str">
        <x:v>00175</x:v>
      </x:c>
      <x:c r="F52" s="87" t="n">
        <x:v>46260.75</x:v>
      </x:c>
      <x:c r="G52" s="51" t="str">
        <x:v>新能源平台研发投入能否通过车型复用降低单位开发成本</x:v>
      </x:c>
      <x:c r="H52" s="64" t="str">
        <x:v>DOC-EVT-00175-00317</x:v>
      </x:c>
      <x:c r="I52" s="51" t="str">
        <x:v>海外监管公布终止向美国证券交易委员会履行美国申报义务</x:v>
      </x:c>
      <x:c r="J52" s="87" t="n">
        <x:v>46013.92949074074</x:v>
      </x:c>
      <x:c r="K52" s="73" t="str">
        <x:v>http://static.cninfo.com.cn/finalpage/2025-12-22/1224892691.PDF</x:v>
      </x:c>
      <x:c r="L52" s="40" t="str">
        <x:v>第1页</x:v>
      </x:c>
      <x:c r="M52"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終止向美國證券交易委員會 履行美國申報義務 本公佈由吉利汽車控股有限公司 （ 「本公司」 ） 根據香港聯合交易所有限公司證券上市規則 第13.10B條而作出。 茲提述本公司日期為二零二五年五月七日、二零二五年七月十五日、二零二五年九月五 日、二零二五年九月十五日、二零二五年十二月九日及二零二五年十二月二十二日之公 佈 （統稱為 「該等公佈」 ） 、本公司日期為二零二五年八月十八日之通函 （ 「該通函」 ） ，及本 公司日期為二零二五年十一月二十一日有關合併協議項下擬進行交易 （包括私有化及合併 事項） 之海外監管公佈。 本公司欣然宣佈，根據先前於二零二五年七月十五日公佈的合併協議，極氪與合併附屬 公司 （本公司間接全資附屬公司） 的合併已完成。由於合併，極氪現已成為一家私人持有 公司，並且是本公司全資附屬公司。 於合併事項完成後，根據美國 《一九三四年證券交易法》 （經修訂） （ 「交易法」 ） 第12g-3條， 本公司已承繼極氪於交易法項下之第12條註冊義務及第13(a)條申報義務。 然而，本公司已向美國證券交易委員會遞交表格15F，根據交易法第12(g)條自願終止…</x:v>
      </x:c>
      <x:c r="N52" s="41" t="str">
        <x:v>2-间接相关</x:v>
      </x:c>
      <x:c r="O52" s="41" t="str">
        <x:v>是</x:v>
      </x:c>
      <x:c r="P52" s="57" t="str">
        <x:v>公告披露极氪私有化合并完成并成为全资附属公司；该事实可通过资源整合或车型规模向研发复用和单位成本传导，间接验证新能源平台研发投入、车型复用程度和单位开发成本，关系清晰且可复核。</x:v>
      </x:c>
      <x:c r="Q52" s="41" t="str">
        <x:v>B-CODEX-FIN-01</x:v>
      </x:c>
      <x:c r="R52" s="80" t="inlineStr">
        <x:is>
          <x:t>2026-08-30T13:30:00+08:00</x:t>
        </x:is>
      </x:c>
    </x:row>
    <x:row r="53" ht="72" customHeight="1">
      <x:c r="A53" s="64" t="str">
        <x:v>V6-R-Q006-C09</x:v>
      </x:c>
      <x:c r="B53" s="64" t="str">
        <x:v>V6-E-00175-C09</x:v>
      </x:c>
      <x:c r="C53" s="64" t="str">
        <x:v>V6-Q006</x:v>
      </x:c>
      <x:c r="D53" s="40" t="str">
        <x:v>吉利汽车</x:v>
      </x:c>
      <x:c r="E53" s="64" t="str">
        <x:v>00175</x:v>
      </x:c>
      <x:c r="F53" s="87" t="n">
        <x:v>46260.75</x:v>
      </x:c>
      <x:c r="G53" s="51" t="str">
        <x:v>新能源平台研发投入能否通过车型复用降低单位开发成本</x:v>
      </x:c>
      <x:c r="H53" s="64" t="str">
        <x:v>DOC-EVT-00175-00004</x:v>
      </x:c>
      <x:c r="I53" s="51" t="str">
        <x:v>致登记股东之函件及回条 - 以电子方式发布公司通讯之安排</x:v>
      </x:c>
      <x:c r="J53" s="87" t="n">
        <x:v>45320.691979166666</x:v>
      </x:c>
      <x:c r="K53" s="73" t="str">
        <x:v>http://static.cninfo.com.cn/finalpage/2024-01-29/1219026576.PDF</x:v>
      </x:c>
      <x:c r="L53" s="40" t="str">
        <x:v>第1页</x:v>
      </x:c>
      <x:c r="M53" s="51" t="str">
        <x:v>(於開曼群島註冊成立之有限公司) (股份代號： 175 (港幣櫃台) 及 80175 (人民幣櫃台)) 各位股東： 以電子方式傳送公司通訊 根據香港聯合交易所有限公司證券上市規則第 2.07A 條，吉利汽車控股有限公司（「本公司」）將以電子方 式向其證券持有人 傳送已公布或將公布之公司通訊，供證券持有人參考或採取行動， 公司通訊文件包括但 不限於：(a)董事會報告、年度財務報表連同核數師報告及如適用，財務摘要報告； (b)中期報告及如適用， 中期摘要報告；(c)會議通告；(d)上市文件；(e)通函；及(f)委任代表表格（「公司通訊」），而 閣下可選擇： (1) 收取電郵通知以接收有關公司通訊 已在本公司網站 (http://www.geelyauto.com.hk ) 及香港聯合交易所有 限公司網站 (http://www.hkexnews.hk ) （以下統稱「相關網站」）發布的通知（「電郵選項」）；或 (2) 收取通知信函印刷本以接收有關公司通訊已在相關網站發布的通知。 本公司作出有關安排是為了提高效率及成本效益和保護環境，因此建議 閣下選擇電郵選項並向本公司提供有 效的電郵地址。 在行使上述選擇權時，請 閣下於隨本信函附上的回條上適當的空格內劃上「 」號，並在回條上填寫所需資 料及簽名，然後把回條寄回或親身交回本公司之香港股份過戶登記處聯合證券登記有限公司（「香港股份過 戶登記處」）（地址為香港北角英皇道338號華懋交易廣場2期33樓3301-04室）。倘若 閣下在…</x:v>
      </x:c>
      <x:c r="N53" s="41" t="str">
        <x:v>0-无关</x:v>
      </x:c>
      <x:c r="O53" s="41" t="str">
        <x:v>否</x:v>
      </x:c>
      <x:c r="P53" s="57" t="str">
        <x:v>函件仅说明公司通讯电子化安排；内容与平台研发复用和降本缺少业务传导，未提供新能源平台研发投入、车型复用程度和单位开发成本，不能支持当前判断。</x:v>
      </x:c>
      <x:c r="Q53" s="41" t="str">
        <x:v>B-CODEX-FIN-01</x:v>
      </x:c>
      <x:c r="R53" s="80" t="inlineStr">
        <x:is>
          <x:t>2026-08-30T13:30:00+08:00</x:t>
        </x:is>
      </x:c>
    </x:row>
    <x:row r="54" ht="72" customHeight="1">
      <x:c r="A54" s="64" t="str">
        <x:v>V6-R-Q006-C01</x:v>
      </x:c>
      <x:c r="B54" s="64" t="str">
        <x:v>V6-E-00175-C01</x:v>
      </x:c>
      <x:c r="C54" s="64" t="str">
        <x:v>V6-Q006</x:v>
      </x:c>
      <x:c r="D54" s="40" t="str">
        <x:v>吉利汽车</x:v>
      </x:c>
      <x:c r="E54" s="64" t="str">
        <x:v>00175</x:v>
      </x:c>
      <x:c r="F54" s="87" t="n">
        <x:v>46260.75</x:v>
      </x:c>
      <x:c r="G54" s="51" t="str">
        <x:v>新能源平台研发投入能否通过车型复用降低单位开发成本</x:v>
      </x:c>
      <x:c r="H54" s="64" t="str">
        <x:v>DOC-EVT-00175-00384</x:v>
      </x:c>
      <x:c r="I54" s="51" t="str">
        <x:v>未经审核之二零二六年三月销量</x:v>
      </x:c>
      <x:c r="J54" s="87" t="n">
        <x:v>46113.76541666667</x:v>
      </x:c>
      <x:c r="K54" s="73" t="str">
        <x:v>http://static.cninfo.com.cn/finalpage/2026-04-01/1225072095.PDF</x:v>
      </x:c>
      <x:c r="L54" s="40" t="str">
        <x:v>第1页</x:v>
      </x:c>
      <x:c r="M5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三 月 銷量 吉利汽車控股有限公司( 「 本公司 」， 連同其附屬公司統稱為 「 本集團 」 ） 董事會欣然宣佈， 本集團於二零二 六 年 三 月 的 汽車 總銷量為233,031 部，與 去年同期 持平 。 詳細如下： 品牌 本月 （部） 去年同期 （部） 同比變動 (%) 今年累計 （部） 去年同期累計 （部） 同比變動 (%) 吉利 178,287 191,462 -7 550,659 589,813 -7 其中: 銀河 82,744 90,032 -8 238,859 259,709 -8 領克 25,426 25,293 1 81,662 72,608 12 極氪 29,318 15,422 90 77,037 41,403 86 合計 233,031 232,177 0 709,358 703,824 1 其中： 純電動汽車(BEVs) 70,557 86,329 -18 206,401 238,524 -13 插電式混動汽車 (PHEVs) 56,762 33,367 70 162,658 100,676 62 其中： 出口 注1 81,639 37,0…</x:v>
      </x:c>
      <x:c r="N54" s="41" t="str">
        <x:v>1-弱相关</x:v>
      </x:c>
      <x:c r="O54" s="41" t="str">
        <x:v>否</x:v>
      </x:c>
      <x:c r="P54" s="57" t="str">
        <x:v>月度销量公告同时披露品牌、动力类型及出口销量变化；虽与平台研发复用和降本主题相近，但未提供新能源平台研发投入、车型复用程度和单位开发成本，不足以建立可靠传导链。</x:v>
      </x:c>
      <x:c r="Q54" s="41" t="str">
        <x:v>B-CODEX-FIN-01</x:v>
      </x:c>
      <x:c r="R54" s="80" t="inlineStr">
        <x:is>
          <x:t>2026-08-30T13:30:00+08:00</x:t>
        </x:is>
      </x:c>
    </x:row>
    <x:row r="55" ht="72" customHeight="1">
      <x:c r="A55" s="64" t="str">
        <x:v>V6-R-Q006-C04</x:v>
      </x:c>
      <x:c r="B55" s="64" t="str">
        <x:v>V6-E-00175-C04</x:v>
      </x:c>
      <x:c r="C55" s="64" t="str">
        <x:v>V6-Q006</x:v>
      </x:c>
      <x:c r="D55" s="40" t="str">
        <x:v>吉利汽车</x:v>
      </x:c>
      <x:c r="E55" s="64" t="str">
        <x:v>00175</x:v>
      </x:c>
      <x:c r="F55" s="87" t="n">
        <x:v>46260.75</x:v>
      </x:c>
      <x:c r="G55" s="51" t="str">
        <x:v>新能源平台研发投入能否通过车型复用降低单位开发成本</x:v>
      </x:c>
      <x:c r="H55" s="64" t="str">
        <x:v>DOC-EVT-00175-00184</x:v>
      </x:c>
      <x:c r="I55" s="51" t="str">
        <x:v>内幕消息有关本集团对极氪私有化建议之非约束性报价函</x:v>
      </x:c>
      <x:c r="J55" s="87" t="n">
        <x:v>45784.69184027778</x:v>
      </x:c>
      <x:c r="K55" s="73" t="str">
        <x:v>http://static.cninfo.com.cn/finalpage/2025-05-07/1223488572.PDF</x:v>
      </x:c>
      <x:c r="L55" s="40" t="str">
        <x:v>第1页</x:v>
      </x:c>
      <x:c r="M55"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內幕消息 有關本集團對極氪私有化建議之非約束性報價函 本公佈乃由本公司根據上市規則第13.09條及證券及期貨條例 （香港法例第571章） 第XIVA 部的內幕消息條文 （定義見上市規則） 而作出。 非約束性報價函 為了推動內部資源深度整合和高效協同，杜絕重複投入，降低成本，提升企業競爭力， 打造長期價值，本公司於二零二五年五月七日向極氪提交了非約束性報價函，據此，本 公司初步表明其有意進行私有化建議，收購所有已發行及發行在外的極氪股份及美國存 託股票 （本集團實益擁有者除外） ，惟須經進一步磋商及簽訂最終協議方可作實。 非約束性報價函的主要條款如下： 指涉事項及購買價 本公司建議以每股極氪股份2.566美元或每股美國存託股票25.66美元作為對極氪的估值。 每名極氪股東及美國存託股票持有人可 （就其持有的全部極氪股份及╱或美國存託股票）…</x:v>
      </x:c>
      <x:c r="N55" s="41" t="str">
        <x:v>3-直接相关</x:v>
      </x:c>
      <x:c r="O55" s="41" t="str">
        <x:v>是</x:v>
      </x:c>
      <x:c r="P55" s="57" t="str">
        <x:v>私有化建议明确以资源深度整合、减少重复投入和降低成本为目标；证据直接披露或决定新能源平台研发投入、车型复用程度和单位开发成本，可直接用于回答当前查询。</x:v>
      </x:c>
      <x:c r="Q55" s="41" t="str">
        <x:v>B-CODEX-FIN-01</x:v>
      </x:c>
      <x:c r="R55" s="80" t="inlineStr">
        <x:is>
          <x:t>2026-08-30T13:30:00+08:00</x:t>
        </x:is>
      </x:c>
    </x:row>
    <x:row r="56" ht="72" customHeight="1">
      <x:c r="A56" s="64" t="str">
        <x:v>V6-R-Q006-C02</x:v>
      </x:c>
      <x:c r="B56" s="64" t="str">
        <x:v>V6-E-00175-C02</x:v>
      </x:c>
      <x:c r="C56" s="64" t="str">
        <x:v>V6-Q006</x:v>
      </x:c>
      <x:c r="D56" s="40" t="str">
        <x:v>吉利汽车</x:v>
      </x:c>
      <x:c r="E56" s="64" t="str">
        <x:v>00175</x:v>
      </x:c>
      <x:c r="F56" s="87" t="n">
        <x:v>46260.75</x:v>
      </x:c>
      <x:c r="G56" s="51" t="str">
        <x:v>新能源平台研发投入能否通过车型复用降低单位开发成本</x:v>
      </x:c>
      <x:c r="H56" s="64" t="str">
        <x:v>DOC-EVT-00175-00393</x:v>
      </x:c>
      <x:c r="I56" s="51" t="str">
        <x:v>致登记股东之通知信函及回条 - 公司通讯之发布通知</x:v>
      </x:c>
      <x:c r="J56" s="87" t="n">
        <x:v>46139.7515625</x:v>
      </x:c>
      <x:c r="K56" s="73" t="str">
        <x:v>http://static.cninfo.com.cn/finalpage/2026-04-27/1225204505.PDF</x:v>
      </x:c>
      <x:c r="L56" s="40" t="str">
        <x:v>第1页</x:v>
      </x:c>
      <x:c r="M56" s="51" t="str">
        <x:v>not limited to (a) the directors’ report, its annual accounts together with a copy of the auditors’ report and, where applicable, its summary financial report; (b) the interim report and, where applicable, its summary interim report; (c) a notice of meeting; (d) a listing document; (e) a circular; and (f) a proxy form. 各位股東： 吉利汽車控股有限公司(「本公司」)下述文件已以中、英文版本編制及於本公司網站 (http://www.geelyauto.com.hk ) 及香港聯合交易所有限公司 網站 (http://www.hkexnews.hk ) （統稱「相關網站」）刊載:- • 2025 年年報 • 日期為2026 年4 月28 日的通函及將於2026 年 6 月 1 日舉行之股東週年大會通告 • 股東週年大會之代表委任表格 如 閣下並未提供電郵地址或電郵地址無效，並現在希望日後收取有關公司通訊 （附註） 於相關網站發佈的電郵通知，以代替 通知信函印刷本， 請 閣下填妥本函背面的回條及簽名，然後把回條電郵至 175-corpcomm@unionregis…</x:v>
      </x:c>
      <x:c r="N56" s="41" t="str">
        <x:v>0-无关</x:v>
      </x:c>
      <x:c r="O56" s="41" t="str">
        <x:v>否</x:v>
      </x:c>
      <x:c r="P56" s="57" t="str">
        <x:v>通知仅告知年报、通函和股东会文件的发布方式；内容与平台研发复用和降本缺少业务传导，未提供新能源平台研发投入、车型复用程度和单位开发成本，不能支持当前判断。</x:v>
      </x:c>
      <x:c r="Q56" s="41" t="str">
        <x:v>B-CODEX-FIN-01</x:v>
      </x:c>
      <x:c r="R56" s="80" t="inlineStr">
        <x:is>
          <x:t>2026-08-30T13:30:00+08:00</x:t>
        </x:is>
      </x:c>
    </x:row>
    <x:row r="57" ht="72" customHeight="1">
      <x:c r="A57" s="64" t="str">
        <x:v>V6-R-Q006-C10</x:v>
      </x:c>
      <x:c r="B57" s="64" t="str">
        <x:v>V6-E-00175-C10</x:v>
      </x:c>
      <x:c r="C57" s="64" t="str">
        <x:v>V6-Q006</x:v>
      </x:c>
      <x:c r="D57" s="40" t="str">
        <x:v>吉利汽车</x:v>
      </x:c>
      <x:c r="E57" s="64" t="str">
        <x:v>00175</x:v>
      </x:c>
      <x:c r="F57" s="87" t="n">
        <x:v>46260.75</x:v>
      </x:c>
      <x:c r="G57" s="51" t="str">
        <x:v>新能源平台研发投入能否通过车型复用降低单位开发成本</x:v>
      </x:c>
      <x:c r="H57" s="64" t="str">
        <x:v>DOC-EVT-00175-00448</x:v>
      </x:c>
      <x:c r="I57" s="51" t="str">
        <x:v>翌日披露报表</x:v>
      </x:c>
      <x:c r="J57" s="87" t="n">
        <x:v>46218.691770833335</x:v>
      </x:c>
      <x:c r="K57" s="73" t="str">
        <x:v>http://static.cninfo.com.cn/finalpage/2026-07-15/1225425783.PDF</x:v>
      </x:c>
      <x:c r="L57" s="40" t="str">
        <x:v>第1页</x:v>
      </x:c>
      <x:c r="M57" s="51" t="str">
        <x:v>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N57" s="41" t="str">
        <x:v>0-无关</x:v>
      </x:c>
      <x:c r="O57" s="41" t="str">
        <x:v>否</x:v>
      </x:c>
      <x:c r="P57" s="57" t="str">
        <x:v>翌日披露报表主要为股本变动及证券程序数据；内容与平台研发复用和降本缺少业务传导，未提供新能源平台研发投入、车型复用程度和单位开发成本，不能支持当前判断。</x:v>
      </x:c>
      <x:c r="Q57" s="41" t="str">
        <x:v>B-CODEX-FIN-01</x:v>
      </x:c>
      <x:c r="R57" s="80" t="inlineStr">
        <x:is>
          <x:t>2026-08-30T13:30:00+08:00</x:t>
        </x:is>
      </x:c>
    </x:row>
    <x:row r="58" ht="72" customHeight="1">
      <x:c r="A58" s="64" t="str">
        <x:v>V6-R-Q006-C07</x:v>
      </x:c>
      <x:c r="B58" s="64" t="str">
        <x:v>V6-E-00175-C07</x:v>
      </x:c>
      <x:c r="C58" s="64" t="str">
        <x:v>V6-Q006</x:v>
      </x:c>
      <x:c r="D58" s="40" t="str">
        <x:v>吉利汽车</x:v>
      </x:c>
      <x:c r="E58" s="64" t="str">
        <x:v>00175</x:v>
      </x:c>
      <x:c r="F58" s="87" t="n">
        <x:v>46260.75</x:v>
      </x:c>
      <x:c r="G58" s="51" t="str">
        <x:v>新能源平台研发投入能否通过车型复用降低单位开发成本</x:v>
      </x:c>
      <x:c r="H58" s="64" t="str">
        <x:v>DOC-EVT-00175-00286</x:v>
      </x:c>
      <x:c r="I58" s="51" t="str">
        <x:v>海外监管公布上市附属公司－ZEEKR INTELLIGENT TECHNOLOGY HOLDING LIMITED二零二五年第三季度未经审核财务业绩公布</x:v>
      </x:c>
      <x:c r="J58" s="87" t="n">
        <x:v>45978.807025462964</x:v>
      </x:c>
      <x:c r="K58" s="73" t="str">
        <x:v>http://static.cninfo.com.cn/finalpage/2025-11-17/1224811004.PDF</x:v>
      </x:c>
      <x:c r="L58" s="40" t="str">
        <x:v>第1页</x:v>
      </x:c>
      <x:c r="M58"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上市附屬公司－ZEEKR INTELLIGENT TECHNOLOGY HOLDING LIMITED 二零二五年第三季度未經審核財務業績公佈 本公佈由吉利汽車控股有限公司 （ 「本公司」 ） 根據香港聯合交易所有限公司證券上市規則 第13.10B條而作出。 ZEEKR Intelligent Technology Holding Limited （ 「極氪」 ） 為本公司之非全資附屬公司，其 股份以美國存託股票形式於美國紐約證券交易所上市，已於二零二五年十一月十七日向 美國證券交易委員會遞交表格6-K，內容有關極氪截至二零二五年第三季度之未經審核財 務業績 （ 「二零二五年第三季度業績」 ） 。詳情請參閱隨附之二零二五年第三季度業績。 本公佈以英文發佈，並備有中文譯本。如中英文版本內容有任何歧義或不一致，概以英 文版本為準。 承董事會命 吉利汽車控股有限公司 公司秘書 張頌仁 香港，二零二五年十一月十七日 於本公佈日期，本公司執行董事為李書福先生 （主席） 、李東輝先生 （副主席） 、桂生悅先 生 （行政總裁） 、淦家閱先生及毛鑒明先生；而本公司獨立非執行董事為高劼…</x:v>
      </x:c>
      <x:c r="N58" s="41" t="str">
        <x:v>1-弱相关</x:v>
      </x:c>
      <x:c r="O58" s="41" t="str">
        <x:v>否</x:v>
      </x:c>
      <x:c r="P58" s="57" t="str">
        <x:v>公告说明极氪发布季度未经审核财务业绩，但摘录未列核心经营指标；虽与平台研发复用和降本主题相近，但未提供新能源平台研发投入、车型复用程度和单位开发成本，不足以建立可靠传导链。</x:v>
      </x:c>
      <x:c r="Q58" s="41" t="str">
        <x:v>B-CODEX-FIN-01</x:v>
      </x:c>
      <x:c r="R58" s="80" t="inlineStr">
        <x:is>
          <x:t>2026-08-30T13:30:00+08:00</x:t>
        </x:is>
      </x:c>
    </x:row>
    <x:row r="59" ht="72" customHeight="1">
      <x:c r="A59" s="64" t="str">
        <x:v>V6-R-Q006-C03</x:v>
      </x:c>
      <x:c r="B59" s="64" t="str">
        <x:v>V6-E-00175-C03</x:v>
      </x:c>
      <x:c r="C59" s="64" t="str">
        <x:v>V6-Q006</x:v>
      </x:c>
      <x:c r="D59" s="40" t="str">
        <x:v>吉利汽车</x:v>
      </x:c>
      <x:c r="E59" s="64" t="str">
        <x:v>00175</x:v>
      </x:c>
      <x:c r="F59" s="87" t="n">
        <x:v>46260.75</x:v>
      </x:c>
      <x:c r="G59" s="51" t="str">
        <x:v>新能源平台研发投入能否通过车型复用降低单位开发成本</x:v>
      </x:c>
      <x:c r="H59" s="64" t="str">
        <x:v>DOC-EVT-00175-00044</x:v>
      </x:c>
      <x:c r="I59" s="51" t="str">
        <x:v>海外监管公布</x:v>
      </x:c>
      <x:c r="J59" s="87" t="n">
        <x:v>45446.741944444446</x:v>
      </x:c>
      <x:c r="K59" s="73" t="str">
        <x:v>http://static.cninfo.com.cn/finalpage/2024-06-03/1220245278.PDF</x:v>
      </x:c>
      <x:c r="L59" s="40" t="str">
        <x:v>第2页</x:v>
      </x:c>
      <x:c r="M59" s="51" t="str">
        <x:v>GEELY AUTO MOBILE HOL DINGS LIMI TED 175 80175 海外監管公佈 本海外監管公佈乃根據香港聯合交易所有限公司 （ 「聯交所」 ） 證券上市規則 （ 「上市規則」 ） 第13.10B條而發出。 茲提述吉利汽車控股有限公司 （ 「本公司」 ） 日期為二零一九年十一月二十八日有關證券發 行之公佈 （ 「該公佈」 ） 。除文義另有所指外，本公佈所用詞彙與該公佈所界定者具有相同 涵義。 請參閱隨附日期為二零二四年六月三日有關證券之分派公佈 （ 「分派公佈」 ） ，該分派公佈 已於二零二四年六月三日於新加坡證券交易所有限公司之網站發佈。 在聯交所網站刊登分派公佈僅旨在向香港投資者同步發佈資訊及遵守上市規則第13.10B 條，並無任何其他目的。 分派公佈並不構成於任何司法權區向公眾人士提呈出售任何證券之招股章程、通告、通 函、小冊子或廣告，或作為向公眾人士提呈以供認購或購買任何證券之邀請，亦不得視 作公眾人士提呈認購或購買任何證券之邀請。 分派公佈不得被視作誘使認購或購買本公司任何證券，亦不擬構成該等勸誘。不應根據 分派公佈所載資料作出任何投資決定。 承董事會命 吉利汽車控股有限公司 公司秘書 張頌仁 香港，二零二四年六月三日 - 2 -</x:v>
      </x:c>
      <x:c r="N59" s="41" t="str">
        <x:v>0-无关</x:v>
      </x:c>
      <x:c r="O59" s="41" t="str">
        <x:v>否</x:v>
      </x:c>
      <x:c r="P59" s="57" t="str">
        <x:v>公告仅同步证券分派文件，不含汽车经营信息；内容与平台研发复用和降本缺少业务传导，未提供新能源平台研发投入、车型复用程度和单位开发成本，不能支持当前判断。</x:v>
      </x:c>
      <x:c r="Q59" s="41" t="str">
        <x:v>B-CODEX-FIN-01</x:v>
      </x:c>
      <x:c r="R59" s="80" t="inlineStr">
        <x:is>
          <x:t>2026-08-30T13:30:00+08:00</x:t>
        </x:is>
      </x:c>
    </x:row>
    <x:row r="60" ht="72" customHeight="1">
      <x:c r="A60" s="64" t="str">
        <x:v>V6-R-Q006-C06</x:v>
      </x:c>
      <x:c r="B60" s="64" t="str">
        <x:v>V6-E-00175-C06</x:v>
      </x:c>
      <x:c r="C60" s="64" t="str">
        <x:v>V6-Q006</x:v>
      </x:c>
      <x:c r="D60" s="40" t="str">
        <x:v>吉利汽车</x:v>
      </x:c>
      <x:c r="E60" s="64" t="str">
        <x:v>00175</x:v>
      </x:c>
      <x:c r="F60" s="87" t="n">
        <x:v>46260.75</x:v>
      </x:c>
      <x:c r="G60" s="51" t="str">
        <x:v>新能源平台研发投入能否通过车型复用降低单位开发成本</x:v>
      </x:c>
      <x:c r="H60" s="64" t="str">
        <x:v>DOC-EVT-00175-00284</x:v>
      </x:c>
      <x:c r="I60" s="51" t="str">
        <x:v>未经审核之二零二五年十月销量</x:v>
      </x:c>
      <x:c r="J60" s="87" t="n">
        <x:v>45963.75568287037</x:v>
      </x:c>
      <x:c r="K60" s="73" t="str">
        <x:v>http://static.cninfo.com.cn/finalpage/2025-11-02/1224781929.PDF</x:v>
      </x:c>
      <x:c r="L60" s="40" t="str">
        <x:v>第1页</x:v>
      </x:c>
      <x:c r="M60"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二零二五年 十 月 銷量 吉利汽車控股有限公司( 「 本公司 」， 連同其附屬公司統稱為 「 本集團 」 ） 董事會欣然宣佈， 本集團於二零二 五 年 十 月 的 汽車 總銷量為307,133 部， 較去年同期 增長約35 % 。詳細如下： 品牌 本月 （部） 去年同期 （部） 同比變動 (%) 今年累計 （部） 去年同期累計 （部） 同比變動 (%) 吉利 245,497 170,563 44 2,030,614 1,321,777 54 其中: 銀河 127,476 63,492 101 1,002,461 349,768 187 極氪 21,423 25,049 -14 165,023 167,922 -2 領克 40,213 31,074 29 281,685 226,677 24 合計 307,133 226,686 35 2,477,322 1,716,376 44 其中： 純電動汽車(BEVs) 98,348 78,858 25 892,072 408,192 119 插電式混動汽車 (PHEVs) 79,534 29,864 166 453,633 246,384 8…</x:v>
      </x:c>
      <x:c r="N60" s="41" t="str">
        <x:v>1-弱相关</x:v>
      </x:c>
      <x:c r="O60" s="41" t="str">
        <x:v>否</x:v>
      </x:c>
      <x:c r="P60" s="57" t="str">
        <x:v>月度公告披露各品牌及纯电、插混汽车批发销量和同比增速；虽与平台研发复用和降本主题相近，但未提供新能源平台研发投入、车型复用程度和单位开发成本，不足以建立可靠传导链。</x:v>
      </x:c>
      <x:c r="Q60" s="41" t="str">
        <x:v>B-CODEX-FIN-01</x:v>
      </x:c>
      <x:c r="R60" s="80" t="inlineStr">
        <x:is>
          <x:t>2026-08-30T13:30:00+08:00</x:t>
        </x:is>
      </x:c>
    </x:row>
    <x:row r="61" ht="72" customHeight="1">
      <x:c r="A61" s="64" t="str">
        <x:v>V6-R-Q006-C08</x:v>
      </x:c>
      <x:c r="B61" s="64" t="str">
        <x:v>V6-E-00175-C08</x:v>
      </x:c>
      <x:c r="C61" s="64" t="str">
        <x:v>V6-Q006</x:v>
      </x:c>
      <x:c r="D61" s="40" t="str">
        <x:v>吉利汽车</x:v>
      </x:c>
      <x:c r="E61" s="64" t="str">
        <x:v>00175</x:v>
      </x:c>
      <x:c r="F61" s="87" t="n">
        <x:v>46260.75</x:v>
      </x:c>
      <x:c r="G61" s="51" t="str">
        <x:v>新能源平台研发投入能否通过车型复用降低单位开发成本</x:v>
      </x:c>
      <x:c r="H61" s="64" t="str">
        <x:v>DOC-EVT-00175-00285</x:v>
      </x:c>
      <x:c r="I61" s="51" t="str">
        <x:v>截至二零二五年九月三十日止九个月之第三季度业绩公布</x:v>
      </x:c>
      <x:c r="J61" s="87" t="n">
        <x:v>45978.502858796295</x:v>
      </x:c>
      <x:c r="K61" s="73" t="str">
        <x:v>http://static.cninfo.com.cn/finalpage/2025-11-17/1224808624.PDF</x:v>
      </x:c>
      <x:c r="L61" s="40" t="str">
        <x:v>第1页</x:v>
      </x:c>
      <x:c r="M61" s="51" t="str">
        <x:v>- 1 - பd࿁Չ Ͼପ͛ ዄ΂Оப΂f 吉利汽車控股有限公司 GEELY AUTOMOBILE HOLDINGS LIMITED ʮ̡ ΅˾໮j175ಥ࿆ᓞ̨ ʿ80175ɛ͏࿆ᓞ̨ 截至二零二五年九月三十日止九個月之 第三季度業績公佈 ʮ̡  本公司໨ ԫ ึ董事會᙮ʮ̡  本 集團ၝΥุᐶdஹΝɚཧɚ̬ϋ d  ᄲቡf 一、 主要財務數據和指標 ఊЗjɛ͏࿆  人民幣ϵ ຬ ʩ 財務摘要 截至九月三十日止三個月 Νˢ 同比 ᜊਗ(%) 截至九月三十日止九個月 Νˢ ᜊਗ(%) 二零二五年 （未經審核） ɚཧɚ̬ϋ ࣨ ΐ 二零二五年 （未經審核） ɚཧɚ̬ϋ ࣨ ΐ ቖඎ ຬሿ 76.10 53.40 43 217.02 148.97 46 ϗɝ 89,192 70,486 27 239,477 189,534 26 ๐л 3,820 2,398 59 13,110 13,213 (1) 財務摘要 於二零二五年 九月三十日 （未經審核） ɚཧɚ̬ϋ ɤɚ˜ɧɤɓ˚ ΐ ᜊਗ(%) ᐼ༟ପ 274,436 271,074 1 ͎ʮ̡ኹϞɛᏐЦᛆू 93,516 86,538 8</x:v>
      </x:c>
      <x:c r="N61" s="41" t="str">
        <x:v>1-弱相关</x:v>
      </x:c>
      <x:c r="O61" s="41" t="str">
        <x:v>否</x:v>
      </x:c>
      <x:c r="P61" s="57" t="str">
        <x:v>季度业绩披露销量、收入和利润同比变化，可观察经营规模与盈利；虽与平台研发复用和降本主题相近，但未提供新能源平台研发投入、车型复用程度和单位开发成本，不足以建立可靠传导链。</x:v>
      </x:c>
      <x:c r="Q61" s="41" t="str">
        <x:v>B-CODEX-FIN-01</x:v>
      </x:c>
      <x:c r="R61" s="80" t="inlineStr">
        <x:is>
          <x:t>2026-08-30T13:30:00+08:00</x:t>
        </x:is>
      </x:c>
    </x:row>
    <x:row r="62" ht="72" customHeight="1">
      <x:c r="A62" s="64" t="str">
        <x:v>V6-R-Q007-C02</x:v>
      </x:c>
      <x:c r="B62" s="64" t="str">
        <x:v>V6-E-00175-C02</x:v>
      </x:c>
      <x:c r="C62" s="64" t="str">
        <x:v>V6-Q007</x:v>
      </x:c>
      <x:c r="D62" s="40" t="str">
        <x:v>吉利汽车</x:v>
      </x:c>
      <x:c r="E62" s="64" t="str">
        <x:v>00175</x:v>
      </x:c>
      <x:c r="F62" s="87" t="n">
        <x:v>46260.75</x:v>
      </x:c>
      <x:c r="G62" s="51" t="str">
        <x:v>批发销量与终端零售差异是否预示渠道库存压力</x:v>
      </x:c>
      <x:c r="H62" s="64" t="str">
        <x:v>DOC-EVT-00175-00393</x:v>
      </x:c>
      <x:c r="I62" s="51" t="str">
        <x:v>致登记股东之通知信函及回条 - 公司通讯之发布通知</x:v>
      </x:c>
      <x:c r="J62" s="87" t="n">
        <x:v>46139.7515625</x:v>
      </x:c>
      <x:c r="K62" s="73" t="str">
        <x:v>http://static.cninfo.com.cn/finalpage/2026-04-27/1225204505.PDF</x:v>
      </x:c>
      <x:c r="L62" s="40" t="str">
        <x:v>第1页</x:v>
      </x:c>
      <x:c r="M62" s="51" t="str">
        <x:v>not limited to (a) the directors’ report, its annual accounts together with a copy of the auditors’ report and, where applicable, its summary financial report; (b) the interim report and, where applicable, its summary interim report; (c) a notice of meeting; (d) a listing document; (e) a circular; and (f) a proxy form. 各位股東： 吉利汽車控股有限公司(「本公司」)下述文件已以中、英文版本編制及於本公司網站 (http://www.geelyauto.com.hk ) 及香港聯合交易所有限公司 網站 (http://www.hkexnews.hk ) （統稱「相關網站」）刊載:- • 2025 年年報 • 日期為2026 年4 月28 日的通函及將於2026 年 6 月 1 日舉行之股東週年大會通告 • 股東週年大會之代表委任表格 如 閣下並未提供電郵地址或電郵地址無效，並現在希望日後收取有關公司通訊 （附註） 於相關網站發佈的電郵通知，以代替 通知信函印刷本， 請 閣下填妥本函背面的回條及簽名，然後把回條電郵至 175-corpcomm@unionregis…</x:v>
      </x:c>
      <x:c r="N62" s="41" t="str">
        <x:v>0-无关</x:v>
      </x:c>
      <x:c r="O62" s="41" t="str">
        <x:v>否</x:v>
      </x:c>
      <x:c r="P62" s="57" t="str">
        <x:v>通知仅告知年报、通函和股东会文件的发布方式；内容与销量和渠道库存缺少业务传导，未提供批发销量与终端零售的差额及渠道库存，不能支持当前判断。</x:v>
      </x:c>
      <x:c r="Q62" s="41" t="str">
        <x:v>B-CODEX-FIN-01</x:v>
      </x:c>
      <x:c r="R62" s="80" t="inlineStr">
        <x:is>
          <x:t>2026-08-30T13:30:00+08:00</x:t>
        </x:is>
      </x:c>
    </x:row>
    <x:row r="63" ht="72" customHeight="1">
      <x:c r="A63" s="64" t="str">
        <x:v>V6-R-Q007-C05</x:v>
      </x:c>
      <x:c r="B63" s="64" t="str">
        <x:v>V6-E-00175-C05</x:v>
      </x:c>
      <x:c r="C63" s="64" t="str">
        <x:v>V6-Q007</x:v>
      </x:c>
      <x:c r="D63" s="40" t="str">
        <x:v>吉利汽车</x:v>
      </x:c>
      <x:c r="E63" s="64" t="str">
        <x:v>00175</x:v>
      </x:c>
      <x:c r="F63" s="87" t="n">
        <x:v>46260.75</x:v>
      </x:c>
      <x:c r="G63" s="51" t="str">
        <x:v>批发销量与终端零售差异是否预示渠道库存压力</x:v>
      </x:c>
      <x:c r="H63" s="64" t="str">
        <x:v>DOC-EVT-00175-00317</x:v>
      </x:c>
      <x:c r="I63" s="51" t="str">
        <x:v>海外监管公布终止向美国证券交易委员会履行美国申报义务</x:v>
      </x:c>
      <x:c r="J63" s="87" t="n">
        <x:v>46013.92949074074</x:v>
      </x:c>
      <x:c r="K63" s="73" t="str">
        <x:v>http://static.cninfo.com.cn/finalpage/2025-12-22/1224892691.PDF</x:v>
      </x:c>
      <x:c r="L63" s="40" t="str">
        <x:v>第1页</x:v>
      </x:c>
      <x:c r="M63"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終止向美國證券交易委員會 履行美國申報義務 本公佈由吉利汽車控股有限公司 （ 「本公司」 ） 根據香港聯合交易所有限公司證券上市規則 第13.10B條而作出。 茲提述本公司日期為二零二五年五月七日、二零二五年七月十五日、二零二五年九月五 日、二零二五年九月十五日、二零二五年十二月九日及二零二五年十二月二十二日之公 佈 （統稱為 「該等公佈」 ） 、本公司日期為二零二五年八月十八日之通函 （ 「該通函」 ） ，及本 公司日期為二零二五年十一月二十一日有關合併協議項下擬進行交易 （包括私有化及合併 事項） 之海外監管公佈。 本公司欣然宣佈，根據先前於二零二五年七月十五日公佈的合併協議，極氪與合併附屬 公司 （本公司間接全資附屬公司） 的合併已完成。由於合併，極氪現已成為一家私人持有 公司，並且是本公司全資附屬公司。 於合併事項完成後，根據美國 《一九三四年證券交易法》 （經修訂） （ 「交易法」 ） 第12g-3條， 本公司已承繼極氪於交易法項下之第12條註冊義務及第13(a)條申報義務。 然而，本公司已向美國證券交易委員會遞交表格15F，根據交易法第12(g)條自願終止…</x:v>
      </x:c>
      <x:c r="N63" s="41" t="str">
        <x:v>0-无关</x:v>
      </x:c>
      <x:c r="O63" s="41" t="str">
        <x:v>否</x:v>
      </x:c>
      <x:c r="P63" s="57" t="str">
        <x:v>公告披露极氪私有化合并完成并成为全资附属公司；内容与销量和渠道库存缺少业务传导，未提供批发销量与终端零售的差额及渠道库存，不能支持当前判断。</x:v>
      </x:c>
      <x:c r="Q63" s="41" t="str">
        <x:v>B-CODEX-FIN-01</x:v>
      </x:c>
      <x:c r="R63" s="80" t="inlineStr">
        <x:is>
          <x:t>2026-08-30T13:30:00+08:00</x:t>
        </x:is>
      </x:c>
    </x:row>
    <x:row r="64" ht="72" customHeight="1">
      <x:c r="A64" s="64" t="str">
        <x:v>V6-R-Q007-C03</x:v>
      </x:c>
      <x:c r="B64" s="64" t="str">
        <x:v>V6-E-00175-C03</x:v>
      </x:c>
      <x:c r="C64" s="64" t="str">
        <x:v>V6-Q007</x:v>
      </x:c>
      <x:c r="D64" s="40" t="str">
        <x:v>吉利汽车</x:v>
      </x:c>
      <x:c r="E64" s="64" t="str">
        <x:v>00175</x:v>
      </x:c>
      <x:c r="F64" s="87" t="n">
        <x:v>46260.75</x:v>
      </x:c>
      <x:c r="G64" s="51" t="str">
        <x:v>批发销量与终端零售差异是否预示渠道库存压力</x:v>
      </x:c>
      <x:c r="H64" s="64" t="str">
        <x:v>DOC-EVT-00175-00044</x:v>
      </x:c>
      <x:c r="I64" s="51" t="str">
        <x:v>海外监管公布</x:v>
      </x:c>
      <x:c r="J64" s="87" t="n">
        <x:v>45446.741944444446</x:v>
      </x:c>
      <x:c r="K64" s="73" t="str">
        <x:v>http://static.cninfo.com.cn/finalpage/2024-06-03/1220245278.PDF</x:v>
      </x:c>
      <x:c r="L64" s="40" t="str">
        <x:v>第2页</x:v>
      </x:c>
      <x:c r="M64" s="51" t="str">
        <x:v>GEELY AUTO MOBILE HOL DINGS LIMI TED 175 80175 海外監管公佈 本海外監管公佈乃根據香港聯合交易所有限公司 （ 「聯交所」 ） 證券上市規則 （ 「上市規則」 ） 第13.10B條而發出。 茲提述吉利汽車控股有限公司 （ 「本公司」 ） 日期為二零一九年十一月二十八日有關證券發 行之公佈 （ 「該公佈」 ） 。除文義另有所指外，本公佈所用詞彙與該公佈所界定者具有相同 涵義。 請參閱隨附日期為二零二四年六月三日有關證券之分派公佈 （ 「分派公佈」 ） ，該分派公佈 已於二零二四年六月三日於新加坡證券交易所有限公司之網站發佈。 在聯交所網站刊登分派公佈僅旨在向香港投資者同步發佈資訊及遵守上市規則第13.10B 條，並無任何其他目的。 分派公佈並不構成於任何司法權區向公眾人士提呈出售任何證券之招股章程、通告、通 函、小冊子或廣告，或作為向公眾人士提呈以供認購或購買任何證券之邀請，亦不得視 作公眾人士提呈認購或購買任何證券之邀請。 分派公佈不得被視作誘使認購或購買本公司任何證券，亦不擬構成該等勸誘。不應根據 分派公佈所載資料作出任何投資決定。 承董事會命 吉利汽車控股有限公司 公司秘書 張頌仁 香港，二零二四年六月三日 - 2 -</x:v>
      </x:c>
      <x:c r="N64" s="41" t="str">
        <x:v>0-无关</x:v>
      </x:c>
      <x:c r="O64" s="41" t="str">
        <x:v>否</x:v>
      </x:c>
      <x:c r="P64" s="57" t="str">
        <x:v>公告仅同步证券分派文件，不含汽车经营信息；内容与销量和渠道库存缺少业务传导，未提供批发销量与终端零售的差额及渠道库存，不能支持当前判断。</x:v>
      </x:c>
      <x:c r="Q64" s="41" t="str">
        <x:v>B-CODEX-FIN-01</x:v>
      </x:c>
      <x:c r="R64" s="80" t="inlineStr">
        <x:is>
          <x:t>2026-08-30T13:30:00+08:00</x:t>
        </x:is>
      </x:c>
    </x:row>
    <x:row r="65" ht="72" customHeight="1">
      <x:c r="A65" s="64" t="str">
        <x:v>V6-R-Q007-C10</x:v>
      </x:c>
      <x:c r="B65" s="64" t="str">
        <x:v>V6-E-00175-C10</x:v>
      </x:c>
      <x:c r="C65" s="64" t="str">
        <x:v>V6-Q007</x:v>
      </x:c>
      <x:c r="D65" s="40" t="str">
        <x:v>吉利汽车</x:v>
      </x:c>
      <x:c r="E65" s="64" t="str">
        <x:v>00175</x:v>
      </x:c>
      <x:c r="F65" s="87" t="n">
        <x:v>46260.75</x:v>
      </x:c>
      <x:c r="G65" s="51" t="str">
        <x:v>批发销量与终端零售差异是否预示渠道库存压力</x:v>
      </x:c>
      <x:c r="H65" s="64" t="str">
        <x:v>DOC-EVT-00175-00448</x:v>
      </x:c>
      <x:c r="I65" s="51" t="str">
        <x:v>翌日披露报表</x:v>
      </x:c>
      <x:c r="J65" s="87" t="n">
        <x:v>46218.691770833335</x:v>
      </x:c>
      <x:c r="K65" s="73" t="str">
        <x:v>http://static.cninfo.com.cn/finalpage/2026-07-15/1225425783.PDF</x:v>
      </x:c>
      <x:c r="L65" s="40" t="str">
        <x:v>第1页</x:v>
      </x:c>
      <x:c r="M65" s="51" t="str">
        <x:v>FF305 ∉  ၵರ஼੝Ḹі ٺܢ ⦁ğௐ ⊯Ⅲğࢌ ඳ଀Ẁğඳ ರ௹ğ ୍ᄅರ  ඳ(&amp;.⊈ಊ ၂ᅣᾳb ၂ᅣᾳ ٳٺܢܢ⦁ ҂ℳႨ෮ഈ൧ ൞ ⊈ಊսὂ ೂഈ൧  䪌ૼ Ἰ⚙⊈ಊսὂ  3.# 䪌ૼ ṉọ ࡱ Ďṉọ Ď⅂ ଢ Ⴕၘứ ܢ б 䩏 ṉọ ଢ ứྛԛ൲ᾁ 䩏 ⊺⅂ ᾵թ 䩏 ୍ᄅರ            ௹⃴ ܢ ί὏ ᧄ୍ᄅರὤ ٺܢܢ ṉọರ௹ ୍ᄅರ     ),%  ୍ᄅರ           </x:v>
      </x:c>
      <x:c r="N65" s="41" t="str">
        <x:v>0-无关</x:v>
      </x:c>
      <x:c r="O65" s="41" t="str">
        <x:v>否</x:v>
      </x:c>
      <x:c r="P65" s="57" t="str">
        <x:v>翌日披露报表主要为股本变动及证券程序数据；内容与销量和渠道库存缺少业务传导，未提供批发销量与终端零售的差额及渠道库存，不能支持当前判断。</x:v>
      </x:c>
      <x:c r="Q65" s="41" t="str">
        <x:v>B-CODEX-FIN-01</x:v>
      </x:c>
      <x:c r="R65" s="80" t="inlineStr">
        <x:is>
          <x:t>2026-08-30T13:30:00+08:00</x:t>
        </x:is>
      </x:c>
    </x:row>
    <x:row r="66" ht="72" customHeight="1">
      <x:c r="A66" s="64" t="str">
        <x:v>V6-R-Q007-C01</x:v>
      </x:c>
      <x:c r="B66" s="64" t="str">
        <x:v>V6-E-00175-C01</x:v>
      </x:c>
      <x:c r="C66" s="64" t="str">
        <x:v>V6-Q007</x:v>
      </x:c>
      <x:c r="D66" s="40" t="str">
        <x:v>吉利汽车</x:v>
      </x:c>
      <x:c r="E66" s="64" t="str">
        <x:v>00175</x:v>
      </x:c>
      <x:c r="F66" s="87" t="n">
        <x:v>46260.75</x:v>
      </x:c>
      <x:c r="G66" s="51" t="str">
        <x:v>批发销量与终端零售差异是否预示渠道库存压力</x:v>
      </x:c>
      <x:c r="H66" s="64" t="str">
        <x:v>DOC-EVT-00175-00384</x:v>
      </x:c>
      <x:c r="I66" s="51" t="str">
        <x:v>未经审核之二零二六年三月销量</x:v>
      </x:c>
      <x:c r="J66" s="87" t="n">
        <x:v>46113.76541666667</x:v>
      </x:c>
      <x:c r="K66" s="73" t="str">
        <x:v>http://static.cninfo.com.cn/finalpage/2026-04-01/1225072095.PDF</x:v>
      </x:c>
      <x:c r="L66" s="40" t="str">
        <x:v>第1页</x:v>
      </x:c>
      <x:c r="M66"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三 月 銷量 吉利汽車控股有限公司( 「 本公司 」， 連同其附屬公司統稱為 「 本集團 」 ） 董事會欣然宣佈， 本集團於二零二 六 年 三 月 的 汽車 總銷量為233,031 部，與 去年同期 持平 。 詳細如下： 品牌 本月 （部） 去年同期 （部） 同比變動 (%) 今年累計 （部） 去年同期累計 （部） 同比變動 (%) 吉利 178,287 191,462 -7 550,659 589,813 -7 其中: 銀河 82,744 90,032 -8 238,859 259,709 -8 領克 25,426 25,293 1 81,662 72,608 12 極氪 29,318 15,422 90 77,037 41,403 86 合計 233,031 232,177 0 709,358 703,824 1 其中： 純電動汽車(BEVs) 70,557 86,329 -18 206,401 238,524 -13 插電式混動汽車 (PHEVs) 56,762 33,367 70 162,658 100,676 62 其中： 出口 注1 81,639 37,0…</x:v>
      </x:c>
      <x:c r="N66" s="41" t="str">
        <x:v>2-间接相关</x:v>
      </x:c>
      <x:c r="O66" s="41" t="str">
        <x:v>是</x:v>
      </x:c>
      <x:c r="P66" s="57" t="str">
        <x:v>月度销量公告同时披露品牌、动力类型及出口销量变化；该事实可通过批发销量变化向批零差和渠道库存压力传导，间接验证批发销量与终端零售的差额及渠道库存，关系清晰且可复核。</x:v>
      </x:c>
      <x:c r="Q66" s="41" t="str">
        <x:v>B-CODEX-FIN-01</x:v>
      </x:c>
      <x:c r="R66" s="80" t="inlineStr">
        <x:is>
          <x:t>2026-08-30T13:30:00+08:00</x:t>
        </x:is>
      </x:c>
    </x:row>
    <x:row r="67" ht="72" customHeight="1">
      <x:c r="A67" s="64" t="str">
        <x:v>V6-R-Q007-C09</x:v>
      </x:c>
      <x:c r="B67" s="64" t="str">
        <x:v>V6-E-00175-C09</x:v>
      </x:c>
      <x:c r="C67" s="64" t="str">
        <x:v>V6-Q007</x:v>
      </x:c>
      <x:c r="D67" s="40" t="str">
        <x:v>吉利汽车</x:v>
      </x:c>
      <x:c r="E67" s="64" t="str">
        <x:v>00175</x:v>
      </x:c>
      <x:c r="F67" s="87" t="n">
        <x:v>46260.75</x:v>
      </x:c>
      <x:c r="G67" s="51" t="str">
        <x:v>批发销量与终端零售差异是否预示渠道库存压力</x:v>
      </x:c>
      <x:c r="H67" s="64" t="str">
        <x:v>DOC-EVT-00175-00004</x:v>
      </x:c>
      <x:c r="I67" s="51" t="str">
        <x:v>致登记股东之函件及回条 - 以电子方式发布公司通讯之安排</x:v>
      </x:c>
      <x:c r="J67" s="87" t="n">
        <x:v>45320.691979166666</x:v>
      </x:c>
      <x:c r="K67" s="73" t="str">
        <x:v>http://static.cninfo.com.cn/finalpage/2024-01-29/1219026576.PDF</x:v>
      </x:c>
      <x:c r="L67" s="40" t="str">
        <x:v>第1页</x:v>
      </x:c>
      <x:c r="M67" s="51" t="str">
        <x:v>(於開曼群島註冊成立之有限公司) (股份代號： 175 (港幣櫃台) 及 80175 (人民幣櫃台)) 各位股東： 以電子方式傳送公司通訊 根據香港聯合交易所有限公司證券上市規則第 2.07A 條，吉利汽車控股有限公司（「本公司」）將以電子方 式向其證券持有人 傳送已公布或將公布之公司通訊，供證券持有人參考或採取行動， 公司通訊文件包括但 不限於：(a)董事會報告、年度財務報表連同核數師報告及如適用，財務摘要報告； (b)中期報告及如適用， 中期摘要報告；(c)會議通告；(d)上市文件；(e)通函；及(f)委任代表表格（「公司通訊」），而 閣下可選擇： (1) 收取電郵通知以接收有關公司通訊 已在本公司網站 (http://www.geelyauto.com.hk ) 及香港聯合交易所有 限公司網站 (http://www.hkexnews.hk ) （以下統稱「相關網站」）發布的通知（「電郵選項」）；或 (2) 收取通知信函印刷本以接收有關公司通訊已在相關網站發布的通知。 本公司作出有關安排是為了提高效率及成本效益和保護環境，因此建議 閣下選擇電郵選項並向本公司提供有 效的電郵地址。 在行使上述選擇權時，請 閣下於隨本信函附上的回條上適當的空格內劃上「 」號，並在回條上填寫所需資 料及簽名，然後把回條寄回或親身交回本公司之香港股份過戶登記處聯合證券登記有限公司（「香港股份過 戶登記處」）（地址為香港北角英皇道338號華懋交易廣場2期33樓3301-04室）。倘若 閣下在…</x:v>
      </x:c>
      <x:c r="N67" s="41" t="str">
        <x:v>0-无关</x:v>
      </x:c>
      <x:c r="O67" s="41" t="str">
        <x:v>否</x:v>
      </x:c>
      <x:c r="P67" s="57" t="str">
        <x:v>函件仅说明公司通讯电子化安排；内容与销量和渠道库存缺少业务传导，未提供批发销量与终端零售的差额及渠道库存，不能支持当前判断。</x:v>
      </x:c>
      <x:c r="Q67" s="41" t="str">
        <x:v>B-CODEX-FIN-01</x:v>
      </x:c>
      <x:c r="R67" s="80" t="inlineStr">
        <x:is>
          <x:t>2026-08-30T13:30:00+08:00</x:t>
        </x:is>
      </x:c>
    </x:row>
    <x:row r="68" ht="72" customHeight="1">
      <x:c r="A68" s="64" t="str">
        <x:v>V6-R-Q007-C04</x:v>
      </x:c>
      <x:c r="B68" s="64" t="str">
        <x:v>V6-E-00175-C04</x:v>
      </x:c>
      <x:c r="C68" s="64" t="str">
        <x:v>V6-Q007</x:v>
      </x:c>
      <x:c r="D68" s="40" t="str">
        <x:v>吉利汽车</x:v>
      </x:c>
      <x:c r="E68" s="64" t="str">
        <x:v>00175</x:v>
      </x:c>
      <x:c r="F68" s="87" t="n">
        <x:v>46260.75</x:v>
      </x:c>
      <x:c r="G68" s="51" t="str">
        <x:v>批发销量与终端零售差异是否预示渠道库存压力</x:v>
      </x:c>
      <x:c r="H68" s="64" t="str">
        <x:v>DOC-EVT-00175-00184</x:v>
      </x:c>
      <x:c r="I68" s="51" t="str">
        <x:v>内幕消息有关本集团对极氪私有化建议之非约束性报价函</x:v>
      </x:c>
      <x:c r="J68" s="87" t="n">
        <x:v>45784.69184027778</x:v>
      </x:c>
      <x:c r="K68" s="73" t="str">
        <x:v>http://static.cninfo.com.cn/finalpage/2025-05-07/1223488572.PDF</x:v>
      </x:c>
      <x:c r="L68" s="40" t="str">
        <x:v>第1页</x:v>
      </x:c>
      <x:c r="M68"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內幕消息 有關本集團對極氪私有化建議之非約束性報價函 本公佈乃由本公司根據上市規則第13.09條及證券及期貨條例 （香港法例第571章） 第XIVA 部的內幕消息條文 （定義見上市規則） 而作出。 非約束性報價函 為了推動內部資源深度整合和高效協同，杜絕重複投入，降低成本，提升企業競爭力， 打造長期價值，本公司於二零二五年五月七日向極氪提交了非約束性報價函，據此，本 公司初步表明其有意進行私有化建議，收購所有已發行及發行在外的極氪股份及美國存 託股票 （本集團實益擁有者除外） ，惟須經進一步磋商及簽訂最終協議方可作實。 非約束性報價函的主要條款如下： 指涉事項及購買價 本公司建議以每股極氪股份2.566美元或每股美國存託股票25.66美元作為對極氪的估值。 每名極氪股東及美國存託股票持有人可 （就其持有的全部極氪股份及╱或美國存託股票）…</x:v>
      </x:c>
      <x:c r="N68" s="41" t="str">
        <x:v>0-无关</x:v>
      </x:c>
      <x:c r="O68" s="41" t="str">
        <x:v>否</x:v>
      </x:c>
      <x:c r="P68" s="57" t="str">
        <x:v>私有化建议明确以资源深度整合、减少重复投入和降低成本为目标；内容与销量和渠道库存缺少业务传导，未提供批发销量与终端零售的差额及渠道库存，不能支持当前判断。</x:v>
      </x:c>
      <x:c r="Q68" s="41" t="str">
        <x:v>B-CODEX-FIN-01</x:v>
      </x:c>
      <x:c r="R68" s="80" t="inlineStr">
        <x:is>
          <x:t>2026-08-30T13:30:00+08:00</x:t>
        </x:is>
      </x:c>
    </x:row>
    <x:row r="69" ht="72" customHeight="1">
      <x:c r="A69" s="64" t="str">
        <x:v>V6-R-Q007-C06</x:v>
      </x:c>
      <x:c r="B69" s="64" t="str">
        <x:v>V6-E-00175-C06</x:v>
      </x:c>
      <x:c r="C69" s="64" t="str">
        <x:v>V6-Q007</x:v>
      </x:c>
      <x:c r="D69" s="40" t="str">
        <x:v>吉利汽车</x:v>
      </x:c>
      <x:c r="E69" s="64" t="str">
        <x:v>00175</x:v>
      </x:c>
      <x:c r="F69" s="87" t="n">
        <x:v>46260.75</x:v>
      </x:c>
      <x:c r="G69" s="51" t="str">
        <x:v>批发销量与终端零售差异是否预示渠道库存压力</x:v>
      </x:c>
      <x:c r="H69" s="64" t="str">
        <x:v>DOC-EVT-00175-00284</x:v>
      </x:c>
      <x:c r="I69" s="51" t="str">
        <x:v>未经审核之二零二五年十月销量</x:v>
      </x:c>
      <x:c r="J69" s="87" t="n">
        <x:v>45963.75568287037</x:v>
      </x:c>
      <x:c r="K69" s="73" t="str">
        <x:v>http://static.cninfo.com.cn/finalpage/2025-11-02/1224781929.PDF</x:v>
      </x:c>
      <x:c r="L69" s="40" t="str">
        <x:v>第1页</x:v>
      </x:c>
      <x:c r="M69"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二零二五年 十 月 銷量 吉利汽車控股有限公司( 「 本公司 」， 連同其附屬公司統稱為 「 本集團 」 ） 董事會欣然宣佈， 本集團於二零二 五 年 十 月 的 汽車 總銷量為307,133 部， 較去年同期 增長約35 % 。詳細如下： 品牌 本月 （部） 去年同期 （部） 同比變動 (%) 今年累計 （部） 去年同期累計 （部） 同比變動 (%) 吉利 245,497 170,563 44 2,030,614 1,321,777 54 其中: 銀河 127,476 63,492 101 1,002,461 349,768 187 極氪 21,423 25,049 -14 165,023 167,922 -2 領克 40,213 31,074 29 281,685 226,677 24 合計 307,133 226,686 35 2,477,322 1,716,376 44 其中： 純電動汽車(BEVs) 98,348 78,858 25 892,072 408,192 119 插電式混動汽車 (PHEVs) 79,534 29,864 166 453,633 246,384 8…</x:v>
      </x:c>
      <x:c r="N69" s="41" t="str">
        <x:v>2-间接相关</x:v>
      </x:c>
      <x:c r="O69" s="41" t="str">
        <x:v>是</x:v>
      </x:c>
      <x:c r="P69" s="57" t="str">
        <x:v>月度公告披露各品牌及纯电、插混汽车批发销量和同比增速；该事实可通过批发销量变化向批零差和渠道库存压力传导，间接验证批发销量与终端零售的差额及渠道库存，关系清晰且可复核。</x:v>
      </x:c>
      <x:c r="Q69" s="41" t="str">
        <x:v>B-CODEX-FIN-01</x:v>
      </x:c>
      <x:c r="R69" s="80" t="inlineStr">
        <x:is>
          <x:t>2026-08-30T13:30:00+08:00</x:t>
        </x:is>
      </x:c>
    </x:row>
    <x:row r="70" ht="72" customHeight="1">
      <x:c r="A70" s="64" t="str">
        <x:v>V6-R-Q007-C07</x:v>
      </x:c>
      <x:c r="B70" s="64" t="str">
        <x:v>V6-E-00175-C07</x:v>
      </x:c>
      <x:c r="C70" s="64" t="str">
        <x:v>V6-Q007</x:v>
      </x:c>
      <x:c r="D70" s="40" t="str">
        <x:v>吉利汽车</x:v>
      </x:c>
      <x:c r="E70" s="64" t="str">
        <x:v>00175</x:v>
      </x:c>
      <x:c r="F70" s="87" t="n">
        <x:v>46260.75</x:v>
      </x:c>
      <x:c r="G70" s="51" t="str">
        <x:v>批发销量与终端零售差异是否预示渠道库存压力</x:v>
      </x:c>
      <x:c r="H70" s="64" t="str">
        <x:v>DOC-EVT-00175-00286</x:v>
      </x:c>
      <x:c r="I70" s="51" t="str">
        <x:v>海外监管公布上市附属公司－ZEEKR INTELLIGENT TECHNOLOGY HOLDING LIMITED二零二五年第三季度未经审核财务业绩公布</x:v>
      </x:c>
      <x:c r="J70" s="87" t="n">
        <x:v>45978.807025462964</x:v>
      </x:c>
      <x:c r="K70" s="73" t="str">
        <x:v>http://static.cninfo.com.cn/finalpage/2025-11-17/1224811004.PDF</x:v>
      </x:c>
      <x:c r="L70" s="40" t="str">
        <x:v>第1页</x:v>
      </x:c>
      <x:c r="M70"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海外監管公佈 上市附屬公司－ZEEKR INTELLIGENT TECHNOLOGY HOLDING LIMITED 二零二五年第三季度未經審核財務業績公佈 本公佈由吉利汽車控股有限公司 （ 「本公司」 ） 根據香港聯合交易所有限公司證券上市規則 第13.10B條而作出。 ZEEKR Intelligent Technology Holding Limited （ 「極氪」 ） 為本公司之非全資附屬公司，其 股份以美國存託股票形式於美國紐約證券交易所上市，已於二零二五年十一月十七日向 美國證券交易委員會遞交表格6-K，內容有關極氪截至二零二五年第三季度之未經審核財 務業績 （ 「二零二五年第三季度業績」 ） 。詳情請參閱隨附之二零二五年第三季度業績。 本公佈以英文發佈，並備有中文譯本。如中英文版本內容有任何歧義或不一致，概以英 文版本為準。 承董事會命 吉利汽車控股有限公司 公司秘書 張頌仁 香港，二零二五年十一月十七日 於本公佈日期，本公司執行董事為李書福先生 （主席） 、李東輝先生 （副主席） 、桂生悅先 生 （行政總裁） 、淦家閱先生及毛鑒明先生；而本公司獨立非執行董事為高劼…</x:v>
      </x:c>
      <x:c r="N70" s="41" t="str">
        <x:v>1-弱相关</x:v>
      </x:c>
      <x:c r="O70" s="41" t="str">
        <x:v>否</x:v>
      </x:c>
      <x:c r="P70" s="57" t="str">
        <x:v>公告说明极氪发布季度未经审核财务业绩，但摘录未列核心经营指标；虽与销量和渠道库存主题相近，但未提供批发销量与终端零售的差额及渠道库存，不足以建立可靠传导链。</x:v>
      </x:c>
      <x:c r="Q70" s="41" t="str">
        <x:v>B-CODEX-FIN-01</x:v>
      </x:c>
      <x:c r="R70" s="80" t="inlineStr">
        <x:is>
          <x:t>2026-08-30T13:30:00+08:00</x:t>
        </x:is>
      </x:c>
    </x:row>
    <x:row r="71" ht="72" customHeight="1">
      <x:c r="A71" s="64" t="str">
        <x:v>V6-R-Q007-C08</x:v>
      </x:c>
      <x:c r="B71" s="64" t="str">
        <x:v>V6-E-00175-C08</x:v>
      </x:c>
      <x:c r="C71" s="64" t="str">
        <x:v>V6-Q007</x:v>
      </x:c>
      <x:c r="D71" s="40" t="str">
        <x:v>吉利汽车</x:v>
      </x:c>
      <x:c r="E71" s="64" t="str">
        <x:v>00175</x:v>
      </x:c>
      <x:c r="F71" s="87" t="n">
        <x:v>46260.75</x:v>
      </x:c>
      <x:c r="G71" s="51" t="str">
        <x:v>批发销量与终端零售差异是否预示渠道库存压力</x:v>
      </x:c>
      <x:c r="H71" s="64" t="str">
        <x:v>DOC-EVT-00175-00285</x:v>
      </x:c>
      <x:c r="I71" s="51" t="str">
        <x:v>截至二零二五年九月三十日止九个月之第三季度业绩公布</x:v>
      </x:c>
      <x:c r="J71" s="87" t="n">
        <x:v>45978.502858796295</x:v>
      </x:c>
      <x:c r="K71" s="73" t="str">
        <x:v>http://static.cninfo.com.cn/finalpage/2025-11-17/1224808624.PDF</x:v>
      </x:c>
      <x:c r="L71" s="40" t="str">
        <x:v>第1页</x:v>
      </x:c>
      <x:c r="M71" s="51" t="str">
        <x:v>- 1 - பd࿁Չ Ͼପ͛ ዄ΂Оப΂f 吉利汽車控股有限公司 GEELY AUTOMOBILE HOLDINGS LIMITED ʮ̡ ΅˾໮j175ಥ࿆ᓞ̨ ʿ80175ɛ͏࿆ᓞ̨ 截至二零二五年九月三十日止九個月之 第三季度業績公佈 ʮ̡  本公司໨ ԫ ึ董事會᙮ʮ̡  本 集團ၝΥุᐶdஹΝɚཧɚ̬ϋ d  ᄲቡf 一、 主要財務數據和指標 ఊЗjɛ͏࿆  人民幣ϵ ຬ ʩ 財務摘要 截至九月三十日止三個月 Νˢ 同比 ᜊਗ(%) 截至九月三十日止九個月 Νˢ ᜊਗ(%) 二零二五年 （未經審核） ɚཧɚ̬ϋ ࣨ ΐ 二零二五年 （未經審核） ɚཧɚ̬ϋ ࣨ ΐ ቖඎ ຬሿ 76.10 53.40 43 217.02 148.97 46 ϗɝ 89,192 70,486 27 239,477 189,534 26 ๐л 3,820 2,398 59 13,110 13,213 (1) 財務摘要 於二零二五年 九月三十日 （未經審核） ɚཧɚ̬ϋ ɤɚ˜ɧɤɓ˚ ΐ ᜊਗ(%) ᐼ༟ପ 274,436 271,074 1 ͎ʮ̡ኹϞɛᏐЦᛆू 93,516 86,538 8</x:v>
      </x:c>
      <x:c r="N71" s="41" t="str">
        <x:v>2-间接相关</x:v>
      </x:c>
      <x:c r="O71" s="41" t="str">
        <x:v>是</x:v>
      </x:c>
      <x:c r="P71" s="57" t="str">
        <x:v>季度业绩披露销量、收入和利润同比变化，可观察经营规模与盈利；该事实可通过批发销量变化向批零差和渠道库存压力传导，间接验证批发销量与终端零售的差额及渠道库存，关系清晰且可复核。</x:v>
      </x:c>
      <x:c r="Q71" s="41" t="str">
        <x:v>B-CODEX-FIN-01</x:v>
      </x:c>
      <x:c r="R71" s="80" t="inlineStr">
        <x:is>
          <x:t>2026-08-30T13:30:00+08:00</x:t>
        </x:is>
      </x:c>
    </x:row>
    <x:row r="72" ht="72" customHeight="1">
      <x:c r="A72" s="64" t="str">
        <x:v>V6-R-Q008-C05</x:v>
      </x:c>
      <x:c r="B72" s="64" t="str">
        <x:v>V6-E-09868-C05</x:v>
      </x:c>
      <x:c r="C72" s="64" t="str">
        <x:v>V6-Q008</x:v>
      </x:c>
      <x:c r="D72" s="40" t="str">
        <x:v>小鹏汽车</x:v>
      </x:c>
      <x:c r="E72" s="64" t="str">
        <x:v>09868</x:v>
      </x:c>
      <x:c r="F72" s="87" t="n">
        <x:v>46260.75</x:v>
      </x:c>
      <x:c r="G72" s="51" t="str">
        <x:v>大众化车型放量能否在保持毛利率的同时扩大市场份额</x:v>
      </x:c>
      <x:c r="H72" s="64" t="str">
        <x:v>DOC-EVT-09868-00106</x:v>
      </x:c>
      <x:c r="I72" s="51" t="str">
        <x:v>自愿公告2025年5月智能车交付数据</x:v>
      </x:c>
      <x:c r="J72" s="87" t="n">
        <x:v>45810.69318287037</x:v>
      </x:c>
      <x:c r="K72" s="73" t="str">
        <x:v>http://static.cninfo.com.cn/finalpage/2025-06-02/1223739986.PDF</x:v>
      </x:c>
      <x:c r="L72" s="40" t="str">
        <x:v>第1页</x:v>
      </x:c>
      <x:c r="M72"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年5 月智能車交付數據 XPeng Inc. （「本公司」或「小鵬汽車」）之董事會欣然宣佈其2025年5月車輛交付數 據。 2025年5月，小鵬汽車共交付智能電動汽車33,525輛，同比增長230%。小鵬汽車已連續 第七個月交付量超過了30,000輛。2025年前五個月，小鵬汽車共交付162,578輛智能電 動車，與去年同期相比增長了293%。 2025年5月28日，本公司推出了MONA M03 Max 。MONA M03 Max 首次將城市AI智能 駕駛的入門門檻降低至15萬元人民幣區間，使先進的汽車技術更易於年輕用戶獲取。 MONA M03 Max 也是首款搭載AI天璣XOS 5.7.0 的小鵬汽車車型，提供超過300項新功 能。 2025年5月，小鵬汽車智能導航輔助駕駛（XNGP）的城區智駕月度活躍用戶滲透率達 85%。值得注意的是，小鵬MONA M03 Max 首次應用了人機共駕技術，使智能輔助駕 駛系統（ADAS）和駕駛員能夠共享控制，實現手動駕駛與智能駕駛之間的無縫協作。 本公司股東及潛在投資者於買賣本公司證券時，務請謹慎行事。 承董事會命 XPeng Inc. 董事長 何小鵬 香港，2025年6月2日（星期一） 本公告載有前瞻性陳述。前…</x:v>
      </x:c>
      <x:c r="N72" s="41" t="str">
        <x:v>3-直接相关</x:v>
      </x:c>
      <x:c r="O72" s="41" t="str">
        <x:v>是</x:v>
      </x:c>
      <x:c r="P72" s="57" t="str">
        <x:v>交付公告披露月度交付同比增长230%、MONA M03价格带及XNGP渗透率85%；证据直接披露或决定大众化车型销量、市场份额及对应毛利率，可直接用于回答当前查询。</x:v>
      </x:c>
      <x:c r="Q72" s="41" t="str">
        <x:v>B-CODEX-FIN-01</x:v>
      </x:c>
      <x:c r="R72" s="80" t="inlineStr">
        <x:is>
          <x:t>2026-08-30T13:30:00+08:00</x:t>
        </x:is>
      </x:c>
    </x:row>
    <x:row r="73" ht="72" customHeight="1">
      <x:c r="A73" s="64" t="str">
        <x:v>V6-R-Q008-C10</x:v>
      </x:c>
      <x:c r="B73" s="64" t="str">
        <x:v>V6-E-09868-C10</x:v>
      </x:c>
      <x:c r="C73" s="64" t="str">
        <x:v>V6-Q008</x:v>
      </x:c>
      <x:c r="D73" s="40" t="str">
        <x:v>小鹏汽车</x:v>
      </x:c>
      <x:c r="E73" s="64" t="str">
        <x:v>09868</x:v>
      </x:c>
      <x:c r="F73" s="87" t="n">
        <x:v>46260.75</x:v>
      </x:c>
      <x:c r="G73" s="51" t="str">
        <x:v>大众化车型放量能否在保持毛利率的同时扩大市场份额</x:v>
      </x:c>
      <x:c r="H73" s="64" t="str">
        <x:v>DOC-EVT-09868-00183</x:v>
      </x:c>
      <x:c r="I73" s="51" t="str">
        <x:v>董事会会议通告</x:v>
      </x:c>
      <x:c r="J73" s="87" t="n">
        <x:v>46238.720972222225</x:v>
      </x:c>
      <x:c r="K73" s="73" t="str">
        <x:v>http://static.cninfo.com.cn/finalpage/2026-08-04/1225457545.PDF</x:v>
      </x:c>
      <x:c r="L73" s="40" t="str">
        <x:v>第1页</x:v>
      </x:c>
      <x:c r="M73" s="51" t="str">
        <x:v>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 XPeng Inc. 小鵬集團 * （於開曼群島註冊成立以不同投票權控制的有限公司） （股份代號：9868） 董事會會議通告 XPeng Inc. （「本公司」）董事會（「董事會」）謹此宣佈，董事會會議將於 2026年8月24日（星期一）舉行，藉以（其中包括）考慮及批准(i) 本公司及其附 屬公司截至2026年6月30日止三個月之第二季度業績及其發佈；以及 (ii) 本公司 及其附屬公司截至2026年6月30日止六個月之中期業績及其發佈。 本公司的管理層將於美國東部時間2026年8月24日上午八時正（即北京╱香港時 間2026年8月24日的下午八時正）舉行業績電話會議。 有意以電話方式撥入會議的參加者，請進入下方鏈接完成預登記並請於預定開 始時間前五分鐘撥入。登記完成後，每位參加者將收到業績電話會議的電話撥 入詳情。 會議主題： XPENG 2026年第二季度業績電話會 預登記鏈接： https://s1.c-conf.com/diamondpass/10056093-aweri7.html 此外，本次電話會議的網上直播及錄音將在本公司的投資者關係網站 （http://ir.xiaopeng.com）上提供。 電話會議結束後約一小時直至2026年9月1日為止，電話會議的…</x:v>
      </x:c>
      <x:c r="N73" s="41" t="str">
        <x:v>0-无关</x:v>
      </x:c>
      <x:c r="O73" s="41" t="str">
        <x:v>否</x:v>
      </x:c>
      <x:c r="P73" s="57" t="str">
        <x:v>通告仅安排季度和中期业绩审议及电话会；内容与大众车型放量与盈利缺少业务传导，未提供大众化车型销量、市场份额及对应毛利率，不能支持当前判断。</x:v>
      </x:c>
      <x:c r="Q73" s="41" t="str">
        <x:v>B-CODEX-FIN-01</x:v>
      </x:c>
      <x:c r="R73" s="80" t="inlineStr">
        <x:is>
          <x:t>2026-08-30T13:30:00+08:00</x:t>
        </x:is>
      </x:c>
    </x:row>
    <x:row r="74" ht="72" customHeight="1">
      <x:c r="A74" s="64" t="str">
        <x:v>V6-R-Q008-C08</x:v>
      </x:c>
      <x:c r="B74" s="64" t="str">
        <x:v>V6-E-09868-C08</x:v>
      </x:c>
      <x:c r="C74" s="64" t="str">
        <x:v>V6-Q008</x:v>
      </x:c>
      <x:c r="D74" s="40" t="str">
        <x:v>小鹏汽车</x:v>
      </x:c>
      <x:c r="E74" s="64" t="str">
        <x:v>09868</x:v>
      </x:c>
      <x:c r="F74" s="87" t="n">
        <x:v>46260.75</x:v>
      </x:c>
      <x:c r="G74" s="51" t="str">
        <x:v>大众化车型放量能否在保持毛利率的同时扩大市场份额</x:v>
      </x:c>
      <x:c r="H74" s="64" t="str">
        <x:v>DOC-EVT-09868-00172</x:v>
      </x:c>
      <x:c r="I74" s="51" t="str">
        <x:v>小鹏集团发布2026年第一季度的未经审计财务业绩</x:v>
      </x:c>
      <x:c r="J74" s="87" t="n">
        <x:v>46170.722349537034</x:v>
      </x:c>
      <x:c r="K74" s="73" t="str">
        <x:v>http://static.cninfo.com.cn/finalpage/2026-05-28/1225335396.PDF</x:v>
      </x:c>
      <x:c r="L74" s="40" t="str">
        <x:v>第1页</x:v>
      </x:c>
      <x:c r="M74" s="51" t="str">
        <x:v>1 ڌ ዄ΂Оப ΂f XPeng Inc. ʃᘄණྠ * ʮ̡ ΅˾໮j 9868 ʃᘄණྠ೯б 2026ৌਕุᐶ ୋ 13.09ኽᗇՎʿಂ஬ૢԷ Էୋ 571௝ ୋXIVA௅Ͼ̊೯f h ࿚Ї2026ϋ3˜31ږ i ɛ͏࿆ 420.9ᄂ ʩ61.0ʩ h ɛ͏࿆ 130.3ࠥ17.6% h މ20.6%d༰2025ϋΝಂɪʺ 5.0ϵʱᓃ h މ12.1%d༰2025ϋΝಂɪʺ 1.6ϵʱᓃ ʕ਷ᄿψ d2026ϋ5˜28˚ { ٙAIҦʮ̡ XPeng Inc.ʃᘄණྠ͉ʮ ̡˾໮jXPEV˾໮j 9868 ʦ˂ʮбՉ࿚Ї2026ϋ3˜31˜ ৌਕุᐶf ࿚Ї2026ϋ3˜31ࠅ 2026ϋ ܓ֙ 2025ϋ ܓ֙ 2025ϋ ܓ֙ 2025ϋ ܓ֙ 2025ϋ ܓ֙ 2024ϋ ܓ֙ ᐼʹ˹ඎ 62,682 116,249 116,007 103,181 94,008 91,507 h 2026ܓ֙ӛԓᐼʹ˹ඎމ62,682ሿd༰2025ٙ94,008ࠥ33.3%f h ࿚Ї2026ϋ3˜31˚dྼ᜗ቖਯၣഖ ΍Ϟ733dᔧႊ 256̹f i Փ೵ಂπಛe೵ಂ ਗ௅ʱf</x:v>
      </x:c>
      <x:c r="N74" s="41" t="str">
        <x:v>3-直接相关</x:v>
      </x:c>
      <x:c r="O74" s="41" t="str">
        <x:v>是</x:v>
      </x:c>
      <x:c r="P74" s="57" t="str">
        <x:v>季度业绩披露交付量、总收入、综合毛利率及汽车毛利率；证据直接披露或决定大众化车型销量、市场份额及对应毛利率，可直接用于回答当前查询。</x:v>
      </x:c>
      <x:c r="Q74" s="41" t="str">
        <x:v>B-CODEX-FIN-01</x:v>
      </x:c>
      <x:c r="R74" s="80" t="inlineStr">
        <x:is>
          <x:t>2026-08-30T13:30:00+08:00</x:t>
        </x:is>
      </x:c>
    </x:row>
    <x:row r="75" ht="72" customHeight="1">
      <x:c r="A75" s="64" t="str">
        <x:v>V6-R-Q008-C01</x:v>
      </x:c>
      <x:c r="B75" s="64" t="str">
        <x:v>V6-E-09868-C01</x:v>
      </x:c>
      <x:c r="C75" s="64" t="str">
        <x:v>V6-Q008</x:v>
      </x:c>
      <x:c r="D75" s="40" t="str">
        <x:v>小鹏汽车</x:v>
      </x:c>
      <x:c r="E75" s="64" t="str">
        <x:v>09868</x:v>
      </x:c>
      <x:c r="F75" s="87" t="n">
        <x:v>46260.75</x:v>
      </x:c>
      <x:c r="G75" s="51" t="str">
        <x:v>大众化车型放量能否在保持毛利率的同时扩大市场份额</x:v>
      </x:c>
      <x:c r="H75" s="64" t="str">
        <x:v>DOC-EVT-09868-00118</x:v>
      </x:c>
      <x:c r="I75" s="51" t="str">
        <x:v>小鹏汽车发布2025年第二季度的未经审计财务业绩</x:v>
      </x:c>
      <x:c r="J75" s="87" t="n">
        <x:v>45888.99998842592</x:v>
      </x:c>
      <x:c r="K75" s="73" t="str">
        <x:v>http://static.cninfo.com.cn/finalpage/2025-08-19/1224520517.PDF</x:v>
      </x:c>
      <x:c r="L75" s="40" t="str">
        <x:v>第1页</x:v>
      </x:c>
      <x:c r="M75" s="51" t="str">
        <x:v>1 ڌ ዄ΂Оப ΂f XPeng Inc. ʮ̡ * ʮ̡ ΅˾໮j 9868 ʃᘄӛԓ೯б 2025ৌਕุᐶ ୋ 13.09ኽᗇՎʿಂ஬ૢ Էୋ571௝ ୋXIVA௅Ͼ̊೯f h ࿚Ї2025ϋ6˜30ɛ͏ ࿆475.7ᄂ ʩ66.4ʩ h ɛ͏࿆ 182.7ϋᄣ̋ 125.3% h މ17.3%d༰2024ϋΝಂɪʺ 3.3ϵʱᓃ h މ14.3%d༰2024ϋΝಂɪʺ 7.9ϵʱᓃ ʕ਷ᄿψ d2025ϋ8˜19˚ { ౽ঐཥਗӛԓ  ౽ঐཥਗӛԓ ʮ ̡XPeng Inc. ʃᘄӛԓ͉ʮ̡˾໮jXPEV˾໮j 9868 ʦ˂ʮбՉ࿚Ї2025 ϋ6˜30ৌਕุᐶf ࿚Ї2025ϋ6˜30ࠅ 2025ϋ ܓ֙ 2025ϋ ܓ֙ 2024ϋ ܓ֙ 2024ϋ ܓ֙ 2024ϋ ܓ֙ 2024ϋ ܓ֙ ᐼʹ˹ඎ 103,181 94,008 91,507 46,533 30,207 21,821 h 2025ӛԓ ᐼʹ˹ඎމ103,181ሿd༰2024ٙ30,207ሿᄣ̋ 241.6%f h ࿚Ї2025ϋ6˜30˚dྼ᜗ቖਯၣഖ ΍Ϟ677dᔧႊ 224̹f h ࿚Ї2025ϋ6˜30˚dʃᘄӛԓІᐄ̂ཥ१ၣഖ༺Ї 2,348ܼ1,304ʃᘄ S4ʿS5൴Ҟ̂१f</x:v>
      </x:c>
      <x:c r="N75" s="41" t="str">
        <x:v>3-直接相关</x:v>
      </x:c>
      <x:c r="O75" s="41" t="str">
        <x:v>是</x:v>
      </x:c>
      <x:c r="P75" s="57" t="str">
        <x:v>季度业绩披露交付增长、总收入和汽车毛利率改善；证据直接披露或决定大众化车型销量、市场份额及对应毛利率，可直接用于回答当前查询。</x:v>
      </x:c>
      <x:c r="Q75" s="41" t="str">
        <x:v>B-CODEX-FIN-01</x:v>
      </x:c>
      <x:c r="R75" s="80" t="inlineStr">
        <x:is>
          <x:t>2026-08-30T13:30:00+08:00</x:t>
        </x:is>
      </x:c>
    </x:row>
    <x:row r="76" ht="72" customHeight="1">
      <x:c r="A76" s="64" t="str">
        <x:v>V6-R-Q008-C04</x:v>
      </x:c>
      <x:c r="B76" s="64" t="str">
        <x:v>V6-E-09868-C04</x:v>
      </x:c>
      <x:c r="C76" s="64" t="str">
        <x:v>V6-Q008</x:v>
      </x:c>
      <x:c r="D76" s="40" t="str">
        <x:v>小鹏汽车</x:v>
      </x:c>
      <x:c r="E76" s="64" t="str">
        <x:v>09868</x:v>
      </x:c>
      <x:c r="F76" s="87" t="n">
        <x:v>46260.75</x:v>
      </x:c>
      <x:c r="G76" s="51" t="str">
        <x:v>大众化车型放量能否在保持毛利率的同时扩大市场份额</x:v>
      </x:c>
      <x:c r="H76" s="64" t="str">
        <x:v>DOC-EVT-09868-00018</x:v>
      </x:c>
      <x:c r="I76" s="51" t="str">
        <x:v>变更香港主要营业地点</x:v>
      </x:c>
      <x:c r="J76" s="87" t="n">
        <x:v>45387.75450231481</x:v>
      </x:c>
      <x:c r="K76" s="73" t="str">
        <x:v>http://static.cninfo.com.cn/finalpage/2024-04-05/1219525302.PDF</x:v>
      </x:c>
      <x:c r="L76" s="40" t="str">
        <x:v>第1页</x:v>
      </x:c>
      <x:c r="M76"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2024 年 4 月 5 日 起，本公司之香港主要營業地點之地址將由香港中環康樂廣場1號怡和大廈39樓 3911室遷移至香港九龍觀塘道348號宏利廣場5樓。 承董事會命 XPeng Inc. 董事長 何小鵬 香港，2024年4月5日（星期五） 於本公告日期，本公司董事會由執行董事何小鵬先生，非執行董事符績勳先生及楊飛先生 ，以及獨立非執行董事楊東皓先生、瞿芳女士及張宏江先生組成。 * 僅供識別</x:v>
      </x:c>
      <x:c r="N76" s="41" t="str">
        <x:v>0-无关</x:v>
      </x:c>
      <x:c r="O76" s="41" t="str">
        <x:v>否</x:v>
      </x:c>
      <x:c r="P76" s="57" t="str">
        <x:v>公告仅变更香港主要营业地点；内容与大众车型放量与盈利缺少业务传导，未提供大众化车型销量、市场份额及对应毛利率，不能支持当前判断。</x:v>
      </x:c>
      <x:c r="Q76" s="41" t="str">
        <x:v>B-CODEX-FIN-01</x:v>
      </x:c>
      <x:c r="R76" s="80" t="inlineStr">
        <x:is>
          <x:t>2026-08-30T13:30:00+08:00</x:t>
        </x:is>
      </x:c>
    </x:row>
    <x:row r="77" ht="72" customHeight="1">
      <x:c r="A77" s="64" t="str">
        <x:v>V6-R-Q008-C09</x:v>
      </x:c>
      <x:c r="B77" s="64" t="str">
        <x:v>V6-E-09868-C09</x:v>
      </x:c>
      <x:c r="C77" s="64" t="str">
        <x:v>V6-Q008</x:v>
      </x:c>
      <x:c r="D77" s="40" t="str">
        <x:v>小鹏汽车</x:v>
      </x:c>
      <x:c r="E77" s="64" t="str">
        <x:v>09868</x:v>
      </x:c>
      <x:c r="F77" s="87" t="n">
        <x:v>46260.75</x:v>
      </x:c>
      <x:c r="G77" s="51" t="str">
        <x:v>大众化车型放量能否在保持毛利率的同时扩大市场份额</x:v>
      </x:c>
      <x:c r="H77" s="64" t="str">
        <x:v>DOC-EVT-09868-00100</x:v>
      </x:c>
      <x:c r="I77" s="51" t="str">
        <x:v>股东周年大会通告</x:v>
      </x:c>
      <x:c r="J77" s="87" t="n">
        <x:v>45789.81402777778</x:v>
      </x:c>
      <x:c r="K77" s="73" t="str">
        <x:v>http://static.cninfo.com.cn/finalpage/2025-05-12/1223529005.PDF</x:v>
      </x:c>
      <x:c r="L77" s="40" t="str">
        <x:v>第6页</x:v>
      </x:c>
      <x:c r="M77"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77" s="41" t="str">
        <x:v>0-无关</x:v>
      </x:c>
      <x:c r="O77" s="41" t="str">
        <x:v>否</x:v>
      </x:c>
      <x:c r="P77" s="57" t="str">
        <x:v>股东周年大会通告主要为登记和投票程序；内容与大众车型放量与盈利缺少业务传导，未提供大众化车型销量、市场份额及对应毛利率，不能支持当前判断。</x:v>
      </x:c>
      <x:c r="Q77" s="41" t="str">
        <x:v>B-CODEX-FIN-01</x:v>
      </x:c>
      <x:c r="R77" s="80" t="inlineStr">
        <x:is>
          <x:t>2026-08-30T13:30:00+08:00</x:t>
        </x:is>
      </x:c>
    </x:row>
    <x:row r="78" ht="72" customHeight="1">
      <x:c r="A78" s="64" t="str">
        <x:v>V6-R-Q008-C02</x:v>
      </x:c>
      <x:c r="B78" s="64" t="str">
        <x:v>V6-E-09868-C02</x:v>
      </x:c>
      <x:c r="C78" s="64" t="str">
        <x:v>V6-Q008</x:v>
      </x:c>
      <x:c r="D78" s="40" t="str">
        <x:v>小鹏汽车</x:v>
      </x:c>
      <x:c r="E78" s="64" t="str">
        <x:v>09868</x:v>
      </x:c>
      <x:c r="F78" s="87" t="n">
        <x:v>46260.75</x:v>
      </x:c>
      <x:c r="G78" s="51" t="str">
        <x:v>大众化车型放量能否在保持毛利率的同时扩大市场份额</x:v>
      </x:c>
      <x:c r="H78" s="64" t="str">
        <x:v>DOC-EVT-09868-00014</x:v>
      </x:c>
      <x:c r="I78" s="51" t="str">
        <x:v>终止与淘宝中国的相关协议及非执行董事之辞任</x:v>
      </x:c>
      <x:c r="J78" s="87" t="n">
        <x:v>45370.76291666667</x:v>
      </x:c>
      <x:c r="K78" s="73" t="str">
        <x:v>http://static.cninfo.com.cn/finalpage/2024-03-19/1219346761.PDF</x:v>
      </x:c>
      <x:c r="L78" s="40" t="str">
        <x:v>第1页</x:v>
      </x:c>
      <x:c r="M78" s="51" t="str">
        <x:v>1 香港交易及結算所有限公司及香港聯合交易所有限公司對本公告的內容概不負責，對其準確性或完整性亦不發表聲明， 並明確表示概不會就本公告全部或部分內容而產生或因倚賴該等內容而引致之任何損失承擔任何責任。 終止與淘寶中國的相關協議 及 非執行董事之辭任 終止相關協議 茲提述 XPeng Inc.（「本公司」或「小鵬汽車」）於 2021 年 6 月 25 日在香港聯合交易所有限公司 （「香港聯交所」）網站發佈的招股章程（「香港招股章程」）。除非文義另有所指外，本公告所 用詞彙與香港招股章程所界定者具有相同涵義。 如香港招股章程所披露，於2021年6月22日，淘寶中國、何小鵬先生（「何先生」）及本公司訂立了 協議（「相關協議」），據此，其中包括，何先生向淘寶中國承諾，如在上市生效後任何時間，淘 寶中國根據組織章程大綱及細則提名阿里巴巴候選人，則何小鵬先生將以其作為本公司股東的身份， 在適用法律及法規以及組織章程大綱及細則允許的範圍下，投票（及╱或促使其所控制的投票權投 票）贊成在本公司有關股東大會上提呈有關委任該阿里巴巴候選人為董事的任何決議案，前提是（其 中包括）：（1）阿里巴巴候選人符合適用法律及法規以及組織章程大綱及細則下關於本公司董事的 要求；及（2）如阿里巴巴集團控股有限公司的所有聯屬公司於本公司的總持股量少於本公司已發行 股份總數的5%，本承諾將失效。 2024年3月19日，基於相互間自願協商，淘寶中國、何先生及本公司簽署書面協議，根據該協議，淘 寶中國、何先生及本公司…</x:v>
      </x:c>
      <x:c r="N78" s="41" t="str">
        <x:v>0-无关</x:v>
      </x:c>
      <x:c r="O78" s="41" t="str">
        <x:v>否</x:v>
      </x:c>
      <x:c r="P78" s="57" t="str">
        <x:v>公告仅涉及与淘宝中国协议终止和董事辞任；内容与大众车型放量与盈利缺少业务传导，未提供大众化车型销量、市场份额及对应毛利率，不能支持当前判断。</x:v>
      </x:c>
      <x:c r="Q78" s="41" t="str">
        <x:v>B-CODEX-FIN-01</x:v>
      </x:c>
      <x:c r="R78" s="80" t="inlineStr">
        <x:is>
          <x:t>2026-08-30T13:30:00+08:00</x:t>
        </x:is>
      </x:c>
    </x:row>
    <x:row r="79" ht="72" customHeight="1">
      <x:c r="A79" s="64" t="str">
        <x:v>V6-R-Q008-C07</x:v>
      </x:c>
      <x:c r="B79" s="64" t="str">
        <x:v>V6-E-09868-C07</x:v>
      </x:c>
      <x:c r="C79" s="64" t="str">
        <x:v>V6-Q008</x:v>
      </x:c>
      <x:c r="D79" s="40" t="str">
        <x:v>小鹏汽车</x:v>
      </x:c>
      <x:c r="E79" s="64" t="str">
        <x:v>09868</x:v>
      </x:c>
      <x:c r="F79" s="87" t="n">
        <x:v>46260.75</x:v>
      </x:c>
      <x:c r="G79" s="51" t="str">
        <x:v>大众化车型放量能否在保持毛利率的同时扩大市场份额</x:v>
      </x:c>
      <x:c r="H79" s="64" t="str">
        <x:v>DOC-EVT-09868-00083</x:v>
      </x:c>
      <x:c r="I79" s="51" t="str">
        <x:v>小鹏汽车发布2024 年第四季度及2024财政年度的未经审计财务业绩</x:v>
      </x:c>
      <x:c r="J79" s="87" t="n">
        <x:v>45734.75450231481</x:v>
      </x:c>
      <x:c r="K79" s="73" t="str">
        <x:v>http://static.cninfo.com.cn/finalpage/2025-03-18/1222833976.PDF</x:v>
      </x:c>
      <x:c r="L79" s="40" t="str">
        <x:v>第1页</x:v>
      </x:c>
      <x:c r="M79" s="51" t="str">
        <x:v>1 ڌ ዄ΂Оப ΂f XPeng Inc. ʮ̡ * ʮ̡ ΅˾໮j 9868 ʃᘄӛԓ೯б 2024ʿ 2024ৌਕุᐶ ୋ 13.09ኽᗇՎʿಂ஬ૢ Էୋ571௝ ୋXIVA௅Ͼ̊೯f h ࿚Ї2024ϋ12˜31ɛ ͏࿆419.6ᄂ ʩ57.5ʩ h ɛ͏࿆ 161.1ᄣ̋ 59.4% h މ14.4%d༰2023ϋΝಂɪʺ 8.2ϵʱᓃ h މ10.0%d༰2023ϋΝಂɪʺ 5.9ϵʱᓃ h Όϋӛԓʹ˹ඎ༺ 190,068ϋɪʺ 34.2% h Όϋᐼϗɝ༺ɛ͏࿆ 408.7ϋɪʺ 33.2% h މ14.3%ϋɪʺ 12.8ϵʱᓃ ʕ਷ᄿψ d2025ϋ3˜18˚ { ౽ঐཥਗӛԓ  ౽ঐཥਗӛԓ ʮ ̡XPeng Inc. ʃᘄӛԓ͉ʮ̡˾໮jXPEV˾໮j 9868 ʦ˂ʮбՉ࿚Ї2024 ϋ12˜31ৌਕุᐶf ࿚Ї2024ϋ12˜31ࠅ 2024ϋ ܓ֙ 2024ϋ ܓ֙ 2024ϋ ܓ֙ 2024ϋ ܓ֙ 2023ϋ ܓ֙ 2023ϋ ܓ֙ ᐼʹ˹ඎ 91,507 46,533 30,207 21,821 60,158 40,008 h 2024ܓ֙ӛԓᐼʹ˹ඎމ91,507ሿd༰2023ٙ60,158ሿᄣ̋ 52.1%f h ࿚Ї2024ϋ12˜31˚dྼ᜗ቖਯၣഖ ΍Ϟ690dᔧႊ 226̹f h ࿚Ї2024ϋ12˜31˚dʃᘄӛԓІᐄ̂ཥ१ၣഖ༺Ї 1,920ܼ928ʃᘄ S4ʿS5൴Ҟ̂१f</x:v>
      </x:c>
      <x:c r="N79" s="41" t="str">
        <x:v>3-直接相关</x:v>
      </x:c>
      <x:c r="O79" s="41" t="str">
        <x:v>是</x:v>
      </x:c>
      <x:c r="P79" s="57" t="str">
        <x:v>年度业绩披露交付量、收入及综合和汽车毛利率同比改善；证据直接披露或决定大众化车型销量、市场份额及对应毛利率，可直接用于回答当前查询。</x:v>
      </x:c>
      <x:c r="Q79" s="41" t="str">
        <x:v>B-CODEX-FIN-01</x:v>
      </x:c>
      <x:c r="R79" s="80" t="inlineStr">
        <x:is>
          <x:t>2026-08-30T13:30:00+08:00</x:t>
        </x:is>
      </x:c>
    </x:row>
    <x:row r="80" ht="72" customHeight="1">
      <x:c r="A80" s="64" t="str">
        <x:v>V6-R-Q008-C06</x:v>
      </x:c>
      <x:c r="B80" s="64" t="str">
        <x:v>V6-E-09868-C06</x:v>
      </x:c>
      <x:c r="C80" s="64" t="str">
        <x:v>V6-Q008</x:v>
      </x:c>
      <x:c r="D80" s="40" t="str">
        <x:v>小鹏汽车</x:v>
      </x:c>
      <x:c r="E80" s="64" t="str">
        <x:v>09868</x:v>
      </x:c>
      <x:c r="F80" s="87" t="n">
        <x:v>46260.75</x:v>
      </x:c>
      <x:c r="G80" s="51" t="str">
        <x:v>大众化车型放量能否在保持毛利率的同时扩大市场份额</x:v>
      </x:c>
      <x:c r="H80" s="64" t="str">
        <x:v>DOC-EVT-09868-00055</x:v>
      </x:c>
      <x:c r="I80" s="51" t="str">
        <x:v>自愿公告控股股东增加持股</x:v>
      </x:c>
      <x:c r="J80" s="87" t="n">
        <x:v>45530.32928240741</x:v>
      </x:c>
      <x:c r="K80" s="73" t="str">
        <x:v>http://static.cninfo.com.cn/finalpage/2024-08-26/1220977275.PDF</x:v>
      </x:c>
      <x:c r="L80" s="40" t="str">
        <x:v>第1页</x:v>
      </x:c>
      <x:c r="M80" s="51" t="str">
        <x:v>香港交易及結算所有限公司及香港聯合交易所有限公司對本公告之內容概不負責，對其準確性或完整性亦不發表聲 明，並明確表示概不會就本公告全部或任何部分內容而產生或因依賴該等內容而引致之任何損失承擔任何責任。 XPeng Inc. 小鵬汽車有限公司 * （於開曼群島註冊成立以不同投票權控制的有限公司 ） （股份代號 ：9868） 自 願 公 告 控 股 股 東 增 加 持 股 本公告乃由 XP en g In c. （「本公司 」）自願作出。 本公司董事會（「 董事會 」）獲 本公司的聯合創始人、執行董事、董事長、首席執行官 兼控股股東何小鵬先生（「 何先生 」）通知 ，何先生 於20 2 4年8 月21 日至 2 0 24年8 月23 日，已於公開市場（ i）購買本公司合共 1, 0 0 0, 0 00股A類普通股（「 A類普通股 」），平 均 價 為 每 股A 類 普 通 股27 . 13 港 元 ， 及 （ii ）通 過 由 其 全 資 擁 有 的Gal ax y D yn as t y Li m i t ed（「Gal a xy Dyn as ty 」）購買本公司合共 1 , 41 9 ,9 2 2股美國存託股（「 美國存託 股」），平均價為每股美國存託股 7. 0 2美元（「 收購事項 」）。 緊接 收購事項 後， (i) Gal ax y D yn as t y 持有本公司 1 , 41 9 ,9 22股美國存託股 ，及 (i i )何先 生於Si mp li cit…</x:v>
      </x:c>
      <x:c r="N80" s="41" t="str">
        <x:v>0-无关</x:v>
      </x:c>
      <x:c r="O80" s="41" t="str">
        <x:v>否</x:v>
      </x:c>
      <x:c r="P80" s="57" t="str">
        <x:v>公告仅披露控股股东在公开市场增持股份；内容与大众车型放量与盈利缺少业务传导，未提供大众化车型销量、市场份额及对应毛利率，不能支持当前判断。</x:v>
      </x:c>
      <x:c r="Q80" s="41" t="str">
        <x:v>B-CODEX-FIN-01</x:v>
      </x:c>
      <x:c r="R80" s="80" t="inlineStr">
        <x:is>
          <x:t>2026-08-30T13:30:00+08:00</x:t>
        </x:is>
      </x:c>
    </x:row>
    <x:row r="81" ht="72" customHeight="1">
      <x:c r="A81" s="64" t="str">
        <x:v>V6-R-Q008-C03</x:v>
      </x:c>
      <x:c r="B81" s="64" t="str">
        <x:v>V6-E-09868-C03</x:v>
      </x:c>
      <x:c r="C81" s="64" t="str">
        <x:v>V6-Q008</x:v>
      </x:c>
      <x:c r="D81" s="40" t="str">
        <x:v>小鹏汽车</x:v>
      </x:c>
      <x:c r="E81" s="64" t="str">
        <x:v>09868</x:v>
      </x:c>
      <x:c r="F81" s="87" t="n">
        <x:v>46260.75</x:v>
      </x:c>
      <x:c r="G81" s="51" t="str">
        <x:v>大众化车型放量能否在保持毛利率的同时扩大市场份额</x:v>
      </x:c>
      <x:c r="H81" s="64" t="str">
        <x:v>DOC-EVT-09868-00162</x:v>
      </x:c>
      <x:c r="I81" s="51" t="str">
        <x:v>股东周年大会登记日期</x:v>
      </x:c>
      <x:c r="J81" s="87" t="n">
        <x:v>46135.866747685184</x:v>
      </x:c>
      <x:c r="K81" s="73" t="str">
        <x:v>http://static.cninfo.com.cn/finalpage/2026-04-23/1225172357.PDF</x:v>
      </x:c>
      <x:c r="L81" s="40" t="str">
        <x:v>第1页</x:v>
      </x:c>
      <x:c r="M81" s="51" t="str">
        <x:v>1 ڌ ዄ΂Оப ΂f XPeng Inc. ʃᘄණྠ * ʮ̡ ΅˾໮j 9868 ඄ϋɽึ೮া˚ಂ XPeng Inc.͉ʮ̡  ʘ໨ԫึ  ໨ԫึбd໨ԫึʊਗ਼2026ϋ5˜14ග ࠽ٰࠦ0.00001ٙAאB೮া˚ ΅೮া˚͉ʮ̡AאBϞ ඄ϋɽึ  ඄ϋɽึึɪҳୃf Ϟ͉ʮ̡ Aᗳ אB׵ڭ2026ϋ5˜14ਗ਼ ΅ཀ˒೮াᐼஈ Ascentium (Cayman) Limitedމ4th Floor, Harbour Place, 103 South Church Street, P.O. Box 10240, Grand Cayman KY 1-1002, Cayman IslandsϞ͉ʮ̡ Aᗳ౷ஷ Νಂග у2026ϋ5˜14ϞϞ ʮ 䅳༸ 16ፄʕː 17ᅽf ࿚Ї2026ϋ5˜14ග  ೮া˚ڌ ͉ʮ̡ A ٰᗫAٰٙ ͪf</x:v>
      </x:c>
      <x:c r="N81" s="41" t="str">
        <x:v>0-无关</x:v>
      </x:c>
      <x:c r="O81" s="41" t="str">
        <x:v>否</x:v>
      </x:c>
      <x:c r="P81" s="57" t="str">
        <x:v>公告仅说明股东周年大会登记日期；内容与大众车型放量与盈利缺少业务传导，未提供大众化车型销量、市场份额及对应毛利率，不能支持当前判断。</x:v>
      </x:c>
      <x:c r="Q81" s="41" t="str">
        <x:v>B-CODEX-FIN-01</x:v>
      </x:c>
      <x:c r="R81" s="80" t="inlineStr">
        <x:is>
          <x:t>2026-08-30T13:30:00+08:00</x:t>
        </x:is>
      </x:c>
    </x:row>
    <x:row r="82" ht="72" customHeight="1">
      <x:c r="A82" s="64" t="str">
        <x:v>V6-R-Q009-C08</x:v>
      </x:c>
      <x:c r="B82" s="64" t="str">
        <x:v>V6-E-09868-C08</x:v>
      </x:c>
      <x:c r="C82" s="64" t="str">
        <x:v>V6-Q009</x:v>
      </x:c>
      <x:c r="D82" s="40" t="str">
        <x:v>小鹏汽车</x:v>
      </x:c>
      <x:c r="E82" s="64" t="str">
        <x:v>09868</x:v>
      </x:c>
      <x:c r="F82" s="87" t="n">
        <x:v>46260.75</x:v>
      </x:c>
      <x:c r="G82" s="51" t="str">
        <x:v>自动驾驶技术服务与授权收入能否降低整车业务周期性</x:v>
      </x:c>
      <x:c r="H82" s="64" t="str">
        <x:v>DOC-EVT-09868-00172</x:v>
      </x:c>
      <x:c r="I82" s="51" t="str">
        <x:v>小鹏集团发布2026年第一季度的未经审计财务业绩</x:v>
      </x:c>
      <x:c r="J82" s="87" t="n">
        <x:v>46170.722349537034</x:v>
      </x:c>
      <x:c r="K82" s="73" t="str">
        <x:v>http://static.cninfo.com.cn/finalpage/2026-05-28/1225335396.PDF</x:v>
      </x:c>
      <x:c r="L82" s="40" t="str">
        <x:v>第1页</x:v>
      </x:c>
      <x:c r="M82" s="51" t="str">
        <x:v>1 ڌ ዄ΂Оப ΂f XPeng Inc. ʃᘄණྠ * ʮ̡ ΅˾໮j 9868 ʃᘄණྠ೯б 2026ৌਕุᐶ ୋ 13.09ኽᗇՎʿಂ஬ૢԷ Էୋ 571௝ ୋXIVA௅Ͼ̊೯f h ࿚Ї2026ϋ3˜31ږ i ɛ͏࿆ 420.9ᄂ ʩ61.0ʩ h ɛ͏࿆ 130.3ࠥ17.6% h މ20.6%d༰2025ϋΝಂɪʺ 5.0ϵʱᓃ h މ12.1%d༰2025ϋΝಂɪʺ 1.6ϵʱᓃ ʕ਷ᄿψ d2026ϋ5˜28˚ { ٙAIҦʮ̡ XPeng Inc.ʃᘄණྠ͉ʮ ̡˾໮jXPEV˾໮j 9868 ʦ˂ʮбՉ࿚Ї2026ϋ3˜31˜ ৌਕุᐶf ࿚Ї2026ϋ3˜31ࠅ 2026ϋ ܓ֙ 2025ϋ ܓ֙ 2025ϋ ܓ֙ 2025ϋ ܓ֙ 2025ϋ ܓ֙ 2024ϋ ܓ֙ ᐼʹ˹ඎ 62,682 116,249 116,007 103,181 94,008 91,507 h 2026ܓ֙ӛԓᐼʹ˹ඎމ62,682ሿd༰2025ٙ94,008ࠥ33.3%f h ࿚Ї2026ϋ3˜31˚dྼ᜗ቖਯၣഖ ΍Ϟ733dᔧႊ 256̹f i Փ೵ಂπಛe೵ಂ ਗ௅ʱf</x:v>
      </x:c>
      <x:c r="N82" s="41" t="str">
        <x:v>1-弱相关</x:v>
      </x:c>
      <x:c r="O82" s="41" t="str">
        <x:v>否</x:v>
      </x:c>
      <x:c r="P82" s="57" t="str">
        <x:v>季度业绩披露交付量、总收入、综合毛利率及汽车毛利率；虽与智能驾驶商业化和收入多元化主题相近，但未提供自动驾驶技术服务或授权收入的规模与持续性，不足以建立可靠传导链。</x:v>
      </x:c>
      <x:c r="Q82" s="41" t="str">
        <x:v>B-CODEX-FIN-01</x:v>
      </x:c>
      <x:c r="R82" s="80" t="inlineStr">
        <x:is>
          <x:t>2026-08-30T13:30:00+08:00</x:t>
        </x:is>
      </x:c>
    </x:row>
    <x:row r="83" ht="72" customHeight="1">
      <x:c r="A83" s="64" t="str">
        <x:v>V6-R-Q009-C07</x:v>
      </x:c>
      <x:c r="B83" s="64" t="str">
        <x:v>V6-E-09868-C07</x:v>
      </x:c>
      <x:c r="C83" s="64" t="str">
        <x:v>V6-Q009</x:v>
      </x:c>
      <x:c r="D83" s="40" t="str">
        <x:v>小鹏汽车</x:v>
      </x:c>
      <x:c r="E83" s="64" t="str">
        <x:v>09868</x:v>
      </x:c>
      <x:c r="F83" s="87" t="n">
        <x:v>46260.75</x:v>
      </x:c>
      <x:c r="G83" s="51" t="str">
        <x:v>自动驾驶技术服务与授权收入能否降低整车业务周期性</x:v>
      </x:c>
      <x:c r="H83" s="64" t="str">
        <x:v>DOC-EVT-09868-00083</x:v>
      </x:c>
      <x:c r="I83" s="51" t="str">
        <x:v>小鹏汽车发布2024 年第四季度及2024财政年度的未经审计财务业绩</x:v>
      </x:c>
      <x:c r="J83" s="87" t="n">
        <x:v>45734.75450231481</x:v>
      </x:c>
      <x:c r="K83" s="73" t="str">
        <x:v>http://static.cninfo.com.cn/finalpage/2025-03-18/1222833976.PDF</x:v>
      </x:c>
      <x:c r="L83" s="40" t="str">
        <x:v>第1页</x:v>
      </x:c>
      <x:c r="M83" s="51" t="str">
        <x:v>1 ڌ ዄ΂Оப ΂f XPeng Inc. ʮ̡ * ʮ̡ ΅˾໮j 9868 ʃᘄӛԓ೯б 2024ʿ 2024ৌਕุᐶ ୋ 13.09ኽᗇՎʿಂ஬ૢ Էୋ571௝ ୋXIVA௅Ͼ̊೯f h ࿚Ї2024ϋ12˜31ɛ ͏࿆419.6ᄂ ʩ57.5ʩ h ɛ͏࿆ 161.1ᄣ̋ 59.4% h މ14.4%d༰2023ϋΝಂɪʺ 8.2ϵʱᓃ h މ10.0%d༰2023ϋΝಂɪʺ 5.9ϵʱᓃ h Όϋӛԓʹ˹ඎ༺ 190,068ϋɪʺ 34.2% h Όϋᐼϗɝ༺ɛ͏࿆ 408.7ϋɪʺ 33.2% h މ14.3%ϋɪʺ 12.8ϵʱᓃ ʕ਷ᄿψ d2025ϋ3˜18˚ { ౽ঐཥਗӛԓ  ౽ঐཥਗӛԓ ʮ ̡XPeng Inc. ʃᘄӛԓ͉ʮ̡˾໮jXPEV˾໮j 9868 ʦ˂ʮбՉ࿚Ї2024 ϋ12˜31ৌਕุᐶf ࿚Ї2024ϋ12˜31ࠅ 2024ϋ ܓ֙ 2024ϋ ܓ֙ 2024ϋ ܓ֙ 2024ϋ ܓ֙ 2023ϋ ܓ֙ 2023ϋ ܓ֙ ᐼʹ˹ඎ 91,507 46,533 30,207 21,821 60,158 40,008 h 2024ܓ֙ӛԓᐼʹ˹ඎމ91,507ሿd༰2023ٙ60,158ሿᄣ̋ 52.1%f h ࿚Ї2024ϋ12˜31˚dྼ᜗ቖਯၣഖ ΍Ϟ690dᔧႊ 226̹f h ࿚Ї2024ϋ12˜31˚dʃᘄӛԓІᐄ̂ཥ१ၣഖ༺Ї 1,920ܼ928ʃᘄ S4ʿS5൴Ҟ̂१f</x:v>
      </x:c>
      <x:c r="N83" s="41" t="str">
        <x:v>1-弱相关</x:v>
      </x:c>
      <x:c r="O83" s="41" t="str">
        <x:v>否</x:v>
      </x:c>
      <x:c r="P83" s="57" t="str">
        <x:v>年度业绩披露交付量、收入及综合和汽车毛利率同比改善；虽与智能驾驶商业化和收入多元化主题相近，但未提供自动驾驶技术服务或授权收入的规模与持续性，不足以建立可靠传导链。</x:v>
      </x:c>
      <x:c r="Q83" s="41" t="str">
        <x:v>B-CODEX-FIN-01</x:v>
      </x:c>
      <x:c r="R83" s="80" t="inlineStr">
        <x:is>
          <x:t>2026-08-30T13:30:00+08:00</x:t>
        </x:is>
      </x:c>
    </x:row>
    <x:row r="84" ht="72" customHeight="1">
      <x:c r="A84" s="64" t="str">
        <x:v>V6-R-Q009-C06</x:v>
      </x:c>
      <x:c r="B84" s="64" t="str">
        <x:v>V6-E-09868-C06</x:v>
      </x:c>
      <x:c r="C84" s="64" t="str">
        <x:v>V6-Q009</x:v>
      </x:c>
      <x:c r="D84" s="40" t="str">
        <x:v>小鹏汽车</x:v>
      </x:c>
      <x:c r="E84" s="64" t="str">
        <x:v>09868</x:v>
      </x:c>
      <x:c r="F84" s="87" t="n">
        <x:v>46260.75</x:v>
      </x:c>
      <x:c r="G84" s="51" t="str">
        <x:v>自动驾驶技术服务与授权收入能否降低整车业务周期性</x:v>
      </x:c>
      <x:c r="H84" s="64" t="str">
        <x:v>DOC-EVT-09868-00055</x:v>
      </x:c>
      <x:c r="I84" s="51" t="str">
        <x:v>自愿公告控股股东增加持股</x:v>
      </x:c>
      <x:c r="J84" s="87" t="n">
        <x:v>45530.32928240741</x:v>
      </x:c>
      <x:c r="K84" s="73" t="str">
        <x:v>http://static.cninfo.com.cn/finalpage/2024-08-26/1220977275.PDF</x:v>
      </x:c>
      <x:c r="L84" s="40" t="str">
        <x:v>第1页</x:v>
      </x:c>
      <x:c r="M84" s="51" t="str">
        <x:v>香港交易及結算所有限公司及香港聯合交易所有限公司對本公告之內容概不負責，對其準確性或完整性亦不發表聲 明，並明確表示概不會就本公告全部或任何部分內容而產生或因依賴該等內容而引致之任何損失承擔任何責任。 XPeng Inc. 小鵬汽車有限公司 * （於開曼群島註冊成立以不同投票權控制的有限公司 ） （股份代號 ：9868） 自 願 公 告 控 股 股 東 增 加 持 股 本公告乃由 XP en g In c. （「本公司 」）自願作出。 本公司董事會（「 董事會 」）獲 本公司的聯合創始人、執行董事、董事長、首席執行官 兼控股股東何小鵬先生（「 何先生 」）通知 ，何先生 於20 2 4年8 月21 日至 2 0 24年8 月23 日，已於公開市場（ i）購買本公司合共 1, 0 0 0, 0 00股A類普通股（「 A類普通股 」），平 均 價 為 每 股A 類 普 通 股27 . 13 港 元 ， 及 （ii ）通 過 由 其 全 資 擁 有 的Gal ax y D yn as t y Li m i t ed（「Gal a xy Dyn as ty 」）購買本公司合共 1 , 41 9 ,9 2 2股美國存託股（「 美國存託 股」），平均價為每股美國存託股 7. 0 2美元（「 收購事項 」）。 緊接 收購事項 後， (i) Gal ax y D yn as t y 持有本公司 1 , 41 9 ,9 22股美國存託股 ，及 (i i )何先 生於Si mp li cit…</x:v>
      </x:c>
      <x:c r="N84" s="41" t="str">
        <x:v>0-无关</x:v>
      </x:c>
      <x:c r="O84" s="41" t="str">
        <x:v>否</x:v>
      </x:c>
      <x:c r="P84" s="57" t="str">
        <x:v>公告仅披露控股股东在公开市场增持股份；内容与智能驾驶商业化和收入多元化缺少业务传导，未提供自动驾驶技术服务或授权收入的规模与持续性，不能支持当前判断。</x:v>
      </x:c>
      <x:c r="Q84" s="41" t="str">
        <x:v>B-CODEX-FIN-01</x:v>
      </x:c>
      <x:c r="R84" s="80" t="inlineStr">
        <x:is>
          <x:t>2026-08-30T13:30:00+08:00</x:t>
        </x:is>
      </x:c>
    </x:row>
    <x:row r="85" ht="72" customHeight="1">
      <x:c r="A85" s="64" t="str">
        <x:v>V6-R-Q009-C04</x:v>
      </x:c>
      <x:c r="B85" s="64" t="str">
        <x:v>V6-E-09868-C04</x:v>
      </x:c>
      <x:c r="C85" s="64" t="str">
        <x:v>V6-Q009</x:v>
      </x:c>
      <x:c r="D85" s="40" t="str">
        <x:v>小鹏汽车</x:v>
      </x:c>
      <x:c r="E85" s="64" t="str">
        <x:v>09868</x:v>
      </x:c>
      <x:c r="F85" s="87" t="n">
        <x:v>46260.75</x:v>
      </x:c>
      <x:c r="G85" s="51" t="str">
        <x:v>自动驾驶技术服务与授权收入能否降低整车业务周期性</x:v>
      </x:c>
      <x:c r="H85" s="64" t="str">
        <x:v>DOC-EVT-09868-00018</x:v>
      </x:c>
      <x:c r="I85" s="51" t="str">
        <x:v>变更香港主要营业地点</x:v>
      </x:c>
      <x:c r="J85" s="87" t="n">
        <x:v>45387.75450231481</x:v>
      </x:c>
      <x:c r="K85" s="73" t="str">
        <x:v>http://static.cninfo.com.cn/finalpage/2024-04-05/1219525302.PDF</x:v>
      </x:c>
      <x:c r="L85" s="40" t="str">
        <x:v>第1页</x:v>
      </x:c>
      <x:c r="M85"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2024 年 4 月 5 日 起，本公司之香港主要營業地點之地址將由香港中環康樂廣場1號怡和大廈39樓 3911室遷移至香港九龍觀塘道348號宏利廣場5樓。 承董事會命 XPeng Inc. 董事長 何小鵬 香港，2024年4月5日（星期五） 於本公告日期，本公司董事會由執行董事何小鵬先生，非執行董事符績勳先生及楊飛先生 ，以及獨立非執行董事楊東皓先生、瞿芳女士及張宏江先生組成。 * 僅供識別</x:v>
      </x:c>
      <x:c r="N85" s="41" t="str">
        <x:v>0-无关</x:v>
      </x:c>
      <x:c r="O85" s="41" t="str">
        <x:v>否</x:v>
      </x:c>
      <x:c r="P85" s="57" t="str">
        <x:v>公告仅变更香港主要营业地点；内容与智能驾驶商业化和收入多元化缺少业务传导，未提供自动驾驶技术服务或授权收入的规模与持续性，不能支持当前判断。</x:v>
      </x:c>
      <x:c r="Q85" s="41" t="str">
        <x:v>B-CODEX-FIN-01</x:v>
      </x:c>
      <x:c r="R85" s="80" t="inlineStr">
        <x:is>
          <x:t>2026-08-30T13:30:00+08:00</x:t>
        </x:is>
      </x:c>
    </x:row>
    <x:row r="86" ht="72" customHeight="1">
      <x:c r="A86" s="64" t="str">
        <x:v>V6-R-Q009-C02</x:v>
      </x:c>
      <x:c r="B86" s="64" t="str">
        <x:v>V6-E-09868-C02</x:v>
      </x:c>
      <x:c r="C86" s="64" t="str">
        <x:v>V6-Q009</x:v>
      </x:c>
      <x:c r="D86" s="40" t="str">
        <x:v>小鹏汽车</x:v>
      </x:c>
      <x:c r="E86" s="64" t="str">
        <x:v>09868</x:v>
      </x:c>
      <x:c r="F86" s="87" t="n">
        <x:v>46260.75</x:v>
      </x:c>
      <x:c r="G86" s="51" t="str">
        <x:v>自动驾驶技术服务与授权收入能否降低整车业务周期性</x:v>
      </x:c>
      <x:c r="H86" s="64" t="str">
        <x:v>DOC-EVT-09868-00014</x:v>
      </x:c>
      <x:c r="I86" s="51" t="str">
        <x:v>终止与淘宝中国的相关协议及非执行董事之辞任</x:v>
      </x:c>
      <x:c r="J86" s="87" t="n">
        <x:v>45370.76291666667</x:v>
      </x:c>
      <x:c r="K86" s="73" t="str">
        <x:v>http://static.cninfo.com.cn/finalpage/2024-03-19/1219346761.PDF</x:v>
      </x:c>
      <x:c r="L86" s="40" t="str">
        <x:v>第1页</x:v>
      </x:c>
      <x:c r="M86" s="51" t="str">
        <x:v>1 香港交易及結算所有限公司及香港聯合交易所有限公司對本公告的內容概不負責，對其準確性或完整性亦不發表聲明， 並明確表示概不會就本公告全部或部分內容而產生或因倚賴該等內容而引致之任何損失承擔任何責任。 終止與淘寶中國的相關協議 及 非執行董事之辭任 終止相關協議 茲提述 XPeng Inc.（「本公司」或「小鵬汽車」）於 2021 年 6 月 25 日在香港聯合交易所有限公司 （「香港聯交所」）網站發佈的招股章程（「香港招股章程」）。除非文義另有所指外，本公告所 用詞彙與香港招股章程所界定者具有相同涵義。 如香港招股章程所披露，於2021年6月22日，淘寶中國、何小鵬先生（「何先生」）及本公司訂立了 協議（「相關協議」），據此，其中包括，何先生向淘寶中國承諾，如在上市生效後任何時間，淘 寶中國根據組織章程大綱及細則提名阿里巴巴候選人，則何小鵬先生將以其作為本公司股東的身份， 在適用法律及法規以及組織章程大綱及細則允許的範圍下，投票（及╱或促使其所控制的投票權投 票）贊成在本公司有關股東大會上提呈有關委任該阿里巴巴候選人為董事的任何決議案，前提是（其 中包括）：（1）阿里巴巴候選人符合適用法律及法規以及組織章程大綱及細則下關於本公司董事的 要求；及（2）如阿里巴巴集團控股有限公司的所有聯屬公司於本公司的總持股量少於本公司已發行 股份總數的5%，本承諾將失效。 2024年3月19日，基於相互間自願協商，淘寶中國、何先生及本公司簽署書面協議，根據該協議，淘 寶中國、何先生及本公司…</x:v>
      </x:c>
      <x:c r="N86" s="41" t="str">
        <x:v>0-无关</x:v>
      </x:c>
      <x:c r="O86" s="41" t="str">
        <x:v>否</x:v>
      </x:c>
      <x:c r="P86" s="57" t="str">
        <x:v>公告仅涉及与淘宝中国协议终止和董事辞任；内容与智能驾驶商业化和收入多元化缺少业务传导，未提供自动驾驶技术服务或授权收入的规模与持续性，不能支持当前判断。</x:v>
      </x:c>
      <x:c r="Q86" s="41" t="str">
        <x:v>B-CODEX-FIN-01</x:v>
      </x:c>
      <x:c r="R86" s="80" t="inlineStr">
        <x:is>
          <x:t>2026-08-30T13:30:00+08:00</x:t>
        </x:is>
      </x:c>
    </x:row>
    <x:row r="87" ht="72" customHeight="1">
      <x:c r="A87" s="64" t="str">
        <x:v>V6-R-Q009-C10</x:v>
      </x:c>
      <x:c r="B87" s="64" t="str">
        <x:v>V6-E-09868-C10</x:v>
      </x:c>
      <x:c r="C87" s="64" t="str">
        <x:v>V6-Q009</x:v>
      </x:c>
      <x:c r="D87" s="40" t="str">
        <x:v>小鹏汽车</x:v>
      </x:c>
      <x:c r="E87" s="64" t="str">
        <x:v>09868</x:v>
      </x:c>
      <x:c r="F87" s="87" t="n">
        <x:v>46260.75</x:v>
      </x:c>
      <x:c r="G87" s="51" t="str">
        <x:v>自动驾驶技术服务与授权收入能否降低整车业务周期性</x:v>
      </x:c>
      <x:c r="H87" s="64" t="str">
        <x:v>DOC-EVT-09868-00183</x:v>
      </x:c>
      <x:c r="I87" s="51" t="str">
        <x:v>董事会会议通告</x:v>
      </x:c>
      <x:c r="J87" s="87" t="n">
        <x:v>46238.720972222225</x:v>
      </x:c>
      <x:c r="K87" s="73" t="str">
        <x:v>http://static.cninfo.com.cn/finalpage/2026-08-04/1225457545.PDF</x:v>
      </x:c>
      <x:c r="L87" s="40" t="str">
        <x:v>第1页</x:v>
      </x:c>
      <x:c r="M87" s="51" t="str">
        <x:v>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 XPeng Inc. 小鵬集團 * （於開曼群島註冊成立以不同投票權控制的有限公司） （股份代號：9868） 董事會會議通告 XPeng Inc. （「本公司」）董事會（「董事會」）謹此宣佈，董事會會議將於 2026年8月24日（星期一）舉行，藉以（其中包括）考慮及批准(i) 本公司及其附 屬公司截至2026年6月30日止三個月之第二季度業績及其發佈；以及 (ii) 本公司 及其附屬公司截至2026年6月30日止六個月之中期業績及其發佈。 本公司的管理層將於美國東部時間2026年8月24日上午八時正（即北京╱香港時 間2026年8月24日的下午八時正）舉行業績電話會議。 有意以電話方式撥入會議的參加者，請進入下方鏈接完成預登記並請於預定開 始時間前五分鐘撥入。登記完成後，每位參加者將收到業績電話會議的電話撥 入詳情。 會議主題： XPENG 2026年第二季度業績電話會 預登記鏈接： https://s1.c-conf.com/diamondpass/10056093-aweri7.html 此外，本次電話會議的網上直播及錄音將在本公司的投資者關係網站 （http://ir.xiaopeng.com）上提供。 電話會議結束後約一小時直至2026年9月1日為止，電話會議的…</x:v>
      </x:c>
      <x:c r="N87" s="41" t="str">
        <x:v>0-无关</x:v>
      </x:c>
      <x:c r="O87" s="41" t="str">
        <x:v>否</x:v>
      </x:c>
      <x:c r="P87" s="57" t="str">
        <x:v>通告仅安排季度和中期业绩审议及电话会；内容与智能驾驶商业化和收入多元化缺少业务传导，未提供自动驾驶技术服务或授权收入的规模与持续性，不能支持当前判断。</x:v>
      </x:c>
      <x:c r="Q87" s="41" t="str">
        <x:v>B-CODEX-FIN-01</x:v>
      </x:c>
      <x:c r="R87" s="80" t="inlineStr">
        <x:is>
          <x:t>2026-08-30T13:30:00+08:00</x:t>
        </x:is>
      </x:c>
    </x:row>
    <x:row r="88" ht="72" customHeight="1">
      <x:c r="A88" s="64" t="str">
        <x:v>V6-R-Q009-C09</x:v>
      </x:c>
      <x:c r="B88" s="64" t="str">
        <x:v>V6-E-09868-C09</x:v>
      </x:c>
      <x:c r="C88" s="64" t="str">
        <x:v>V6-Q009</x:v>
      </x:c>
      <x:c r="D88" s="40" t="str">
        <x:v>小鹏汽车</x:v>
      </x:c>
      <x:c r="E88" s="64" t="str">
        <x:v>09868</x:v>
      </x:c>
      <x:c r="F88" s="87" t="n">
        <x:v>46260.75</x:v>
      </x:c>
      <x:c r="G88" s="51" t="str">
        <x:v>自动驾驶技术服务与授权收入能否降低整车业务周期性</x:v>
      </x:c>
      <x:c r="H88" s="64" t="str">
        <x:v>DOC-EVT-09868-00100</x:v>
      </x:c>
      <x:c r="I88" s="51" t="str">
        <x:v>股东周年大会通告</x:v>
      </x:c>
      <x:c r="J88" s="87" t="n">
        <x:v>45789.81402777778</x:v>
      </x:c>
      <x:c r="K88" s="73" t="str">
        <x:v>http://static.cninfo.com.cn/finalpage/2025-05-12/1223529005.PDF</x:v>
      </x:c>
      <x:c r="L88" s="40" t="str">
        <x:v>第6页</x:v>
      </x:c>
      <x:c r="M88"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88" s="41" t="str">
        <x:v>0-无关</x:v>
      </x:c>
      <x:c r="O88" s="41" t="str">
        <x:v>否</x:v>
      </x:c>
      <x:c r="P88" s="57" t="str">
        <x:v>股东周年大会通告主要为登记和投票程序；内容与智能驾驶商业化和收入多元化缺少业务传导，未提供自动驾驶技术服务或授权收入的规模与持续性，不能支持当前判断。</x:v>
      </x:c>
      <x:c r="Q88" s="41" t="str">
        <x:v>B-CODEX-FIN-01</x:v>
      </x:c>
      <x:c r="R88" s="80" t="inlineStr">
        <x:is>
          <x:t>2026-08-30T13:30:00+08:00</x:t>
        </x:is>
      </x:c>
    </x:row>
    <x:row r="89" ht="72" customHeight="1">
      <x:c r="A89" s="64" t="str">
        <x:v>V6-R-Q009-C03</x:v>
      </x:c>
      <x:c r="B89" s="64" t="str">
        <x:v>V6-E-09868-C03</x:v>
      </x:c>
      <x:c r="C89" s="64" t="str">
        <x:v>V6-Q009</x:v>
      </x:c>
      <x:c r="D89" s="40" t="str">
        <x:v>小鹏汽车</x:v>
      </x:c>
      <x:c r="E89" s="64" t="str">
        <x:v>09868</x:v>
      </x:c>
      <x:c r="F89" s="87" t="n">
        <x:v>46260.75</x:v>
      </x:c>
      <x:c r="G89" s="51" t="str">
        <x:v>自动驾驶技术服务与授权收入能否降低整车业务周期性</x:v>
      </x:c>
      <x:c r="H89" s="64" t="str">
        <x:v>DOC-EVT-09868-00162</x:v>
      </x:c>
      <x:c r="I89" s="51" t="str">
        <x:v>股东周年大会登记日期</x:v>
      </x:c>
      <x:c r="J89" s="87" t="n">
        <x:v>46135.866747685184</x:v>
      </x:c>
      <x:c r="K89" s="73" t="str">
        <x:v>http://static.cninfo.com.cn/finalpage/2026-04-23/1225172357.PDF</x:v>
      </x:c>
      <x:c r="L89" s="40" t="str">
        <x:v>第1页</x:v>
      </x:c>
      <x:c r="M89" s="51" t="str">
        <x:v>1 ڌ ዄ΂Оப ΂f XPeng Inc. ʃᘄණྠ * ʮ̡ ΅˾໮j 9868 ඄ϋɽึ೮া˚ಂ XPeng Inc.͉ʮ̡  ʘ໨ԫึ  ໨ԫึбd໨ԫึʊਗ਼2026ϋ5˜14ග ࠽ٰࠦ0.00001ٙAאB೮া˚ ΅೮া˚͉ʮ̡AאBϞ ඄ϋɽึ  ඄ϋɽึึɪҳୃf Ϟ͉ʮ̡ Aᗳ אB׵ڭ2026ϋ5˜14ਗ਼ ΅ཀ˒೮াᐼஈ Ascentium (Cayman) Limitedމ4th Floor, Harbour Place, 103 South Church Street, P.O. Box 10240, Grand Cayman KY 1-1002, Cayman IslandsϞ͉ʮ̡ Aᗳ౷ஷ Νಂග у2026ϋ5˜14ϞϞ ʮ 䅳༸ 16ፄʕː 17ᅽf ࿚Ї2026ϋ5˜14ග  ೮া˚ڌ ͉ʮ̡ A ٰᗫAٰٙ ͪf</x:v>
      </x:c>
      <x:c r="N89" s="41" t="str">
        <x:v>0-无关</x:v>
      </x:c>
      <x:c r="O89" s="41" t="str">
        <x:v>否</x:v>
      </x:c>
      <x:c r="P89" s="57" t="str">
        <x:v>公告仅说明股东周年大会登记日期；内容与智能驾驶商业化和收入多元化缺少业务传导，未提供自动驾驶技术服务或授权收入的规模与持续性，不能支持当前判断。</x:v>
      </x:c>
      <x:c r="Q89" s="41" t="str">
        <x:v>B-CODEX-FIN-01</x:v>
      </x:c>
      <x:c r="R89" s="80" t="inlineStr">
        <x:is>
          <x:t>2026-08-30T13:30:00+08:00</x:t>
        </x:is>
      </x:c>
    </x:row>
    <x:row r="90" ht="72" customHeight="1">
      <x:c r="A90" s="64" t="str">
        <x:v>V6-R-Q009-C01</x:v>
      </x:c>
      <x:c r="B90" s="64" t="str">
        <x:v>V6-E-09868-C01</x:v>
      </x:c>
      <x:c r="C90" s="64" t="str">
        <x:v>V6-Q009</x:v>
      </x:c>
      <x:c r="D90" s="40" t="str">
        <x:v>小鹏汽车</x:v>
      </x:c>
      <x:c r="E90" s="64" t="str">
        <x:v>09868</x:v>
      </x:c>
      <x:c r="F90" s="87" t="n">
        <x:v>46260.75</x:v>
      </x:c>
      <x:c r="G90" s="51" t="str">
        <x:v>自动驾驶技术服务与授权收入能否降低整车业务周期性</x:v>
      </x:c>
      <x:c r="H90" s="64" t="str">
        <x:v>DOC-EVT-09868-00118</x:v>
      </x:c>
      <x:c r="I90" s="51" t="str">
        <x:v>小鹏汽车发布2025年第二季度的未经审计财务业绩</x:v>
      </x:c>
      <x:c r="J90" s="87" t="n">
        <x:v>45888.99998842592</x:v>
      </x:c>
      <x:c r="K90" s="73" t="str">
        <x:v>http://static.cninfo.com.cn/finalpage/2025-08-19/1224520517.PDF</x:v>
      </x:c>
      <x:c r="L90" s="40" t="str">
        <x:v>第1页</x:v>
      </x:c>
      <x:c r="M90" s="51" t="str">
        <x:v>1 ڌ ዄ΂Оப ΂f XPeng Inc. ʮ̡ * ʮ̡ ΅˾໮j 9868 ʃᘄӛԓ೯б 2025ৌਕุᐶ ୋ 13.09ኽᗇՎʿಂ஬ૢ Էୋ571௝ ୋXIVA௅Ͼ̊೯f h ࿚Ї2025ϋ6˜30ɛ͏ ࿆475.7ᄂ ʩ66.4ʩ h ɛ͏࿆ 182.7ϋᄣ̋ 125.3% h މ17.3%d༰2024ϋΝಂɪʺ 3.3ϵʱᓃ h މ14.3%d༰2024ϋΝಂɪʺ 7.9ϵʱᓃ ʕ਷ᄿψ d2025ϋ8˜19˚ { ౽ঐཥਗӛԓ  ౽ঐཥਗӛԓ ʮ ̡XPeng Inc. ʃᘄӛԓ͉ʮ̡˾໮jXPEV˾໮j 9868 ʦ˂ʮбՉ࿚Ї2025 ϋ6˜30ৌਕุᐶf ࿚Ї2025ϋ6˜30ࠅ 2025ϋ ܓ֙ 2025ϋ ܓ֙ 2024ϋ ܓ֙ 2024ϋ ܓ֙ 2024ϋ ܓ֙ 2024ϋ ܓ֙ ᐼʹ˹ඎ 103,181 94,008 91,507 46,533 30,207 21,821 h 2025ӛԓ ᐼʹ˹ඎމ103,181ሿd༰2024ٙ30,207ሿᄣ̋ 241.6%f h ࿚Ї2025ϋ6˜30˚dྼ᜗ቖਯၣഖ ΍Ϟ677dᔧႊ 224̹f h ࿚Ї2025ϋ6˜30˚dʃᘄӛԓІᐄ̂ཥ१ၣഖ༺Ї 2,348ܼ1,304ʃᘄ S4ʿS5൴Ҟ̂१f</x:v>
      </x:c>
      <x:c r="N90" s="41" t="str">
        <x:v>1-弱相关</x:v>
      </x:c>
      <x:c r="O90" s="41" t="str">
        <x:v>否</x:v>
      </x:c>
      <x:c r="P90" s="57" t="str">
        <x:v>季度业绩披露交付增长、总收入和汽车毛利率改善；虽与智能驾驶商业化和收入多元化主题相近，但未提供自动驾驶技术服务或授权收入的规模与持续性，不足以建立可靠传导链。</x:v>
      </x:c>
      <x:c r="Q90" s="41" t="str">
        <x:v>B-CODEX-FIN-01</x:v>
      </x:c>
      <x:c r="R90" s="80" t="inlineStr">
        <x:is>
          <x:t>2026-08-30T13:30:00+08:00</x:t>
        </x:is>
      </x:c>
    </x:row>
    <x:row r="91" ht="72" customHeight="1">
      <x:c r="A91" s="64" t="str">
        <x:v>V6-R-Q009-C05</x:v>
      </x:c>
      <x:c r="B91" s="64" t="str">
        <x:v>V6-E-09868-C05</x:v>
      </x:c>
      <x:c r="C91" s="64" t="str">
        <x:v>V6-Q009</x:v>
      </x:c>
      <x:c r="D91" s="40" t="str">
        <x:v>小鹏汽车</x:v>
      </x:c>
      <x:c r="E91" s="64" t="str">
        <x:v>09868</x:v>
      </x:c>
      <x:c r="F91" s="87" t="n">
        <x:v>46260.75</x:v>
      </x:c>
      <x:c r="G91" s="51" t="str">
        <x:v>自动驾驶技术服务与授权收入能否降低整车业务周期性</x:v>
      </x:c>
      <x:c r="H91" s="64" t="str">
        <x:v>DOC-EVT-09868-00106</x:v>
      </x:c>
      <x:c r="I91" s="51" t="str">
        <x:v>自愿公告2025年5月智能车交付数据</x:v>
      </x:c>
      <x:c r="J91" s="87" t="n">
        <x:v>45810.69318287037</x:v>
      </x:c>
      <x:c r="K91" s="73" t="str">
        <x:v>http://static.cninfo.com.cn/finalpage/2025-06-02/1223739986.PDF</x:v>
      </x:c>
      <x:c r="L91" s="40" t="str">
        <x:v>第1页</x:v>
      </x:c>
      <x:c r="M91"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年5 月智能車交付數據 XPeng Inc. （「本公司」或「小鵬汽車」）之董事會欣然宣佈其2025年5月車輛交付數 據。 2025年5月，小鵬汽車共交付智能電動汽車33,525輛，同比增長230%。小鵬汽車已連續 第七個月交付量超過了30,000輛。2025年前五個月，小鵬汽車共交付162,578輛智能電 動車，與去年同期相比增長了293%。 2025年5月28日，本公司推出了MONA M03 Max 。MONA M03 Max 首次將城市AI智能 駕駛的入門門檻降低至15萬元人民幣區間，使先進的汽車技術更易於年輕用戶獲取。 MONA M03 Max 也是首款搭載AI天璣XOS 5.7.0 的小鵬汽車車型，提供超過300項新功 能。 2025年5月，小鵬汽車智能導航輔助駕駛（XNGP）的城區智駕月度活躍用戶滲透率達 85%。值得注意的是，小鵬MONA M03 Max 首次應用了人機共駕技術，使智能輔助駕 駛系統（ADAS）和駕駛員能夠共享控制，實現手動駕駛與智能駕駛之間的無縫協作。 本公司股東及潛在投資者於買賣本公司證券時，務請謹慎行事。 承董事會命 XPeng Inc. 董事長 何小鵬 香港，2025年6月2日（星期一） 本公告載有前瞻性陳述。前…</x:v>
      </x:c>
      <x:c r="N91" s="41" t="str">
        <x:v>2-间接相关</x:v>
      </x:c>
      <x:c r="O91" s="41" t="str">
        <x:v>是</x:v>
      </x:c>
      <x:c r="P91" s="57" t="str">
        <x:v>交付公告披露月度交付同比增长230%、MONA M03价格带及XNGP渗透率85%；该事实可通过技术渗透和产品化向服务授权收入传导，间接验证自动驾驶技术服务或授权收入的规模与持续性，关系清晰且可复核。</x:v>
      </x:c>
      <x:c r="Q91" s="41" t="str">
        <x:v>B-CODEX-FIN-01</x:v>
      </x:c>
      <x:c r="R91" s="80" t="inlineStr">
        <x:is>
          <x:t>2026-08-30T13:30:00+08:00</x:t>
        </x:is>
      </x:c>
    </x:row>
    <x:row r="92" ht="72" customHeight="1">
      <x:c r="A92" s="64" t="str">
        <x:v>V6-R-Q010-C09</x:v>
      </x:c>
      <x:c r="B92" s="64" t="str">
        <x:v>V6-E-09868-C09</x:v>
      </x:c>
      <x:c r="C92" s="64" t="str">
        <x:v>V6-Q010</x:v>
      </x:c>
      <x:c r="D92" s="40" t="str">
        <x:v>小鹏汽车</x:v>
      </x:c>
      <x:c r="E92" s="64" t="str">
        <x:v>09868</x:v>
      </x:c>
      <x:c r="F92" s="87" t="n">
        <x:v>46260.75</x:v>
      </x:c>
      <x:c r="G92" s="51" t="str">
        <x:v>研发费用与经营现金消耗是否会延后盈亏平衡时点</x:v>
      </x:c>
      <x:c r="H92" s="64" t="str">
        <x:v>DOC-EVT-09868-00100</x:v>
      </x:c>
      <x:c r="I92" s="51" t="str">
        <x:v>股东周年大会通告</x:v>
      </x:c>
      <x:c r="J92" s="87" t="n">
        <x:v>45789.81402777778</x:v>
      </x:c>
      <x:c r="K92" s="73" t="str">
        <x:v>http://static.cninfo.com.cn/finalpage/2025-05-12/1223529005.PDF</x:v>
      </x:c>
      <x:c r="L92" s="40" t="str">
        <x:v>第6页</x:v>
      </x:c>
      <x:c r="M92"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92" s="41" t="str">
        <x:v>0-无关</x:v>
      </x:c>
      <x:c r="O92" s="41" t="str">
        <x:v>否</x:v>
      </x:c>
      <x:c r="P92" s="57" t="str">
        <x:v>股东周年大会通告主要为登记和投票程序；内容与研发投入与现金盈亏缺少业务传导，未提供研发费用、经营现金消耗和盈亏平衡时点，不能支持当前判断。</x:v>
      </x:c>
      <x:c r="Q92" s="41" t="str">
        <x:v>B-CODEX-FIN-01</x:v>
      </x:c>
      <x:c r="R92" s="80" t="inlineStr">
        <x:is>
          <x:t>2026-08-30T13:30:00+08:00</x:t>
        </x:is>
      </x:c>
    </x:row>
    <x:row r="93" ht="72" customHeight="1">
      <x:c r="A93" s="64" t="str">
        <x:v>V6-R-Q010-C07</x:v>
      </x:c>
      <x:c r="B93" s="64" t="str">
        <x:v>V6-E-09868-C07</x:v>
      </x:c>
      <x:c r="C93" s="64" t="str">
        <x:v>V6-Q010</x:v>
      </x:c>
      <x:c r="D93" s="40" t="str">
        <x:v>小鹏汽车</x:v>
      </x:c>
      <x:c r="E93" s="64" t="str">
        <x:v>09868</x:v>
      </x:c>
      <x:c r="F93" s="87" t="n">
        <x:v>46260.75</x:v>
      </x:c>
      <x:c r="G93" s="51" t="str">
        <x:v>研发费用与经营现金消耗是否会延后盈亏平衡时点</x:v>
      </x:c>
      <x:c r="H93" s="64" t="str">
        <x:v>DOC-EVT-09868-00083</x:v>
      </x:c>
      <x:c r="I93" s="51" t="str">
        <x:v>小鹏汽车发布2024 年第四季度及2024财政年度的未经审计财务业绩</x:v>
      </x:c>
      <x:c r="J93" s="87" t="n">
        <x:v>45734.75450231481</x:v>
      </x:c>
      <x:c r="K93" s="73" t="str">
        <x:v>http://static.cninfo.com.cn/finalpage/2025-03-18/1222833976.PDF</x:v>
      </x:c>
      <x:c r="L93" s="40" t="str">
        <x:v>第1页</x:v>
      </x:c>
      <x:c r="M93" s="51" t="str">
        <x:v>1 ڌ ዄ΂Оப ΂f XPeng Inc. ʮ̡ * ʮ̡ ΅˾໮j 9868 ʃᘄӛԓ೯б 2024ʿ 2024ৌਕุᐶ ୋ 13.09ኽᗇՎʿಂ஬ૢ Էୋ571௝ ୋXIVA௅Ͼ̊೯f h ࿚Ї2024ϋ12˜31ɛ ͏࿆419.6ᄂ ʩ57.5ʩ h ɛ͏࿆ 161.1ᄣ̋ 59.4% h މ14.4%d༰2023ϋΝಂɪʺ 8.2ϵʱᓃ h މ10.0%d༰2023ϋΝಂɪʺ 5.9ϵʱᓃ h Όϋӛԓʹ˹ඎ༺ 190,068ϋɪʺ 34.2% h Όϋᐼϗɝ༺ɛ͏࿆ 408.7ϋɪʺ 33.2% h މ14.3%ϋɪʺ 12.8ϵʱᓃ ʕ਷ᄿψ d2025ϋ3˜18˚ { ౽ঐཥਗӛԓ  ౽ঐཥਗӛԓ ʮ ̡XPeng Inc. ʃᘄӛԓ͉ʮ̡˾໮jXPEV˾໮j 9868 ʦ˂ʮбՉ࿚Ї2024 ϋ12˜31ৌਕุᐶf ࿚Ї2024ϋ12˜31ࠅ 2024ϋ ܓ֙ 2024ϋ ܓ֙ 2024ϋ ܓ֙ 2024ϋ ܓ֙ 2023ϋ ܓ֙ 2023ϋ ܓ֙ ᐼʹ˹ඎ 91,507 46,533 30,207 21,821 60,158 40,008 h 2024ܓ֙ӛԓᐼʹ˹ඎމ91,507ሿd༰2023ٙ60,158ሿᄣ̋ 52.1%f h ࿚Ї2024ϋ12˜31˚dྼ᜗ቖਯၣഖ ΍Ϟ690dᔧႊ 226̹f h ࿚Ї2024ϋ12˜31˚dʃᘄӛԓІᐄ̂ཥ१ၣഖ༺Ї 1,920ܼ928ʃᘄ S4ʿS5൴Ҟ̂१f</x:v>
      </x:c>
      <x:c r="N93" s="41" t="str">
        <x:v>2-间接相关</x:v>
      </x:c>
      <x:c r="O93" s="41" t="str">
        <x:v>是</x:v>
      </x:c>
      <x:c r="P93" s="57" t="str">
        <x:v>年度业绩披露交付量、收入及综合和汽车毛利率同比改善；该事实可通过收入毛利改善向研发及现金消耗覆盖能力传导，间接验证研发费用、经营现金消耗和盈亏平衡时点，关系清晰且可复核。</x:v>
      </x:c>
      <x:c r="Q93" s="41" t="str">
        <x:v>B-CODEX-FIN-01</x:v>
      </x:c>
      <x:c r="R93" s="80" t="inlineStr">
        <x:is>
          <x:t>2026-08-30T13:30:00+08:00</x:t>
        </x:is>
      </x:c>
    </x:row>
    <x:row r="94" ht="72" customHeight="1">
      <x:c r="A94" s="64" t="str">
        <x:v>V6-R-Q010-C02</x:v>
      </x:c>
      <x:c r="B94" s="64" t="str">
        <x:v>V6-E-09868-C02</x:v>
      </x:c>
      <x:c r="C94" s="64" t="str">
        <x:v>V6-Q010</x:v>
      </x:c>
      <x:c r="D94" s="40" t="str">
        <x:v>小鹏汽车</x:v>
      </x:c>
      <x:c r="E94" s="64" t="str">
        <x:v>09868</x:v>
      </x:c>
      <x:c r="F94" s="87" t="n">
        <x:v>46260.75</x:v>
      </x:c>
      <x:c r="G94" s="51" t="str">
        <x:v>研发费用与经营现金消耗是否会延后盈亏平衡时点</x:v>
      </x:c>
      <x:c r="H94" s="64" t="str">
        <x:v>DOC-EVT-09868-00014</x:v>
      </x:c>
      <x:c r="I94" s="51" t="str">
        <x:v>终止与淘宝中国的相关协议及非执行董事之辞任</x:v>
      </x:c>
      <x:c r="J94" s="87" t="n">
        <x:v>45370.76291666667</x:v>
      </x:c>
      <x:c r="K94" s="73" t="str">
        <x:v>http://static.cninfo.com.cn/finalpage/2024-03-19/1219346761.PDF</x:v>
      </x:c>
      <x:c r="L94" s="40" t="str">
        <x:v>第1页</x:v>
      </x:c>
      <x:c r="M94" s="51" t="str">
        <x:v>1 香港交易及結算所有限公司及香港聯合交易所有限公司對本公告的內容概不負責，對其準確性或完整性亦不發表聲明， 並明確表示概不會就本公告全部或部分內容而產生或因倚賴該等內容而引致之任何損失承擔任何責任。 終止與淘寶中國的相關協議 及 非執行董事之辭任 終止相關協議 茲提述 XPeng Inc.（「本公司」或「小鵬汽車」）於 2021 年 6 月 25 日在香港聯合交易所有限公司 （「香港聯交所」）網站發佈的招股章程（「香港招股章程」）。除非文義另有所指外，本公告所 用詞彙與香港招股章程所界定者具有相同涵義。 如香港招股章程所披露，於2021年6月22日，淘寶中國、何小鵬先生（「何先生」）及本公司訂立了 協議（「相關協議」），據此，其中包括，何先生向淘寶中國承諾，如在上市生效後任何時間，淘 寶中國根據組織章程大綱及細則提名阿里巴巴候選人，則何小鵬先生將以其作為本公司股東的身份， 在適用法律及法規以及組織章程大綱及細則允許的範圍下，投票（及╱或促使其所控制的投票權投 票）贊成在本公司有關股東大會上提呈有關委任該阿里巴巴候選人為董事的任何決議案，前提是（其 中包括）：（1）阿里巴巴候選人符合適用法律及法規以及組織章程大綱及細則下關於本公司董事的 要求；及（2）如阿里巴巴集團控股有限公司的所有聯屬公司於本公司的總持股量少於本公司已發行 股份總數的5%，本承諾將失效。 2024年3月19日，基於相互間自願協商，淘寶中國、何先生及本公司簽署書面協議，根據該協議，淘 寶中國、何先生及本公司…</x:v>
      </x:c>
      <x:c r="N94" s="41" t="str">
        <x:v>0-无关</x:v>
      </x:c>
      <x:c r="O94" s="41" t="str">
        <x:v>否</x:v>
      </x:c>
      <x:c r="P94" s="57" t="str">
        <x:v>公告仅涉及与淘宝中国协议终止和董事辞任；内容与研发投入与现金盈亏缺少业务传导，未提供研发费用、经营现金消耗和盈亏平衡时点，不能支持当前判断。</x:v>
      </x:c>
      <x:c r="Q94" s="41" t="str">
        <x:v>B-CODEX-FIN-01</x:v>
      </x:c>
      <x:c r="R94" s="80" t="inlineStr">
        <x:is>
          <x:t>2026-08-30T13:30:00+08:00</x:t>
        </x:is>
      </x:c>
    </x:row>
    <x:row r="95" ht="72" customHeight="1">
      <x:c r="A95" s="64" t="str">
        <x:v>V6-R-Q010-C08</x:v>
      </x:c>
      <x:c r="B95" s="64" t="str">
        <x:v>V6-E-09868-C08</x:v>
      </x:c>
      <x:c r="C95" s="64" t="str">
        <x:v>V6-Q010</x:v>
      </x:c>
      <x:c r="D95" s="40" t="str">
        <x:v>小鹏汽车</x:v>
      </x:c>
      <x:c r="E95" s="64" t="str">
        <x:v>09868</x:v>
      </x:c>
      <x:c r="F95" s="87" t="n">
        <x:v>46260.75</x:v>
      </x:c>
      <x:c r="G95" s="51" t="str">
        <x:v>研发费用与经营现金消耗是否会延后盈亏平衡时点</x:v>
      </x:c>
      <x:c r="H95" s="64" t="str">
        <x:v>DOC-EVT-09868-00172</x:v>
      </x:c>
      <x:c r="I95" s="51" t="str">
        <x:v>小鹏集团发布2026年第一季度的未经审计财务业绩</x:v>
      </x:c>
      <x:c r="J95" s="87" t="n">
        <x:v>46170.722349537034</x:v>
      </x:c>
      <x:c r="K95" s="73" t="str">
        <x:v>http://static.cninfo.com.cn/finalpage/2026-05-28/1225335396.PDF</x:v>
      </x:c>
      <x:c r="L95" s="40" t="str">
        <x:v>第1页</x:v>
      </x:c>
      <x:c r="M95" s="51" t="str">
        <x:v>1 ڌ ዄ΂Оப ΂f XPeng Inc. ʃᘄණྠ * ʮ̡ ΅˾໮j 9868 ʃᘄණྠ೯б 2026ৌਕุᐶ ୋ 13.09ኽᗇՎʿಂ஬ૢԷ Էୋ 571௝ ୋXIVA௅Ͼ̊೯f h ࿚Ї2026ϋ3˜31ږ i ɛ͏࿆ 420.9ᄂ ʩ61.0ʩ h ɛ͏࿆ 130.3ࠥ17.6% h މ20.6%d༰2025ϋΝಂɪʺ 5.0ϵʱᓃ h މ12.1%d༰2025ϋΝಂɪʺ 1.6ϵʱᓃ ʕ਷ᄿψ d2026ϋ5˜28˚ { ٙAIҦʮ̡ XPeng Inc.ʃᘄණྠ͉ʮ ̡˾໮jXPEV˾໮j 9868 ʦ˂ʮбՉ࿚Ї2026ϋ3˜31˜ ৌਕุᐶf ࿚Ї2026ϋ3˜31ࠅ 2026ϋ ܓ֙ 2025ϋ ܓ֙ 2025ϋ ܓ֙ 2025ϋ ܓ֙ 2025ϋ ܓ֙ 2024ϋ ܓ֙ ᐼʹ˹ඎ 62,682 116,249 116,007 103,181 94,008 91,507 h 2026ܓ֙ӛԓᐼʹ˹ඎމ62,682ሿd༰2025ٙ94,008ࠥ33.3%f h ࿚Ї2026ϋ3˜31˚dྼ᜗ቖਯၣഖ ΍Ϟ733dᔧႊ 256̹f i Փ೵ಂπಛe೵ಂ ਗ௅ʱf</x:v>
      </x:c>
      <x:c r="N95" s="41" t="str">
        <x:v>2-间接相关</x:v>
      </x:c>
      <x:c r="O95" s="41" t="str">
        <x:v>是</x:v>
      </x:c>
      <x:c r="P95" s="57" t="str">
        <x:v>季度业绩披露交付量、总收入、综合毛利率及汽车毛利率；该事实可通过收入毛利改善向研发及现金消耗覆盖能力传导，间接验证研发费用、经营现金消耗和盈亏平衡时点，关系清晰且可复核。</x:v>
      </x:c>
      <x:c r="Q95" s="41" t="str">
        <x:v>B-CODEX-FIN-01</x:v>
      </x:c>
      <x:c r="R95" s="80" t="inlineStr">
        <x:is>
          <x:t>2026-08-30T13:30:00+08:00</x:t>
        </x:is>
      </x:c>
    </x:row>
    <x:row r="96" ht="72" customHeight="1">
      <x:c r="A96" s="64" t="str">
        <x:v>V6-R-Q010-C03</x:v>
      </x:c>
      <x:c r="B96" s="64" t="str">
        <x:v>V6-E-09868-C03</x:v>
      </x:c>
      <x:c r="C96" s="64" t="str">
        <x:v>V6-Q010</x:v>
      </x:c>
      <x:c r="D96" s="40" t="str">
        <x:v>小鹏汽车</x:v>
      </x:c>
      <x:c r="E96" s="64" t="str">
        <x:v>09868</x:v>
      </x:c>
      <x:c r="F96" s="87" t="n">
        <x:v>46260.75</x:v>
      </x:c>
      <x:c r="G96" s="51" t="str">
        <x:v>研发费用与经营现金消耗是否会延后盈亏平衡时点</x:v>
      </x:c>
      <x:c r="H96" s="64" t="str">
        <x:v>DOC-EVT-09868-00162</x:v>
      </x:c>
      <x:c r="I96" s="51" t="str">
        <x:v>股东周年大会登记日期</x:v>
      </x:c>
      <x:c r="J96" s="87" t="n">
        <x:v>46135.866747685184</x:v>
      </x:c>
      <x:c r="K96" s="73" t="str">
        <x:v>http://static.cninfo.com.cn/finalpage/2026-04-23/1225172357.PDF</x:v>
      </x:c>
      <x:c r="L96" s="40" t="str">
        <x:v>第1页</x:v>
      </x:c>
      <x:c r="M96" s="51" t="str">
        <x:v>1 ڌ ዄ΂Оப ΂f XPeng Inc. ʃᘄණྠ * ʮ̡ ΅˾໮j 9868 ඄ϋɽึ೮া˚ಂ XPeng Inc.͉ʮ̡  ʘ໨ԫึ  ໨ԫึбd໨ԫึʊਗ਼2026ϋ5˜14ග ࠽ٰࠦ0.00001ٙAאB೮া˚ ΅೮া˚͉ʮ̡AאBϞ ඄ϋɽึ  ඄ϋɽึึɪҳୃf Ϟ͉ʮ̡ Aᗳ אB׵ڭ2026ϋ5˜14ਗ਼ ΅ཀ˒೮াᐼஈ Ascentium (Cayman) Limitedމ4th Floor, Harbour Place, 103 South Church Street, P.O. Box 10240, Grand Cayman KY 1-1002, Cayman IslandsϞ͉ʮ̡ Aᗳ౷ஷ Νಂග у2026ϋ5˜14ϞϞ ʮ 䅳༸ 16ፄʕː 17ᅽf ࿚Ї2026ϋ5˜14ග  ೮া˚ڌ ͉ʮ̡ A ٰᗫAٰٙ ͪf</x:v>
      </x:c>
      <x:c r="N96" s="41" t="str">
        <x:v>0-无关</x:v>
      </x:c>
      <x:c r="O96" s="41" t="str">
        <x:v>否</x:v>
      </x:c>
      <x:c r="P96" s="57" t="str">
        <x:v>公告仅说明股东周年大会登记日期；内容与研发投入与现金盈亏缺少业务传导，未提供研发费用、经营现金消耗和盈亏平衡时点，不能支持当前判断。</x:v>
      </x:c>
      <x:c r="Q96" s="41" t="str">
        <x:v>B-CODEX-FIN-01</x:v>
      </x:c>
      <x:c r="R96" s="80" t="inlineStr">
        <x:is>
          <x:t>2026-08-30T13:30:00+08:00</x:t>
        </x:is>
      </x:c>
    </x:row>
    <x:row r="97" ht="72" customHeight="1">
      <x:c r="A97" s="64" t="str">
        <x:v>V6-R-Q010-C04</x:v>
      </x:c>
      <x:c r="B97" s="64" t="str">
        <x:v>V6-E-09868-C04</x:v>
      </x:c>
      <x:c r="C97" s="64" t="str">
        <x:v>V6-Q010</x:v>
      </x:c>
      <x:c r="D97" s="40" t="str">
        <x:v>小鹏汽车</x:v>
      </x:c>
      <x:c r="E97" s="64" t="str">
        <x:v>09868</x:v>
      </x:c>
      <x:c r="F97" s="87" t="n">
        <x:v>46260.75</x:v>
      </x:c>
      <x:c r="G97" s="51" t="str">
        <x:v>研发费用与经营现金消耗是否会延后盈亏平衡时点</x:v>
      </x:c>
      <x:c r="H97" s="64" t="str">
        <x:v>DOC-EVT-09868-00018</x:v>
      </x:c>
      <x:c r="I97" s="51" t="str">
        <x:v>变更香港主要营业地点</x:v>
      </x:c>
      <x:c r="J97" s="87" t="n">
        <x:v>45387.75450231481</x:v>
      </x:c>
      <x:c r="K97" s="73" t="str">
        <x:v>http://static.cninfo.com.cn/finalpage/2024-04-05/1219525302.PDF</x:v>
      </x:c>
      <x:c r="L97" s="40" t="str">
        <x:v>第1页</x:v>
      </x:c>
      <x:c r="M97"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2024 年 4 月 5 日 起，本公司之香港主要營業地點之地址將由香港中環康樂廣場1號怡和大廈39樓 3911室遷移至香港九龍觀塘道348號宏利廣場5樓。 承董事會命 XPeng Inc. 董事長 何小鵬 香港，2024年4月5日（星期五） 於本公告日期，本公司董事會由執行董事何小鵬先生，非執行董事符績勳先生及楊飛先生 ，以及獨立非執行董事楊東皓先生、瞿芳女士及張宏江先生組成。 * 僅供識別</x:v>
      </x:c>
      <x:c r="N97" s="41" t="str">
        <x:v>0-无关</x:v>
      </x:c>
      <x:c r="O97" s="41" t="str">
        <x:v>否</x:v>
      </x:c>
      <x:c r="P97" s="57" t="str">
        <x:v>公告仅变更香港主要营业地点；内容与研发投入与现金盈亏缺少业务传导，未提供研发费用、经营现金消耗和盈亏平衡时点，不能支持当前判断。</x:v>
      </x:c>
      <x:c r="Q97" s="41" t="str">
        <x:v>B-CODEX-FIN-01</x:v>
      </x:c>
      <x:c r="R97" s="80" t="inlineStr">
        <x:is>
          <x:t>2026-08-30T13:30:00+08:00</x:t>
        </x:is>
      </x:c>
    </x:row>
    <x:row r="98" ht="72" customHeight="1">
      <x:c r="A98" s="64" t="str">
        <x:v>V6-R-Q010-C06</x:v>
      </x:c>
      <x:c r="B98" s="64" t="str">
        <x:v>V6-E-09868-C06</x:v>
      </x:c>
      <x:c r="C98" s="64" t="str">
        <x:v>V6-Q010</x:v>
      </x:c>
      <x:c r="D98" s="40" t="str">
        <x:v>小鹏汽车</x:v>
      </x:c>
      <x:c r="E98" s="64" t="str">
        <x:v>09868</x:v>
      </x:c>
      <x:c r="F98" s="87" t="n">
        <x:v>46260.75</x:v>
      </x:c>
      <x:c r="G98" s="51" t="str">
        <x:v>研发费用与经营现金消耗是否会延后盈亏平衡时点</x:v>
      </x:c>
      <x:c r="H98" s="64" t="str">
        <x:v>DOC-EVT-09868-00055</x:v>
      </x:c>
      <x:c r="I98" s="51" t="str">
        <x:v>自愿公告控股股东增加持股</x:v>
      </x:c>
      <x:c r="J98" s="87" t="n">
        <x:v>45530.32928240741</x:v>
      </x:c>
      <x:c r="K98" s="73" t="str">
        <x:v>http://static.cninfo.com.cn/finalpage/2024-08-26/1220977275.PDF</x:v>
      </x:c>
      <x:c r="L98" s="40" t="str">
        <x:v>第1页</x:v>
      </x:c>
      <x:c r="M98" s="51" t="str">
        <x:v>香港交易及結算所有限公司及香港聯合交易所有限公司對本公告之內容概不負責，對其準確性或完整性亦不發表聲 明，並明確表示概不會就本公告全部或任何部分內容而產生或因依賴該等內容而引致之任何損失承擔任何責任。 XPeng Inc. 小鵬汽車有限公司 * （於開曼群島註冊成立以不同投票權控制的有限公司 ） （股份代號 ：9868） 自 願 公 告 控 股 股 東 增 加 持 股 本公告乃由 XP en g In c. （「本公司 」）自願作出。 本公司董事會（「 董事會 」）獲 本公司的聯合創始人、執行董事、董事長、首席執行官 兼控股股東何小鵬先生（「 何先生 」）通知 ，何先生 於20 2 4年8 月21 日至 2 0 24年8 月23 日，已於公開市場（ i）購買本公司合共 1, 0 0 0, 0 00股A類普通股（「 A類普通股 」），平 均 價 為 每 股A 類 普 通 股27 . 13 港 元 ， 及 （ii ）通 過 由 其 全 資 擁 有 的Gal ax y D yn as t y Li m i t ed（「Gal a xy Dyn as ty 」）購買本公司合共 1 , 41 9 ,9 2 2股美國存託股（「 美國存託 股」），平均價為每股美國存託股 7. 0 2美元（「 收購事項 」）。 緊接 收購事項 後， (i) Gal ax y D yn as t y 持有本公司 1 , 41 9 ,9 22股美國存託股 ，及 (i i )何先 生於Si mp li cit…</x:v>
      </x:c>
      <x:c r="N98" s="41" t="str">
        <x:v>0-无关</x:v>
      </x:c>
      <x:c r="O98" s="41" t="str">
        <x:v>否</x:v>
      </x:c>
      <x:c r="P98" s="57" t="str">
        <x:v>公告仅披露控股股东在公开市场增持股份；内容与研发投入与现金盈亏缺少业务传导，未提供研发费用、经营现金消耗和盈亏平衡时点，不能支持当前判断。</x:v>
      </x:c>
      <x:c r="Q98" s="41" t="str">
        <x:v>B-CODEX-FIN-01</x:v>
      </x:c>
      <x:c r="R98" s="80" t="inlineStr">
        <x:is>
          <x:t>2026-08-30T13:30:00+08:00</x:t>
        </x:is>
      </x:c>
    </x:row>
    <x:row r="99" ht="72" customHeight="1">
      <x:c r="A99" s="64" t="str">
        <x:v>V6-R-Q010-C01</x:v>
      </x:c>
      <x:c r="B99" s="64" t="str">
        <x:v>V6-E-09868-C01</x:v>
      </x:c>
      <x:c r="C99" s="64" t="str">
        <x:v>V6-Q010</x:v>
      </x:c>
      <x:c r="D99" s="40" t="str">
        <x:v>小鹏汽车</x:v>
      </x:c>
      <x:c r="E99" s="64" t="str">
        <x:v>09868</x:v>
      </x:c>
      <x:c r="F99" s="87" t="n">
        <x:v>46260.75</x:v>
      </x:c>
      <x:c r="G99" s="51" t="str">
        <x:v>研发费用与经营现金消耗是否会延后盈亏平衡时点</x:v>
      </x:c>
      <x:c r="H99" s="64" t="str">
        <x:v>DOC-EVT-09868-00118</x:v>
      </x:c>
      <x:c r="I99" s="51" t="str">
        <x:v>小鹏汽车发布2025年第二季度的未经审计财务业绩</x:v>
      </x:c>
      <x:c r="J99" s="87" t="n">
        <x:v>45888.99998842592</x:v>
      </x:c>
      <x:c r="K99" s="73" t="str">
        <x:v>http://static.cninfo.com.cn/finalpage/2025-08-19/1224520517.PDF</x:v>
      </x:c>
      <x:c r="L99" s="40" t="str">
        <x:v>第1页</x:v>
      </x:c>
      <x:c r="M99" s="51" t="str">
        <x:v>1 ڌ ዄ΂Оப ΂f XPeng Inc. ʮ̡ * ʮ̡ ΅˾໮j 9868 ʃᘄӛԓ೯б 2025ৌਕุᐶ ୋ 13.09ኽᗇՎʿಂ஬ૢ Էୋ571௝ ୋXIVA௅Ͼ̊೯f h ࿚Ї2025ϋ6˜30ɛ͏ ࿆475.7ᄂ ʩ66.4ʩ h ɛ͏࿆ 182.7ϋᄣ̋ 125.3% h މ17.3%d༰2024ϋΝಂɪʺ 3.3ϵʱᓃ h މ14.3%d༰2024ϋΝಂɪʺ 7.9ϵʱᓃ ʕ਷ᄿψ d2025ϋ8˜19˚ { ౽ঐཥਗӛԓ  ౽ঐཥਗӛԓ ʮ ̡XPeng Inc. ʃᘄӛԓ͉ʮ̡˾໮jXPEV˾໮j 9868 ʦ˂ʮбՉ࿚Ї2025 ϋ6˜30ৌਕุᐶf ࿚Ї2025ϋ6˜30ࠅ 2025ϋ ܓ֙ 2025ϋ ܓ֙ 2024ϋ ܓ֙ 2024ϋ ܓ֙ 2024ϋ ܓ֙ 2024ϋ ܓ֙ ᐼʹ˹ඎ 103,181 94,008 91,507 46,533 30,207 21,821 h 2025ӛԓ ᐼʹ˹ඎމ103,181ሿd༰2024ٙ30,207ሿᄣ̋ 241.6%f h ࿚Ї2025ϋ6˜30˚dྼ᜗ቖਯၣഖ ΍Ϟ677dᔧႊ 224̹f h ࿚Ї2025ϋ6˜30˚dʃᘄӛԓІᐄ̂ཥ१ၣഖ༺Ї 2,348ܼ1,304ʃᘄ S4ʿS5൴Ҟ̂१f</x:v>
      </x:c>
      <x:c r="N99" s="41" t="str">
        <x:v>2-间接相关</x:v>
      </x:c>
      <x:c r="O99" s="41" t="str">
        <x:v>是</x:v>
      </x:c>
      <x:c r="P99" s="57" t="str">
        <x:v>季度业绩披露交付增长、总收入和汽车毛利率改善；该事实可通过收入毛利改善向研发及现金消耗覆盖能力传导，间接验证研发费用、经营现金消耗和盈亏平衡时点，关系清晰且可复核。</x:v>
      </x:c>
      <x:c r="Q99" s="41" t="str">
        <x:v>B-CODEX-FIN-01</x:v>
      </x:c>
      <x:c r="R99" s="80" t="inlineStr">
        <x:is>
          <x:t>2026-08-30T13:30:00+08:00</x:t>
        </x:is>
      </x:c>
    </x:row>
    <x:row r="100" ht="72" customHeight="1">
      <x:c r="A100" s="64" t="str">
        <x:v>V6-R-Q010-C05</x:v>
      </x:c>
      <x:c r="B100" s="64" t="str">
        <x:v>V6-E-09868-C05</x:v>
      </x:c>
      <x:c r="C100" s="64" t="str">
        <x:v>V6-Q010</x:v>
      </x:c>
      <x:c r="D100" s="40" t="str">
        <x:v>小鹏汽车</x:v>
      </x:c>
      <x:c r="E100" s="64" t="str">
        <x:v>09868</x:v>
      </x:c>
      <x:c r="F100" s="87" t="n">
        <x:v>46260.75</x:v>
      </x:c>
      <x:c r="G100" s="51" t="str">
        <x:v>研发费用与经营现金消耗是否会延后盈亏平衡时点</x:v>
      </x:c>
      <x:c r="H100" s="64" t="str">
        <x:v>DOC-EVT-09868-00106</x:v>
      </x:c>
      <x:c r="I100" s="51" t="str">
        <x:v>自愿公告2025年5月智能车交付数据</x:v>
      </x:c>
      <x:c r="J100" s="87" t="n">
        <x:v>45810.69318287037</x:v>
      </x:c>
      <x:c r="K100" s="73" t="str">
        <x:v>http://static.cninfo.com.cn/finalpage/2025-06-02/1223739986.PDF</x:v>
      </x:c>
      <x:c r="L100" s="40" t="str">
        <x:v>第1页</x:v>
      </x:c>
      <x:c r="M100"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年5 月智能車交付數據 XPeng Inc. （「本公司」或「小鵬汽車」）之董事會欣然宣佈其2025年5月車輛交付數 據。 2025年5月，小鵬汽車共交付智能電動汽車33,525輛，同比增長230%。小鵬汽車已連續 第七個月交付量超過了30,000輛。2025年前五個月，小鵬汽車共交付162,578輛智能電 動車，與去年同期相比增長了293%。 2025年5月28日，本公司推出了MONA M03 Max 。MONA M03 Max 首次將城市AI智能 駕駛的入門門檻降低至15萬元人民幣區間，使先進的汽車技術更易於年輕用戶獲取。 MONA M03 Max 也是首款搭載AI天璣XOS 5.7.0 的小鵬汽車車型，提供超過300項新功 能。 2025年5月，小鵬汽車智能導航輔助駕駛（XNGP）的城區智駕月度活躍用戶滲透率達 85%。值得注意的是，小鵬MONA M03 Max 首次應用了人機共駕技術，使智能輔助駕 駛系統（ADAS）和駕駛員能夠共享控制，實現手動駕駛與智能駕駛之間的無縫協作。 本公司股東及潛在投資者於買賣本公司證券時，務請謹慎行事。 承董事會命 XPeng Inc. 董事長 何小鵬 香港，2025年6月2日（星期一） 本公告載有前瞻性陳述。前…</x:v>
      </x:c>
      <x:c r="N100" s="41" t="str">
        <x:v>1-弱相关</x:v>
      </x:c>
      <x:c r="O100" s="41" t="str">
        <x:v>否</x:v>
      </x:c>
      <x:c r="P100" s="57" t="str">
        <x:v>交付公告披露月度交付同比增长230%、MONA M03价格带及XNGP渗透率85%；虽与研发投入与现金盈亏主题相近，但未提供研发费用、经营现金消耗和盈亏平衡时点，不足以建立可靠传导链。</x:v>
      </x:c>
      <x:c r="Q100" s="41" t="str">
        <x:v>B-CODEX-FIN-01</x:v>
      </x:c>
      <x:c r="R100" s="80" t="inlineStr">
        <x:is>
          <x:t>2026-08-30T13:30:00+08:00</x:t>
        </x:is>
      </x:c>
    </x:row>
    <x:row r="101" ht="72" customHeight="1">
      <x:c r="A101" s="64" t="str">
        <x:v>V6-R-Q010-C10</x:v>
      </x:c>
      <x:c r="B101" s="64" t="str">
        <x:v>V6-E-09868-C10</x:v>
      </x:c>
      <x:c r="C101" s="64" t="str">
        <x:v>V6-Q010</x:v>
      </x:c>
      <x:c r="D101" s="40" t="str">
        <x:v>小鹏汽车</x:v>
      </x:c>
      <x:c r="E101" s="64" t="str">
        <x:v>09868</x:v>
      </x:c>
      <x:c r="F101" s="87" t="n">
        <x:v>46260.75</x:v>
      </x:c>
      <x:c r="G101" s="51" t="str">
        <x:v>研发费用与经营现金消耗是否会延后盈亏平衡时点</x:v>
      </x:c>
      <x:c r="H101" s="64" t="str">
        <x:v>DOC-EVT-09868-00183</x:v>
      </x:c>
      <x:c r="I101" s="51" t="str">
        <x:v>董事会会议通告</x:v>
      </x:c>
      <x:c r="J101" s="87" t="n">
        <x:v>46238.720972222225</x:v>
      </x:c>
      <x:c r="K101" s="73" t="str">
        <x:v>http://static.cninfo.com.cn/finalpage/2026-08-04/1225457545.PDF</x:v>
      </x:c>
      <x:c r="L101" s="40" t="str">
        <x:v>第1页</x:v>
      </x:c>
      <x:c r="M101" s="51" t="str">
        <x:v>1 香港交易及結算所有限公司及香港聯合交易所有限公司對本通告之內容概不負責，對其準確性或完整性亦 不發表聲明，並明確表示概不會就本通告全部或任何部分內容而產生或因依賴該等內容而引致之任何損失 承擔任何責任。 XPeng Inc. 小鵬集團 * （於開曼群島註冊成立以不同投票權控制的有限公司） （股份代號：9868） 董事會會議通告 XPeng Inc. （「本公司」）董事會（「董事會」）謹此宣佈，董事會會議將於 2026年8月24日（星期一）舉行，藉以（其中包括）考慮及批准(i) 本公司及其附 屬公司截至2026年6月30日止三個月之第二季度業績及其發佈；以及 (ii) 本公司 及其附屬公司截至2026年6月30日止六個月之中期業績及其發佈。 本公司的管理層將於美國東部時間2026年8月24日上午八時正（即北京╱香港時 間2026年8月24日的下午八時正）舉行業績電話會議。 有意以電話方式撥入會議的參加者，請進入下方鏈接完成預登記並請於預定開 始時間前五分鐘撥入。登記完成後，每位參加者將收到業績電話會議的電話撥 入詳情。 會議主題： XPENG 2026年第二季度業績電話會 預登記鏈接： https://s1.c-conf.com/diamondpass/10056093-aweri7.html 此外，本次電話會議的網上直播及錄音將在本公司的投資者關係網站 （http://ir.xiaopeng.com）上提供。 電話會議結束後約一小時直至2026年9月1日為止，電話會議的…</x:v>
      </x:c>
      <x:c r="N101" s="41" t="str">
        <x:v>0-无关</x:v>
      </x:c>
      <x:c r="O101" s="41" t="str">
        <x:v>否</x:v>
      </x:c>
      <x:c r="P101" s="57" t="str">
        <x:v>通告仅安排季度和中期业绩审议及电话会；内容与研发投入与现金盈亏缺少业务传导，未提供研发费用、经营现金消耗和盈亏平衡时点，不能支持当前判断。</x:v>
      </x:c>
      <x:c r="Q101" s="41" t="str">
        <x:v>B-CODEX-FIN-01</x:v>
      </x:c>
      <x:c r="R101" s="80" t="inlineStr">
        <x:is>
          <x:t>2026-08-30T13:30:00+08:00</x:t>
        </x:is>
      </x:c>
    </x:row>
    <x:row r="102" ht="72" customHeight="1">
      <x:c r="A102" s="64" t="str">
        <x:v>V6-R-Q011-C05</x:v>
      </x:c>
      <x:c r="B102" s="64" t="str">
        <x:v>V6-E-002371-C05</x:v>
      </x:c>
      <x:c r="C102" s="64" t="str">
        <x:v>V6-Q011</x:v>
      </x:c>
      <x:c r="D102" s="40" t="str">
        <x:v>北方华创</x:v>
      </x:c>
      <x:c r="E102" s="64" t="str">
        <x:v>002371</x:v>
      </x:c>
      <x:c r="F102" s="87" t="n">
        <x:v>46260.75</x:v>
      </x:c>
      <x:c r="G102" s="51" t="str">
        <x:v>关键零部件国产化能否提升设备毛利率和交付稳定性</x:v>
      </x:c>
      <x:c r="H102" s="64" t="str">
        <x:v>DOC-EVT-002371-00149</x:v>
      </x:c>
      <x:c r="I102" s="51" t="str">
        <x:v>关于拟变更会计师事务所的公告</x:v>
      </x:c>
      <x:c r="J102" s="87" t="n">
        <x:v>45595</x:v>
      </x:c>
      <x:c r="K102" s="73" t="str">
        <x:v>http://static.cninfo.com.cn/finalpage/2024-10-30/1221555086.PDF</x:v>
      </x:c>
      <x:c r="L102" s="40" t="str">
        <x:v>第1页</x:v>
      </x:c>
      <x:c r="M102" s="51" t="str">
        <x:v>证券代码：002371 证券简称： 北方华创 公告编号：2024-075 北方华创科技集团股份有限公司 关于拟变更会计师事务所的公告 本公司及董事会全体成员保证信息披露的内容真实、准确、完整，没有虚假 记载、误导性陈述或者重大遗漏。 特别提示： 1．拟聘任的会计师事务所：大信会计师事务所（特殊普通合伙） 2．原聘任的会计师事务所：天职国际会计师事务所（特殊普通合伙） 3．拟变更会计师事务所的原因及前任会计师的异议情况： 鉴于近期公开信息， 并综合考虑公司现有业务状况及对未来审计服务的需求， 经公司审慎评估和研究， 公司拟取消续聘天职国际会计师事务所 （特殊普通合伙） （以下简称“天职国际” ）为2024 年度审计机构。公司已就变更会计师事务所的 事项与天职国际、大信会计师事务所（特殊普通合伙） （以下简称“大信” ）进行 了充分沟通，前后任会计师事务所均已知悉本事项并对本次更换无异议。 北方华创科技集团股份有限公司（以下简称“公司”）于2024 年 10 月 29 日 召开的第八届董事会第十七次会议、第八届监事会第十二次会议审议通过了《关 于变更会计师事务所的议案》 ，公司拟聘任大信为公司 2024 年度审计服务机构。 现将相关事项公告如下： 一、拟变更会计师事务所的基本信息 （一）机构信息 1．基本信息 大信成立于 1985 年，2012 年3 月转制为特殊普通合伙制事务所，首席合伙 人为谢泽敏先生，总部位于北京，注册地址为北京市海淀区知春路 1 号 22 层 2206。…</x:v>
      </x:c>
      <x:c r="N102" s="41" t="str">
        <x:v>0-无关</x:v>
      </x:c>
      <x:c r="O102" s="41" t="str">
        <x:v>否</x:v>
      </x:c>
      <x:c r="P102" s="57" t="str">
        <x:v>公告仅披露审计机构变更及前后任会计师无异议；内容与设备国产化和交付缺少业务传导，未提供关键零部件国产化率、设备毛利率和交付稳定性，不能支持当前判断。</x:v>
      </x:c>
      <x:c r="Q102" s="41" t="str">
        <x:v>B-CODEX-FIN-01</x:v>
      </x:c>
      <x:c r="R102" s="80" t="inlineStr">
        <x:is>
          <x:t>2026-08-30T13:30:00+08:00</x:t>
        </x:is>
      </x:c>
    </x:row>
    <x:row r="103" ht="72" customHeight="1">
      <x:c r="A103" s="64" t="str">
        <x:v>V6-R-Q011-C04</x:v>
      </x:c>
      <x:c r="B103" s="64" t="str">
        <x:v>V6-E-002371-C04</x:v>
      </x:c>
      <x:c r="C103" s="64" t="str">
        <x:v>V6-Q011</x:v>
      </x:c>
      <x:c r="D103" s="40" t="str">
        <x:v>北方华创</x:v>
      </x:c>
      <x:c r="E103" s="64" t="str">
        <x:v>002371</x:v>
      </x:c>
      <x:c r="F103" s="87" t="n">
        <x:v>46260.75</x:v>
      </x:c>
      <x:c r="G103" s="51" t="str">
        <x:v>关键零部件国产化能否提升设备毛利率和交付稳定性</x:v>
      </x:c>
      <x:c r="H103" s="64" t="str">
        <x:v>DOC-EVT-002371-00354</x:v>
      </x:c>
      <x:c r="I103" s="51" t="str">
        <x:v>关于会计政策变更的公告</x:v>
      </x:c>
      <x:c r="J103" s="87" t="n">
        <x:v>46130</x:v>
      </x:c>
      <x:c r="K103" s="73" t="str">
        <x:v>http://static.cninfo.com.cn/finalpage/2026-04-18/1225122944.PDF</x:v>
      </x:c>
      <x:c r="L103" s="40" t="str">
        <x:v>第1页</x:v>
      </x:c>
      <x:c r="M103" s="51" t="str">
        <x:v>证券代码：002371 证券简称：北方华创 公告编号：2026-020 北方华创科技集团股份有限公司 关于会计政策变更的公告 本公司及董事会全体成员保证信息披露的内容真实、准确、完整，没有虚 假记载、误导性陈述或者重大遗漏。 北方华创科技集团股份有限公司（以下简称“公司”）根据中华人民共和国 财政部发布的《关于印发&lt;企业会计准则解释第 19 号&gt;的通知》（财会〔2025〕 32 号）的要求变更会计政策，现将本次会计政策变更的具体情况公告如下： 一、会计政策变更概述 （一）会计政策变更原因及适用日期 2024 年 12 月，财政部发布了《企业会计准则解释第 19 号》，规定“关于 非同一控制下企业合并中补偿性资产的会计处理”、“关于处置原通过同一控制 下企业合并取得子公司时相关资本公积的会计处理”、“关于采用电子支付系统 结算的金融负债的终止确认”、“关于金融资产合同现金流量特征的评估及相关 披露”和“关于指定为以公允价值计量且其变动计入其他综合收益的权益工具的 披露”等相关内容自 2026 年 1 月 1 日起施行。 根据财政部上述通知要求，公司将对现行会计政策予以相应变更。 （二）变更日期 财政部于 2025 年 12 月 5 日发布《企业会计准则解释第 19 号》，公司自2026 年 1 月 1 日起开始执行前述规定。 （三）变更前采用的会计政策 本次会计政策变更前，公司执行财政部发布的《企业会计准则—基本准则》 和各项具体会计准则、企业会计准则应用指南、企业会计准则解…</x:v>
      </x:c>
      <x:c r="N103" s="41" t="str">
        <x:v>0-无关</x:v>
      </x:c>
      <x:c r="O103" s="41" t="str">
        <x:v>否</x:v>
      </x:c>
      <x:c r="P103" s="57" t="str">
        <x:v>公告说明企业合并及金融资产等新会计准则的执行安排；内容与设备国产化和交付缺少业务传导，未提供关键零部件国产化率、设备毛利率和交付稳定性，不能支持当前判断。</x:v>
      </x:c>
      <x:c r="Q103" s="41" t="str">
        <x:v>B-CODEX-FIN-01</x:v>
      </x:c>
      <x:c r="R103" s="80" t="inlineStr">
        <x:is>
          <x:t>2026-08-30T13:30:00+08:00</x:t>
        </x:is>
      </x:c>
    </x:row>
    <x:row r="104" ht="72" customHeight="1">
      <x:c r="A104" s="64" t="str">
        <x:v>V6-R-Q011-C07</x:v>
      </x:c>
      <x:c r="B104" s="64" t="str">
        <x:v>V6-E-002371-C07</x:v>
      </x:c>
      <x:c r="C104" s="64" t="str">
        <x:v>V6-Q011</x:v>
      </x:c>
      <x:c r="D104" s="40" t="str">
        <x:v>北方华创</x:v>
      </x:c>
      <x:c r="E104" s="64" t="str">
        <x:v>002371</x:v>
      </x:c>
      <x:c r="F104" s="87" t="n">
        <x:v>46260.75</x:v>
      </x:c>
      <x:c r="G104" s="51" t="str">
        <x:v>关键零部件国产化能否提升设备毛利率和交付稳定性</x:v>
      </x:c>
      <x:c r="H104" s="64" t="str">
        <x:v>DOC-EVT-002371-00377</x:v>
      </x:c>
      <x:c r="I104" s="51" t="str">
        <x:v>2025年年度报告摘要</x:v>
      </x:c>
      <x:c r="J104" s="87" t="n">
        <x:v>46130</x:v>
      </x:c>
      <x:c r="K104" s="73" t="str">
        <x:v>http://static.cninfo.com.cn/finalpage/2026-04-18/1225122917.PDF</x:v>
      </x:c>
      <x:c r="L104" s="40" t="str">
        <x:v>第2页</x:v>
      </x:c>
      <x:c r="M104" s="51" t="str">
        <x:v>北方华创科技集团股份有限公司 2025 年年度报告摘要 2 在半导体装备业务板块，公司的主要产品包括刻蚀、薄膜沉积、热处理、湿法清洗、离子注入、涂胶显影、键合等 核心工艺装备，广泛应用于集成电路、功率半导体、三维集成和先进封装、化合物半导体、新型显示等制造领域。公司 凭借产品技术领先、种类多样、工艺覆盖广泛等优势，以产品迭代升级和成套解决方案为客户创造更大价值。 在真空新能源装备业务板块，公司深耕高压、高温、高真空技术，主要产品包括晶体生长设备、真空热处理设备、 气氛保护热处理设备、连续式热处理设备、等离子增强化学气相沉积设备、扩散氧化退火设备、磁控溅射镀膜设备、低 压化学气相沉积设备、多弧离子镀膜设备、金属双极板镀膜设备等，广泛应用于材料热处理、真空电子、半导体材料、 磁性材料、新能源等领域，为新材料、新工艺、新能源等领域的绿色制造提供技术支持。 在精密元器件业务板块，公司推动元器件向小型化、集成化、高精密、高可靠方向发展，主要产品包括精密电阻器、 新型电容器、超高压陶瓷电容器、石英晶体器件、石英微机电传感器、模拟芯片、模块电源、微波组件、电感器变压器、 高性能磁性材料等，广泛应用于电力电子、轨道交通、智能电网、精密仪器、自动控制等领域，为客户提供高端精密元 器件技术、产品、服务一体化的专业解决方案。 3、主要会计数据和财务指标 （1） 近三年主要会计数据和财务指标 公司是否需追溯调整或重述以前年度会计数据 是 □否 追溯调整或重述原因 同一控制下企业合并 元 2025…</x:v>
      </x:c>
      <x:c r="N104" s="41" t="str">
        <x:v>2-间接相关</x:v>
      </x:c>
      <x:c r="O104" s="41" t="str">
        <x:v>是</x:v>
      </x:c>
      <x:c r="P104" s="57" t="str">
        <x:v>年报披露刻蚀、薄膜等装备矩阵，并因同一控制合并追溯数据；该事实可通过技术突破和产品产业化向供应稳定与毛利改善传导，间接验证关键零部件国产化率、设备毛利率和交付稳定性，关系清晰且可复核。</x:v>
      </x:c>
      <x:c r="Q104" s="41" t="str">
        <x:v>B-CODEX-FIN-01</x:v>
      </x:c>
      <x:c r="R104" s="80" t="inlineStr">
        <x:is>
          <x:t>2026-08-30T13:30:00+08:00</x:t>
        </x:is>
      </x:c>
    </x:row>
    <x:row r="105" ht="72" customHeight="1">
      <x:c r="A105" s="64" t="str">
        <x:v>V6-R-Q011-C08</x:v>
      </x:c>
      <x:c r="B105" s="64" t="str">
        <x:v>V6-E-002371-C08</x:v>
      </x:c>
      <x:c r="C105" s="64" t="str">
        <x:v>V6-Q011</x:v>
      </x:c>
      <x:c r="D105" s="40" t="str">
        <x:v>北方华创</x:v>
      </x:c>
      <x:c r="E105" s="64" t="str">
        <x:v>002371</x:v>
      </x:c>
      <x:c r="F105" s="87" t="n">
        <x:v>46260.75</x:v>
      </x:c>
      <x:c r="G105" s="51" t="str">
        <x:v>关键零部件国产化能否提升设备毛利率和交付稳定性</x:v>
      </x:c>
      <x:c r="H105" s="64" t="str">
        <x:v>DOC-EVT-002371-00142</x:v>
      </x:c>
      <x:c r="I105" s="51" t="str">
        <x:v>2024年前三季度业绩预告</x:v>
      </x:c>
      <x:c r="J105" s="87" t="n">
        <x:v>45580</x:v>
      </x:c>
      <x:c r="K105" s="73" t="str">
        <x:v>http://static.cninfo.com.cn/finalpage/2024-10-15/1221384541.PDF</x:v>
      </x:c>
      <x:c r="L105" s="40" t="str">
        <x:v>第1页</x:v>
      </x:c>
      <x:c r="M105" s="51" t="str">
        <x:v>证券代码：002371 证券简称： 北方华创 公告编号：2024-070 北方华创科技集团股份有限公司 2024 年前三季度业绩预告 本公司及董事会全体成员保证信息披露的内容真实、准确、完整，没有虚假 记载、误导性陈述或者重大遗漏。 一、本期业绩预计情况 1．业绩预告期间：2024 年 1 月 1 日–2024 年 9 月 30 日 2．预计的经营业绩： （1）2024 年前三季度预计业绩情况 亏损 扭亏为盈 同向上升 同向下降 项目 2024 年前三季度 上年同期 营业收入 1,883,000 万元-2,168,000 万元 1,458,836.23 万元 比上年同期增长：29.08%-48.61% 归属于上市公司 股东的净利润 盈利：413,000 万元-475,000 万元 盈利：288,421.67 万元 比上年同期增长：43.19%-64.69% 扣除非经常性损 益后的净利润 盈利：395,000 万元-454,000 万元 盈利：264,006.61 万元 比上年同期增长：49.62%-71.97% 基本每股收益 盈利：7.7759 元/股–8.9432 元/股 盈利：5.4478 元/股 （2）2024 年第三季度预计业绩情况 项目 2024 年第三季度 上年同期 营业收入 742,000 万元-854,000 万元 616,177.22 万元 比上年同期增长：20.42%-38.60% 归属于上市公司 股东的净利润 盈利：156,000 万元-179…</x:v>
      </x:c>
      <x:c r="N105" s="41" t="str">
        <x:v>1-弱相关</x:v>
      </x:c>
      <x:c r="O105" s="41" t="str">
        <x:v>否</x:v>
      </x:c>
      <x:c r="P105" s="57" t="str">
        <x:v>业绩预告披露营业收入和扣非净利润的显著增长区间；虽与设备国产化和交付主题相近，但未提供关键零部件国产化率、设备毛利率和交付稳定性，不足以建立可靠传导链。</x:v>
      </x:c>
      <x:c r="Q105" s="41" t="str">
        <x:v>B-CODEX-FIN-01</x:v>
      </x:c>
      <x:c r="R105" s="80" t="inlineStr">
        <x:is>
          <x:t>2026-08-30T13:30:00+08:00</x:t>
        </x:is>
      </x:c>
    </x:row>
    <x:row r="106" ht="72" customHeight="1">
      <x:c r="A106" s="64" t="str">
        <x:v>V6-R-Q011-C10</x:v>
      </x:c>
      <x:c r="B106" s="64" t="str">
        <x:v>V6-E-002371-C10</x:v>
      </x:c>
      <x:c r="C106" s="64" t="str">
        <x:v>V6-Q011</x:v>
      </x:c>
      <x:c r="D106" s="40" t="str">
        <x:v>北方华创</x:v>
      </x:c>
      <x:c r="E106" s="64" t="str">
        <x:v>002371</x:v>
      </x:c>
      <x:c r="F106" s="87" t="n">
        <x:v>46260.75</x:v>
      </x:c>
      <x:c r="G106" s="51" t="str">
        <x:v>关键零部件国产化能否提升设备毛利率和交付稳定性</x:v>
      </x:c>
      <x:c r="H106" s="64" t="str">
        <x:v>DOC-EVT-002371-00415</x:v>
      </x:c>
      <x:c r="I106" s="51" t="str">
        <x:v>关于召开2026年第一次临时股东会的通知</x:v>
      </x:c>
      <x:c r="J106" s="87" t="n">
        <x:v>46234</x:v>
      </x:c>
      <x:c r="K106" s="73" t="str">
        <x:v>http://static.cninfo.com.cn/finalpage/2026-07-31/1225448026.PDF</x:v>
      </x:c>
      <x:c r="L106" s="40" t="str">
        <x:v>第1页</x:v>
      </x:c>
      <x:c r="M106" s="51" t="str">
        <x:v>证券代码：002371 证券简称：北方华创 公告编号：2026-044 北方华创科技集团股份有限公司 关于召开 2026 年第一次临时股东会的通知 本公司及董事会全体成员保证信息披露的内容真实、准确、完整，没有虚假 记载、误导性陈述或者重大遗漏。 一、召开会议的基本情况 1．股东会届次：2026 年第一次临时股东会 2．股东会的召集人：公司董事会。 3．会议召开的合法、合规性：北方华创科技集团股份有限公司（以下简称 “公司”）第九届董事会第四次会议于 2026 年 7 月 21 日召开，会议审议通过了 《关于召开 2026 年第一次临时股东会的议案》。本次股东会的召开符合《公司 法》《上市公司股东会规则》等法律、法规、规范性文件及《公司章程》的有关 规定。 4．会议召开日期和时间： （1）现场会议时间：2026 年 8 月 17 日 14:30。 （2）网络投票时间： 通过深圳证券交易所交易系统进行网络投票的具体时间为：2026 年 8 月 17 日的交易时间，即 9:15-9:25，9:30-11:30 和 13:00-15:00。 通过深圳证券交易所互联网投票系统投票的时间为：2026 年 8 月 17 日 9:15-15:00 期间的任意时间。 5．会议召开方式：本次采用现场表决与网络投票相结合的方式召开。 公司将通过深圳证券交易所交易系统和互联网投票系统（http://wltp.cninfo.c om.cn）向全体股东提供网络形式的投票平台，股东可以在网络投票时间内…</x:v>
      </x:c>
      <x:c r="N106" s="41" t="str">
        <x:v>0-无关</x:v>
      </x:c>
      <x:c r="O106" s="41" t="str">
        <x:v>否</x:v>
      </x:c>
      <x:c r="P106" s="57" t="str">
        <x:v>公告仅说明临时股东会召开和投票程序；内容与设备国产化和交付缺少业务传导，未提供关键零部件国产化率、设备毛利率和交付稳定性，不能支持当前判断。</x:v>
      </x:c>
      <x:c r="Q106" s="41" t="str">
        <x:v>B-CODEX-FIN-01</x:v>
      </x:c>
      <x:c r="R106" s="80" t="inlineStr">
        <x:is>
          <x:t>2026-08-30T13:30:00+08:00</x:t>
        </x:is>
      </x:c>
    </x:row>
    <x:row r="107" ht="72" customHeight="1">
      <x:c r="A107" s="64" t="str">
        <x:v>V6-R-Q011-C02</x:v>
      </x:c>
      <x:c r="B107" s="64" t="str">
        <x:v>V6-E-002371-C02</x:v>
      </x:c>
      <x:c r="C107" s="64" t="str">
        <x:v>V6-Q011</x:v>
      </x:c>
      <x:c r="D107" s="40" t="str">
        <x:v>北方华创</x:v>
      </x:c>
      <x:c r="E107" s="64" t="str">
        <x:v>002371</x:v>
      </x:c>
      <x:c r="F107" s="87" t="n">
        <x:v>46260.75</x:v>
      </x:c>
      <x:c r="G107" s="51" t="str">
        <x:v>关键零部件国产化能否提升设备毛利率和交付稳定性</x:v>
      </x:c>
      <x:c r="H107" s="64" t="str">
        <x:v>DOC-EVT-002371-00336</x:v>
      </x:c>
      <x:c r="I107" s="51" t="str">
        <x:v>关于实际控制人协议转让股份完成过户登记暨股份变动比例触及1%整数倍的公告</x:v>
      </x:c>
      <x:c r="J107" s="87" t="n">
        <x:v>46065</x:v>
      </x:c>
      <x:c r="K107" s="73" t="str">
        <x:v>http://static.cninfo.com.cn/finalpage/2026-02-12/1224976612.PDF</x:v>
      </x:c>
      <x:c r="L107" s="40" t="str">
        <x:v>第1页</x:v>
      </x:c>
      <x:c r="M107" s="51" t="str">
        <x:v>证券代码：002371 证券简称：北方华创 公告编号：2026-006 北方华创科技集团股份有限公司 关于实际控制人协议转让股份完成过户登记 暨股份变动比例触及1%整数倍的公告 本公司及董事会全体成员保证信息披露的内容真实、准确、完整，没有虚 假记载、误导性陈述或者重大遗漏。 一、协议转让基本情况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资有限公司关于北方华创科技集团股份有限公司之股份转让协议》，北京电控拟 通过非公开协议转让方式向国新投资转让持有的公司 14,481,773 股无限售流通 普通股股份，占公司总股本的 2.00%，每股转让价格为人民币 426.39 元，股份转 让总价款为 6,174,883,189.47 元（以下简称“本次协议转让”）。国新投资是国务 院国资委监管的中央企业——中国国新控股有限责任公司开展国有资本运营的 专业化、市场化股权运作平台，本次协议转让旨在加强北京电控与国新投资战略 合作，充分发挥双方资源优势，助力构建“资本合作带动产业赋能”的合作模式， 更好服务国家集成电路产业发展，不会导致公司实际控制人变更。基于对公司未 来发展前景的信心和长期投资价值的认可，国新投资承诺在本次股份转让过户完 成之日起 12 个月内不转让所受让的公司股份。具体内容详见公司于 2…</x:v>
      </x:c>
      <x:c r="N107" s="41" t="str">
        <x:v>0-无关</x:v>
      </x:c>
      <x:c r="O107" s="41" t="str">
        <x:v>否</x:v>
      </x:c>
      <x:c r="P107" s="57" t="str">
        <x:v>公告仅披露实际控制人协议转让股份及战略股东持股安排；内容与设备国产化和交付缺少业务传导，未提供关键零部件国产化率、设备毛利率和交付稳定性，不能支持当前判断。</x:v>
      </x:c>
      <x:c r="Q107" s="41" t="str">
        <x:v>B-CODEX-FIN-01</x:v>
      </x:c>
      <x:c r="R107" s="80" t="inlineStr">
        <x:is>
          <x:t>2026-08-30T13:30:00+08:00</x:t>
        </x:is>
      </x:c>
    </x:row>
    <x:row r="108" ht="72" customHeight="1">
      <x:c r="A108" s="64" t="str">
        <x:v>V6-R-Q011-C06</x:v>
      </x:c>
      <x:c r="B108" s="64" t="str">
        <x:v>V6-E-002371-C06</x:v>
      </x:c>
      <x:c r="C108" s="64" t="str">
        <x:v>V6-Q011</x:v>
      </x:c>
      <x:c r="D108" s="40" t="str">
        <x:v>北方华创</x:v>
      </x:c>
      <x:c r="E108" s="64" t="str">
        <x:v>002371</x:v>
      </x:c>
      <x:c r="F108" s="87" t="n">
        <x:v>46260.75</x:v>
      </x:c>
      <x:c r="G108" s="51" t="str">
        <x:v>关键零部件国产化能否提升设备毛利率和交付稳定性</x:v>
      </x:c>
      <x:c r="H108" s="64" t="str">
        <x:v>DOC-EVT-002371-00411</x:v>
      </x:c>
      <x:c r="I108" s="51" t="str">
        <x:v>关于注册发行非金融企业债务融资工具及应收账款资产支持商业票据的公告</x:v>
      </x:c>
      <x:c r="J108" s="87" t="n">
        <x:v>46225</x:v>
      </x:c>
      <x:c r="K108" s="73" t="str">
        <x:v>http://static.cninfo.com.cn/finalpage/2026-07-22/1225435702.PDF</x:v>
      </x:c>
      <x:c r="L108" s="40" t="str">
        <x:v>第1页</x:v>
      </x:c>
      <x:c r="M108" s="51" t="str">
        <x:v>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账款资产支持商业票据不超过人民币40亿元（含40亿元）。本事项尚需提交公司 2026年第一次临时股东会审议。现将相关情况公告如下： 一、非金融企业债务融资工具 （一）注册发行方案 1.产品名称：非金融企业债务融资工具（以下简称“债务融资工具”） 2.产品类别：包含中期票据（包括但不限于普通票据、并购票据、科创债券 等）、短期票据、超短期票据、永续票据等 3.发行平台：全国银行间债券市场 4.管理机构：中国银行间市场交易商协会 5.发行机制：一次注册，分期发行，自选品类，灵活用款 6.注册有效期：注册完成后两年有效。期间可自主选择是否发行、发行时机、 发行品种与发行规模，可分期、分批发行 7.发行期限：根据发行时的市场情况选择适当的发行期限 8.发行利率：每期固定利率，根据各期发行时银行间债券市场的市场情况确 定 9.总…</x:v>
      </x:c>
      <x:c r="N108" s="41" t="str">
        <x:v>1-弱相关</x:v>
      </x:c>
      <x:c r="O108" s="41" t="str">
        <x:v>否</x:v>
      </x:c>
      <x:c r="P108" s="57" t="str">
        <x:v>公告拟发行债务融资工具和应收账款资产支持票据；虽与设备国产化和交付主题相近，但未提供关键零部件国产化率、设备毛利率和交付稳定性，不足以建立可靠传导链。</x:v>
      </x:c>
      <x:c r="Q108" s="41" t="str">
        <x:v>B-CODEX-FIN-01</x:v>
      </x:c>
      <x:c r="R108" s="80" t="inlineStr">
        <x:is>
          <x:t>2026-08-30T13:30:00+08:00</x:t>
        </x:is>
      </x:c>
    </x:row>
    <x:row r="109" ht="72" customHeight="1">
      <x:c r="A109" s="64" t="str">
        <x:v>V6-R-Q011-C01</x:v>
      </x:c>
      <x:c r="B109" s="64" t="str">
        <x:v>V6-E-002371-C01</x:v>
      </x:c>
      <x:c r="C109" s="64" t="str">
        <x:v>V6-Q011</x:v>
      </x:c>
      <x:c r="D109" s="40" t="str">
        <x:v>北方华创</x:v>
      </x:c>
      <x:c r="E109" s="64" t="str">
        <x:v>002371</x:v>
      </x:c>
      <x:c r="F109" s="87" t="n">
        <x:v>46260.75</x:v>
      </x:c>
      <x:c r="G109" s="51" t="str">
        <x:v>关键零部件国产化能否提升设备毛利率和交付稳定性</x:v>
      </x:c>
      <x:c r="H109" s="64" t="str">
        <x:v>DOC-EVT-002371-00008</x:v>
      </x:c>
      <x:c r="I109" s="51" t="str">
        <x:v>关于“质量回报双提升“行动方案的公告</x:v>
      </x:c>
      <x:c r="J109" s="87" t="n">
        <x:v>45330</x:v>
      </x:c>
      <x:c r="K109" s="73" t="str">
        <x:v>http://static.cninfo.com.cn/finalpage/2024-02-08/1219123085.PDF</x:v>
      </x:c>
      <x:c r="L109" s="40" t="str">
        <x:v>第1页</x:v>
      </x:c>
      <x:c r="M109" s="51" t="str">
        <x:v>证券代码：002371 证券简称：北方华创 公告编号：2024-003 北方华创科技集团股份有限公司 关于“质量回报双提升”行动方案的公告 本公司及董事会全体成员保证信息披露的内容真实、准确、完整，没有虚 假记载、误导性陈述或者重大遗漏。 2023年7月24日，中共中央政治局会议提出要活跃资本市场、提振投资者信 心。2024年1月22日，国常会指出要大力提升上市公司质量和投资价值，要采取 更加有力有效措施，着力稳市场、稳信心。基于对公司未来发展前景的信心和价 值认可，北方华创科技集团股份有限公司（以下简称“北方华创”或“公司”）将实 施“质量回报双提升”行动方案，持续提升公司经营管理水平，不断提高公司核心 竞争力、盈利能力和全面风险管理能力，以期实现长足发展，回馈广大投资者。 主要措施如下： 一、 聚焦主业发展，提升行业认可度及市场占有率 公司秉承“推动产业进步，创造无限可能”的企业使命，持续专注于半导体基 础产品领域的研发与创新，形成了半导体装备、真空及锂电装备和精密电子元器 件三大核心业务板块。在集成电路装备领域，公司多年保持国内领先地位，刻蚀 设备、薄膜沉积设备、清洗设备和炉管设备等核心工艺装备突破多项关键技术并 实现产业化应用，市场认可度持续提升，工艺覆盖度及市场占有率也实现显著增 长。自 2016 年战略重组以来，公司业绩稳步提升，营业收入与归母净利润连续 多年保持增长。2023 年公司预计实现营业收入超 200 亿元，同比增长超 40%； 归母净利润预计将超 3…</x:v>
      </x:c>
      <x:c r="N109" s="41" t="str">
        <x:v>2-间接相关</x:v>
      </x:c>
      <x:c r="O109" s="41" t="str">
        <x:v>是</x:v>
      </x:c>
      <x:c r="P109" s="57" t="str">
        <x:v>行动方案披露刻蚀、薄膜等设备技术突破、产业化和市占率提升；该事实可通过技术突破和产品产业化向供应稳定与毛利改善传导，间接验证关键零部件国产化率、设备毛利率和交付稳定性，关系清晰且可复核。</x:v>
      </x:c>
      <x:c r="Q109" s="41" t="str">
        <x:v>B-CODEX-FIN-01</x:v>
      </x:c>
      <x:c r="R109" s="80" t="inlineStr">
        <x:is>
          <x:t>2026-08-30T13:30:00+08:00</x:t>
        </x:is>
      </x:c>
    </x:row>
    <x:row r="110" ht="72" customHeight="1">
      <x:c r="A110" s="64" t="str">
        <x:v>V6-R-Q011-C03</x:v>
      </x:c>
      <x:c r="B110" s="64" t="str">
        <x:v>V6-E-002371-C03</x:v>
      </x:c>
      <x:c r="C110" s="64" t="str">
        <x:v>V6-Q011</x:v>
      </x:c>
      <x:c r="D110" s="40" t="str">
        <x:v>北方华创</x:v>
      </x:c>
      <x:c r="E110" s="64" t="str">
        <x:v>002371</x:v>
      </x:c>
      <x:c r="F110" s="87" t="n">
        <x:v>46260.75</x:v>
      </x:c>
      <x:c r="G110" s="51" t="str">
        <x:v>关键零部件国产化能否提升设备毛利率和交付稳定性</x:v>
      </x:c>
      <x:c r="H110" s="64" t="str">
        <x:v>DOC-EVT-002371-00006</x:v>
      </x:c>
      <x:c r="I110" s="51" t="str">
        <x:v>关于《北方华创科技集团股份有限公司收购报告书》之法律意见书</x:v>
      </x:c>
      <x:c r="J110" s="87" t="n">
        <x:v>45303</x:v>
      </x:c>
      <x:c r="K110" s="73" t="str">
        <x:v>http://static.cninfo.com.cn/finalpage/2024-01-12/1218857409.PDF</x:v>
      </x:c>
      <x:c r="L110" s="40" t="str">
        <x:v>第3页</x:v>
      </x:c>
      <x:c r="M110" s="51" t="str">
        <x:v>2 北京市中伦律师事务所 关于《北方华创科技集团股份有限公司收购报告书》的 法律意见书 致：北京电子控股有限责任公司 北京市中伦律师事务所（以下简称“本所”或“本所律师” ）接受北京电子 控股有限责任公司（以下简称“北京电控”或“收购人” ）委托，担任北京电控 以无偿划转的方式取得北京七星华电科技集团有限责任公司（以下简称“七星集 团” ）持有的北方华创科技集团股份有限公司（以下简称 “北方华创” ）178,175,721 股股份有关事项（以下简称“本次收购” ）的专项法律顾问。本所根据《中华人 民共和国公司法》 （以下简称“ 《公司法》 ” ） 、 《中华人民共和国证券法》 （以下简 称“ 《证券法》 ” ） 、中国证券监督管理委员会（以下简称“中国证监会” ）颁布的 《上市公司收购管理办法》 （以下简称“ 《收购管理办法》 ” ）、《公开发行证券的公 司信息披露内容与格式准则第16号——上市公司收购报告书》（以下简称“ 《格式 准则第16号》 ” ）和《律师事务所从事证券法律业务管理办法》 《律师事务所证券 法律业务执业规则（试行） 》等有关规范性文件的规定，按照律师行业公认的业 务标准、道德规范和勤勉尽责精神，就收购人为本次收购编制的《北方华创科技 集团股份有限公司收购报告书》（以下简称“ 《收购报告书》 ” ）有关事项，出具本 法律意见书。 北京市朝阳区金和东路20 号院正大中心3 号南塔22-31 层 邮编：100020 22-31/F, South Tower…</x:v>
      </x:c>
      <x:c r="N110" s="41" t="str">
        <x:v>0-无关</x:v>
      </x:c>
      <x:c r="O110" s="41" t="str">
        <x:v>否</x:v>
      </x:c>
      <x:c r="P110" s="57" t="str">
        <x:v>法律意见书涉及控股股权无偿划转而非经营性并购整合；内容与设备国产化和交付缺少业务传导，未提供关键零部件国产化率、设备毛利率和交付稳定性，不能支持当前判断。</x:v>
      </x:c>
      <x:c r="Q110" s="41" t="str">
        <x:v>B-CODEX-FIN-01</x:v>
      </x:c>
      <x:c r="R110" s="80" t="inlineStr">
        <x:is>
          <x:t>2026-08-30T13:30:00+08:00</x:t>
        </x:is>
      </x:c>
    </x:row>
    <x:row r="111" ht="72" customHeight="1">
      <x:c r="A111" s="64" t="str">
        <x:v>V6-R-Q011-C09</x:v>
      </x:c>
      <x:c r="B111" s="64" t="str">
        <x:v>V6-E-002371-C09</x:v>
      </x:c>
      <x:c r="C111" s="64" t="str">
        <x:v>V6-Q011</x:v>
      </x:c>
      <x:c r="D111" s="40" t="str">
        <x:v>北方华创</x:v>
      </x:c>
      <x:c r="E111" s="64" t="str">
        <x:v>002371</x:v>
      </x:c>
      <x:c r="F111" s="87" t="n">
        <x:v>46260.75</x:v>
      </x:c>
      <x:c r="G111" s="51" t="str">
        <x:v>关键零部件国产化能否提升设备毛利率和交付稳定性</x:v>
      </x:c>
      <x:c r="H111" s="64" t="str">
        <x:v>DOC-EVT-002371-00107</x:v>
      </x:c>
      <x:c r="I111" s="51" t="str">
        <x:v>关于控股股东拟发生变更暨国有股权无偿划转的后续进展公告</x:v>
      </x:c>
      <x:c r="J111" s="87" t="n">
        <x:v>45510</x:v>
      </x:c>
      <x:c r="K111" s="73" t="str">
        <x:v>http://static.cninfo.com.cn/finalpage/2024-08-06/1220796400.PDF</x:v>
      </x:c>
      <x:c r="L111" s="40" t="str">
        <x:v>第1页</x:v>
      </x:c>
      <x:c r="M111" s="51" t="str">
        <x:v>证券代码：002371 证券简称：北方华创 公告编号：2024-050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1" s="41" t="str">
        <x:v>0-无关</x:v>
      </x:c>
      <x:c r="O111" s="41" t="str">
        <x:v>否</x:v>
      </x:c>
      <x:c r="P111" s="57" t="str">
        <x:v>公告披露控股股权无偿划转，实际控制人未变化；内容与设备国产化和交付缺少业务传导，未提供关键零部件国产化率、设备毛利率和交付稳定性，不能支持当前判断。</x:v>
      </x:c>
      <x:c r="Q111" s="41" t="str">
        <x:v>B-CODEX-FIN-01</x:v>
      </x:c>
      <x:c r="R111" s="80" t="inlineStr">
        <x:is>
          <x:t>2026-08-30T13:30:00+08:00</x:t>
        </x:is>
      </x:c>
    </x:row>
    <x:row r="112" ht="72" customHeight="1">
      <x:c r="A112" s="64" t="str">
        <x:v>V6-R-Q012-C03</x:v>
      </x:c>
      <x:c r="B112" s="64" t="str">
        <x:v>V6-E-002371-C03</x:v>
      </x:c>
      <x:c r="C112" s="64" t="str">
        <x:v>V6-Q012</x:v>
      </x:c>
      <x:c r="D112" s="40" t="str">
        <x:v>北方华创</x:v>
      </x:c>
      <x:c r="E112" s="64" t="str">
        <x:v>002371</x:v>
      </x:c>
      <x:c r="F112" s="87" t="n">
        <x:v>46260.75</x:v>
      </x:c>
      <x:c r="G112" s="51" t="str">
        <x:v>外延并购后的整合与商誉变化是否影响盈利质量</x:v>
      </x:c>
      <x:c r="H112" s="64" t="str">
        <x:v>DOC-EVT-002371-00006</x:v>
      </x:c>
      <x:c r="I112" s="51" t="str">
        <x:v>关于《北方华创科技集团股份有限公司收购报告书》之法律意见书</x:v>
      </x:c>
      <x:c r="J112" s="87" t="n">
        <x:v>45303</x:v>
      </x:c>
      <x:c r="K112" s="73" t="str">
        <x:v>http://static.cninfo.com.cn/finalpage/2024-01-12/1218857409.PDF</x:v>
      </x:c>
      <x:c r="L112" s="40" t="str">
        <x:v>第3页</x:v>
      </x:c>
      <x:c r="M112" s="51" t="str">
        <x:v>2 北京市中伦律师事务所 关于《北方华创科技集团股份有限公司收购报告书》的 法律意见书 致：北京电子控股有限责任公司 北京市中伦律师事务所（以下简称“本所”或“本所律师” ）接受北京电子 控股有限责任公司（以下简称“北京电控”或“收购人” ）委托，担任北京电控 以无偿划转的方式取得北京七星华电科技集团有限责任公司（以下简称“七星集 团” ）持有的北方华创科技集团股份有限公司（以下简称 “北方华创” ）178,175,721 股股份有关事项（以下简称“本次收购” ）的专项法律顾问。本所根据《中华人 民共和国公司法》 （以下简称“ 《公司法》 ” ） 、 《中华人民共和国证券法》 （以下简 称“ 《证券法》 ” ） 、中国证券监督管理委员会（以下简称“中国证监会” ）颁布的 《上市公司收购管理办法》 （以下简称“ 《收购管理办法》 ” ）、《公开发行证券的公 司信息披露内容与格式准则第16号——上市公司收购报告书》（以下简称“ 《格式 准则第16号》 ” ）和《律师事务所从事证券法律业务管理办法》 《律师事务所证券 法律业务执业规则（试行） 》等有关规范性文件的规定，按照律师行业公认的业 务标准、道德规范和勤勉尽责精神，就收购人为本次收购编制的《北方华创科技 集团股份有限公司收购报告书》（以下简称“ 《收购报告书》 ” ）有关事项，出具本 法律意见书。 北京市朝阳区金和东路20 号院正大中心3 号南塔22-31 层 邮编：100020 22-31/F, South Tower…</x:v>
      </x:c>
      <x:c r="N112" s="41" t="str">
        <x:v>1-弱相关</x:v>
      </x:c>
      <x:c r="O112" s="41" t="str">
        <x:v>否</x:v>
      </x:c>
      <x:c r="P112" s="57" t="str">
        <x:v>法律意见书涉及控股股权无偿划转而非经营性并购整合；虽与并购整合和盈利质量主题相近，但未提供并购整合进度、商誉变化及其对利润质量的影响，不足以建立可靠传导链。</x:v>
      </x:c>
      <x:c r="Q112" s="41" t="str">
        <x:v>B-CODEX-FIN-01</x:v>
      </x:c>
      <x:c r="R112" s="80" t="inlineStr">
        <x:is>
          <x:t>2026-08-30T13:30:00+08:00</x:t>
        </x:is>
      </x:c>
    </x:row>
    <x:row r="113" ht="72" customHeight="1">
      <x:c r="A113" s="64" t="str">
        <x:v>V6-R-Q012-C09</x:v>
      </x:c>
      <x:c r="B113" s="64" t="str">
        <x:v>V6-E-002371-C09</x:v>
      </x:c>
      <x:c r="C113" s="64" t="str">
        <x:v>V6-Q012</x:v>
      </x:c>
      <x:c r="D113" s="40" t="str">
        <x:v>北方华创</x:v>
      </x:c>
      <x:c r="E113" s="64" t="str">
        <x:v>002371</x:v>
      </x:c>
      <x:c r="F113" s="87" t="n">
        <x:v>46260.75</x:v>
      </x:c>
      <x:c r="G113" s="51" t="str">
        <x:v>外延并购后的整合与商誉变化是否影响盈利质量</x:v>
      </x:c>
      <x:c r="H113" s="64" t="str">
        <x:v>DOC-EVT-002371-00107</x:v>
      </x:c>
      <x:c r="I113" s="51" t="str">
        <x:v>关于控股股东拟发生变更暨国有股权无偿划转的后续进展公告</x:v>
      </x:c>
      <x:c r="J113" s="87" t="n">
        <x:v>45510</x:v>
      </x:c>
      <x:c r="K113" s="73" t="str">
        <x:v>http://static.cninfo.com.cn/finalpage/2024-08-06/1220796400.PDF</x:v>
      </x:c>
      <x:c r="L113" s="40" t="str">
        <x:v>第1页</x:v>
      </x:c>
      <x:c r="M113" s="51" t="str">
        <x:v>证券代码：002371 证券简称：北方华创 公告编号：2024-050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3" s="41" t="str">
        <x:v>1-弱相关</x:v>
      </x:c>
      <x:c r="O113" s="41" t="str">
        <x:v>否</x:v>
      </x:c>
      <x:c r="P113" s="57" t="str">
        <x:v>公告披露控股股权无偿划转，实际控制人未变化；虽与并购整合和盈利质量主题相近，但未提供并购整合进度、商誉变化及其对利润质量的影响，不足以建立可靠传导链。</x:v>
      </x:c>
      <x:c r="Q113" s="41" t="str">
        <x:v>B-CODEX-FIN-01</x:v>
      </x:c>
      <x:c r="R113" s="80" t="inlineStr">
        <x:is>
          <x:t>2026-08-30T13:30:00+08:00</x:t>
        </x:is>
      </x:c>
    </x:row>
    <x:row r="114" ht="72" customHeight="1">
      <x:c r="A114" s="64" t="str">
        <x:v>V6-R-Q012-C06</x:v>
      </x:c>
      <x:c r="B114" s="64" t="str">
        <x:v>V6-E-002371-C06</x:v>
      </x:c>
      <x:c r="C114" s="64" t="str">
        <x:v>V6-Q012</x:v>
      </x:c>
      <x:c r="D114" s="40" t="str">
        <x:v>北方华创</x:v>
      </x:c>
      <x:c r="E114" s="64" t="str">
        <x:v>002371</x:v>
      </x:c>
      <x:c r="F114" s="87" t="n">
        <x:v>46260.75</x:v>
      </x:c>
      <x:c r="G114" s="51" t="str">
        <x:v>外延并购后的整合与商誉变化是否影响盈利质量</x:v>
      </x:c>
      <x:c r="H114" s="64" t="str">
        <x:v>DOC-EVT-002371-00411</x:v>
      </x:c>
      <x:c r="I114" s="51" t="str">
        <x:v>关于注册发行非金融企业债务融资工具及应收账款资产支持商业票据的公告</x:v>
      </x:c>
      <x:c r="J114" s="87" t="n">
        <x:v>46225</x:v>
      </x:c>
      <x:c r="K114" s="73" t="str">
        <x:v>http://static.cninfo.com.cn/finalpage/2026-07-22/1225435702.PDF</x:v>
      </x:c>
      <x:c r="L114" s="40" t="str">
        <x:v>第1页</x:v>
      </x:c>
      <x:c r="M114" s="51" t="str">
        <x:v>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账款资产支持商业票据不超过人民币40亿元（含40亿元）。本事项尚需提交公司 2026年第一次临时股东会审议。现将相关情况公告如下： 一、非金融企业债务融资工具 （一）注册发行方案 1.产品名称：非金融企业债务融资工具（以下简称“债务融资工具”） 2.产品类别：包含中期票据（包括但不限于普通票据、并购票据、科创债券 等）、短期票据、超短期票据、永续票据等 3.发行平台：全国银行间债券市场 4.管理机构：中国银行间市场交易商协会 5.发行机制：一次注册，分期发行，自选品类，灵活用款 6.注册有效期：注册完成后两年有效。期间可自主选择是否发行、发行时机、 发行品种与发行规模，可分期、分批发行 7.发行期限：根据发行时的市场情况选择适当的发行期限 8.发行利率：每期固定利率，根据各期发行时银行间债券市场的市场情况确 定 9.总…</x:v>
      </x:c>
      <x:c r="N114" s="41" t="str">
        <x:v>0-无关</x:v>
      </x:c>
      <x:c r="O114" s="41" t="str">
        <x:v>否</x:v>
      </x:c>
      <x:c r="P114" s="57" t="str">
        <x:v>公告拟发行债务融资工具和应收账款资产支持票据；内容与并购整合和盈利质量缺少业务传导，未提供并购整合进度、商誉变化及其对利润质量的影响，不能支持当前判断。</x:v>
      </x:c>
      <x:c r="Q114" s="41" t="str">
        <x:v>B-CODEX-FIN-01</x:v>
      </x:c>
      <x:c r="R114" s="80" t="inlineStr">
        <x:is>
          <x:t>2026-08-30T13:30:00+08:00</x:t>
        </x:is>
      </x:c>
    </x:row>
    <x:row r="115" ht="72" customHeight="1">
      <x:c r="A115" s="64" t="str">
        <x:v>V6-R-Q012-C01</x:v>
      </x:c>
      <x:c r="B115" s="64" t="str">
        <x:v>V6-E-002371-C01</x:v>
      </x:c>
      <x:c r="C115" s="64" t="str">
        <x:v>V6-Q012</x:v>
      </x:c>
      <x:c r="D115" s="40" t="str">
        <x:v>北方华创</x:v>
      </x:c>
      <x:c r="E115" s="64" t="str">
        <x:v>002371</x:v>
      </x:c>
      <x:c r="F115" s="87" t="n">
        <x:v>46260.75</x:v>
      </x:c>
      <x:c r="G115" s="51" t="str">
        <x:v>外延并购后的整合与商誉变化是否影响盈利质量</x:v>
      </x:c>
      <x:c r="H115" s="64" t="str">
        <x:v>DOC-EVT-002371-00008</x:v>
      </x:c>
      <x:c r="I115" s="51" t="str">
        <x:v>关于“质量回报双提升“行动方案的公告</x:v>
      </x:c>
      <x:c r="J115" s="87" t="n">
        <x:v>45330</x:v>
      </x:c>
      <x:c r="K115" s="73" t="str">
        <x:v>http://static.cninfo.com.cn/finalpage/2024-02-08/1219123085.PDF</x:v>
      </x:c>
      <x:c r="L115" s="40" t="str">
        <x:v>第1页</x:v>
      </x:c>
      <x:c r="M115" s="51" t="str">
        <x:v>证券代码：002371 证券简称：北方华创 公告编号：2024-003 北方华创科技集团股份有限公司 关于“质量回报双提升”行动方案的公告 本公司及董事会全体成员保证信息披露的内容真实、准确、完整，没有虚 假记载、误导性陈述或者重大遗漏。 2023年7月24日，中共中央政治局会议提出要活跃资本市场、提振投资者信 心。2024年1月22日，国常会指出要大力提升上市公司质量和投资价值，要采取 更加有力有效措施，着力稳市场、稳信心。基于对公司未来发展前景的信心和价 值认可，北方华创科技集团股份有限公司（以下简称“北方华创”或“公司”）将实 施“质量回报双提升”行动方案，持续提升公司经营管理水平，不断提高公司核心 竞争力、盈利能力和全面风险管理能力，以期实现长足发展，回馈广大投资者。 主要措施如下： 一、 聚焦主业发展，提升行业认可度及市场占有率 公司秉承“推动产业进步，创造无限可能”的企业使命，持续专注于半导体基 础产品领域的研发与创新，形成了半导体装备、真空及锂电装备和精密电子元器 件三大核心业务板块。在集成电路装备领域，公司多年保持国内领先地位，刻蚀 设备、薄膜沉积设备、清洗设备和炉管设备等核心工艺装备突破多项关键技术并 实现产业化应用，市场认可度持续提升，工艺覆盖度及市场占有率也实现显著增 长。自 2016 年战略重组以来，公司业绩稳步提升，营业收入与归母净利润连续 多年保持增长。2023 年公司预计实现营业收入超 200 亿元，同比增长超 40%； 归母净利润预计将超 3…</x:v>
      </x:c>
      <x:c r="N115" s="41" t="str">
        <x:v>1-弱相关</x:v>
      </x:c>
      <x:c r="O115" s="41" t="str">
        <x:v>否</x:v>
      </x:c>
      <x:c r="P115" s="57" t="str">
        <x:v>行动方案披露刻蚀、薄膜等设备技术突破、产业化和市占率提升；虽与并购整合和盈利质量主题相近，但未提供并购整合进度、商誉变化及其对利润质量的影响，不足以建立可靠传导链。</x:v>
      </x:c>
      <x:c r="Q115" s="41" t="str">
        <x:v>B-CODEX-FIN-01</x:v>
      </x:c>
      <x:c r="R115" s="80" t="inlineStr">
        <x:is>
          <x:t>2026-08-30T13:30:00+08:00</x:t>
        </x:is>
      </x:c>
    </x:row>
    <x:row r="116" ht="72" customHeight="1">
      <x:c r="A116" s="64" t="str">
        <x:v>V6-R-Q012-C04</x:v>
      </x:c>
      <x:c r="B116" s="64" t="str">
        <x:v>V6-E-002371-C04</x:v>
      </x:c>
      <x:c r="C116" s="64" t="str">
        <x:v>V6-Q012</x:v>
      </x:c>
      <x:c r="D116" s="40" t="str">
        <x:v>北方华创</x:v>
      </x:c>
      <x:c r="E116" s="64" t="str">
        <x:v>002371</x:v>
      </x:c>
      <x:c r="F116" s="87" t="n">
        <x:v>46260.75</x:v>
      </x:c>
      <x:c r="G116" s="51" t="str">
        <x:v>外延并购后的整合与商誉变化是否影响盈利质量</x:v>
      </x:c>
      <x:c r="H116" s="64" t="str">
        <x:v>DOC-EVT-002371-00354</x:v>
      </x:c>
      <x:c r="I116" s="51" t="str">
        <x:v>关于会计政策变更的公告</x:v>
      </x:c>
      <x:c r="J116" s="87" t="n">
        <x:v>46130</x:v>
      </x:c>
      <x:c r="K116" s="73" t="str">
        <x:v>http://static.cninfo.com.cn/finalpage/2026-04-18/1225122944.PDF</x:v>
      </x:c>
      <x:c r="L116" s="40" t="str">
        <x:v>第1页</x:v>
      </x:c>
      <x:c r="M116" s="51" t="str">
        <x:v>证券代码：002371 证券简称：北方华创 公告编号：2026-020 北方华创科技集团股份有限公司 关于会计政策变更的公告 本公司及董事会全体成员保证信息披露的内容真实、准确、完整，没有虚 假记载、误导性陈述或者重大遗漏。 北方华创科技集团股份有限公司（以下简称“公司”）根据中华人民共和国 财政部发布的《关于印发&lt;企业会计准则解释第 19 号&gt;的通知》（财会〔2025〕 32 号）的要求变更会计政策，现将本次会计政策变更的具体情况公告如下： 一、会计政策变更概述 （一）会计政策变更原因及适用日期 2024 年 12 月，财政部发布了《企业会计准则解释第 19 号》，规定“关于 非同一控制下企业合并中补偿性资产的会计处理”、“关于处置原通过同一控制 下企业合并取得子公司时相关资本公积的会计处理”、“关于采用电子支付系统 结算的金融负债的终止确认”、“关于金融资产合同现金流量特征的评估及相关 披露”和“关于指定为以公允价值计量且其变动计入其他综合收益的权益工具的 披露”等相关内容自 2026 年 1 月 1 日起施行。 根据财政部上述通知要求，公司将对现行会计政策予以相应变更。 （二）变更日期 财政部于 2025 年 12 月 5 日发布《企业会计准则解释第 19 号》，公司自2026 年 1 月 1 日起开始执行前述规定。 （三）变更前采用的会计政策 本次会计政策变更前，公司执行财政部发布的《企业会计准则—基本准则》 和各项具体会计准则、企业会计准则应用指南、企业会计准则解…</x:v>
      </x:c>
      <x:c r="N116" s="41" t="str">
        <x:v>2-间接相关</x:v>
      </x:c>
      <x:c r="O116" s="41" t="str">
        <x:v>是</x:v>
      </x:c>
      <x:c r="P116" s="57" t="str">
        <x:v>公告说明企业合并及金融资产等新会计准则的执行安排；该事实可通过企业合并会计或整合变化向利润质量传导，间接验证并购整合进度、商誉变化及其对利润质量的影响，关系清晰且可复核。</x:v>
      </x:c>
      <x:c r="Q116" s="41" t="str">
        <x:v>B-CODEX-FIN-01</x:v>
      </x:c>
      <x:c r="R116" s="80" t="inlineStr">
        <x:is>
          <x:t>2026-08-30T13:30:00+08:00</x:t>
        </x:is>
      </x:c>
    </x:row>
    <x:row r="117" ht="72" customHeight="1">
      <x:c r="A117" s="64" t="str">
        <x:v>V6-R-Q012-C02</x:v>
      </x:c>
      <x:c r="B117" s="64" t="str">
        <x:v>V6-E-002371-C02</x:v>
      </x:c>
      <x:c r="C117" s="64" t="str">
        <x:v>V6-Q012</x:v>
      </x:c>
      <x:c r="D117" s="40" t="str">
        <x:v>北方华创</x:v>
      </x:c>
      <x:c r="E117" s="64" t="str">
        <x:v>002371</x:v>
      </x:c>
      <x:c r="F117" s="87" t="n">
        <x:v>46260.75</x:v>
      </x:c>
      <x:c r="G117" s="51" t="str">
        <x:v>外延并购后的整合与商誉变化是否影响盈利质量</x:v>
      </x:c>
      <x:c r="H117" s="64" t="str">
        <x:v>DOC-EVT-002371-00336</x:v>
      </x:c>
      <x:c r="I117" s="51" t="str">
        <x:v>关于实际控制人协议转让股份完成过户登记暨股份变动比例触及1%整数倍的公告</x:v>
      </x:c>
      <x:c r="J117" s="87" t="n">
        <x:v>46065</x:v>
      </x:c>
      <x:c r="K117" s="73" t="str">
        <x:v>http://static.cninfo.com.cn/finalpage/2026-02-12/1224976612.PDF</x:v>
      </x:c>
      <x:c r="L117" s="40" t="str">
        <x:v>第1页</x:v>
      </x:c>
      <x:c r="M117" s="51" t="str">
        <x:v>证券代码：002371 证券简称：北方华创 公告编号：2026-006 北方华创科技集团股份有限公司 关于实际控制人协议转让股份完成过户登记 暨股份变动比例触及1%整数倍的公告 本公司及董事会全体成员保证信息披露的内容真实、准确、完整，没有虚 假记载、误导性陈述或者重大遗漏。 一、协议转让基本情况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资有限公司关于北方华创科技集团股份有限公司之股份转让协议》，北京电控拟 通过非公开协议转让方式向国新投资转让持有的公司 14,481,773 股无限售流通 普通股股份，占公司总股本的 2.00%，每股转让价格为人民币 426.39 元，股份转 让总价款为 6,174,883,189.47 元（以下简称“本次协议转让”）。国新投资是国务 院国资委监管的中央企业——中国国新控股有限责任公司开展国有资本运营的 专业化、市场化股权运作平台，本次协议转让旨在加强北京电控与国新投资战略 合作，充分发挥双方资源优势，助力构建“资本合作带动产业赋能”的合作模式， 更好服务国家集成电路产业发展，不会导致公司实际控制人变更。基于对公司未 来发展前景的信心和长期投资价值的认可，国新投资承诺在本次股份转让过户完 成之日起 12 个月内不转让所受让的公司股份。具体内容详见公司于 2…</x:v>
      </x:c>
      <x:c r="N117" s="41" t="str">
        <x:v>0-无关</x:v>
      </x:c>
      <x:c r="O117" s="41" t="str">
        <x:v>否</x:v>
      </x:c>
      <x:c r="P117" s="57" t="str">
        <x:v>公告仅披露实际控制人协议转让股份及战略股东持股安排；内容与并购整合和盈利质量缺少业务传导，未提供并购整合进度、商誉变化及其对利润质量的影响，不能支持当前判断。</x:v>
      </x:c>
      <x:c r="Q117" s="41" t="str">
        <x:v>B-CODEX-FIN-01</x:v>
      </x:c>
      <x:c r="R117" s="80" t="inlineStr">
        <x:is>
          <x:t>2026-08-30T13:30:00+08:00</x:t>
        </x:is>
      </x:c>
    </x:row>
    <x:row r="118" ht="72" customHeight="1">
      <x:c r="A118" s="64" t="str">
        <x:v>V6-R-Q012-C07</x:v>
      </x:c>
      <x:c r="B118" s="64" t="str">
        <x:v>V6-E-002371-C07</x:v>
      </x:c>
      <x:c r="C118" s="64" t="str">
        <x:v>V6-Q012</x:v>
      </x:c>
      <x:c r="D118" s="40" t="str">
        <x:v>北方华创</x:v>
      </x:c>
      <x:c r="E118" s="64" t="str">
        <x:v>002371</x:v>
      </x:c>
      <x:c r="F118" s="87" t="n">
        <x:v>46260.75</x:v>
      </x:c>
      <x:c r="G118" s="51" t="str">
        <x:v>外延并购后的整合与商誉变化是否影响盈利质量</x:v>
      </x:c>
      <x:c r="H118" s="64" t="str">
        <x:v>DOC-EVT-002371-00377</x:v>
      </x:c>
      <x:c r="I118" s="51" t="str">
        <x:v>2025年年度报告摘要</x:v>
      </x:c>
      <x:c r="J118" s="87" t="n">
        <x:v>46130</x:v>
      </x:c>
      <x:c r="K118" s="73" t="str">
        <x:v>http://static.cninfo.com.cn/finalpage/2026-04-18/1225122917.PDF</x:v>
      </x:c>
      <x:c r="L118" s="40" t="str">
        <x:v>第4页</x:v>
      </x:c>
      <x:c r="M118" s="51" t="str">
        <x:v>北方华创科技集团股份有限公司 2025 年年度报告摘要 4 有限公司 －华泰柏 瑞沪深 300 交易型开 放式指数 证券投资 基金 华芯投资 管理有限 责任公司 －国家集 成电路产 业投资基 金二期股 份有限公 司 其他 0.82% 5,937,138 0 不适用 0 北京京国 瑞国企改 革发展基 金（有限 合伙） 其他 0.74% 5,335,072 0 不适用 0 中国建设 银行股份 有限公司 －易方达 沪深 300 交易型开 放式指数 发起式证 券投资基 金 其他 0.70% 5,099,622 0 不适用 0 中国建设 银行股份 有限公司 －华夏国 证半导体 芯片交易 型开放式 指数证券 投资基金 其他 0.66% 4,789,197 0 不适用 0 上述股东关联关系或一 致行动的说明 北京电子控股有限责任公司为北京七星华电科技集团有限责任公司的控股股东，国家集成电 路产业投资基金股份有限公司与华芯投资管理有限责任公司－国家集成电路产业投资基金二 期股份有限公司存在关联关系。除此之外，本公司未知其他上述股东之间是否存在关联关 系，也未知其他股东之间是否属于《上市公司股东持股变动信息披露管理办法》中规定的一 致行动人。 参与融资融券业务股东 情况说明（如有） 无 持股 5%以上股东、前 10 名股东及前 10 名无限售流通股股东参与转融通业务出借股份情况 □适用 不适用 前 10 名股东及前 10 名无限售流通股股东因转融通出借/归还原因导致较上期发生变化 □适用…</x:v>
      </x:c>
      <x:c r="N118" s="41" t="str">
        <x:v>2-间接相关</x:v>
      </x:c>
      <x:c r="O118" s="41" t="str">
        <x:v>是</x:v>
      </x:c>
      <x:c r="P118" s="57" t="str">
        <x:v>年报披露刻蚀、薄膜等装备矩阵，并因同一控制合并追溯数据；该事实可通过企业合并会计或整合变化向利润质量传导，间接验证并购整合进度、商誉变化及其对利润质量的影响，关系清晰且可复核。</x:v>
      </x:c>
      <x:c r="Q118" s="41" t="str">
        <x:v>B-CODEX-FIN-01</x:v>
      </x:c>
      <x:c r="R118" s="80" t="inlineStr">
        <x:is>
          <x:t>2026-08-30T13:30:00+08:00</x:t>
        </x:is>
      </x:c>
    </x:row>
    <x:row r="119" ht="72" customHeight="1">
      <x:c r="A119" s="64" t="str">
        <x:v>V6-R-Q012-C05</x:v>
      </x:c>
      <x:c r="B119" s="64" t="str">
        <x:v>V6-E-002371-C05</x:v>
      </x:c>
      <x:c r="C119" s="64" t="str">
        <x:v>V6-Q012</x:v>
      </x:c>
      <x:c r="D119" s="40" t="str">
        <x:v>北方华创</x:v>
      </x:c>
      <x:c r="E119" s="64" t="str">
        <x:v>002371</x:v>
      </x:c>
      <x:c r="F119" s="87" t="n">
        <x:v>46260.75</x:v>
      </x:c>
      <x:c r="G119" s="51" t="str">
        <x:v>外延并购后的整合与商誉变化是否影响盈利质量</x:v>
      </x:c>
      <x:c r="H119" s="64" t="str">
        <x:v>DOC-EVT-002371-00149</x:v>
      </x:c>
      <x:c r="I119" s="51" t="str">
        <x:v>关于拟变更会计师事务所的公告</x:v>
      </x:c>
      <x:c r="J119" s="87" t="n">
        <x:v>45595</x:v>
      </x:c>
      <x:c r="K119" s="73" t="str">
        <x:v>http://static.cninfo.com.cn/finalpage/2024-10-30/1221555086.PDF</x:v>
      </x:c>
      <x:c r="L119" s="40" t="str">
        <x:v>第1页</x:v>
      </x:c>
      <x:c r="M119" s="51" t="str">
        <x:v>证券代码：002371 证券简称： 北方华创 公告编号：2024-075 北方华创科技集团股份有限公司 关于拟变更会计师事务所的公告 本公司及董事会全体成员保证信息披露的内容真实、准确、完整，没有虚假 记载、误导性陈述或者重大遗漏。 特别提示： 1．拟聘任的会计师事务所：大信会计师事务所（特殊普通合伙） 2．原聘任的会计师事务所：天职国际会计师事务所（特殊普通合伙） 3．拟变更会计师事务所的原因及前任会计师的异议情况： 鉴于近期公开信息， 并综合考虑公司现有业务状况及对未来审计服务的需求， 经公司审慎评估和研究， 公司拟取消续聘天职国际会计师事务所 （特殊普通合伙） （以下简称“天职国际” ）为2024 年度审计机构。公司已就变更会计师事务所的 事项与天职国际、大信会计师事务所（特殊普通合伙） （以下简称“大信” ）进行 了充分沟通，前后任会计师事务所均已知悉本事项并对本次更换无异议。 北方华创科技集团股份有限公司（以下简称“公司”）于2024 年 10 月 29 日 召开的第八届董事会第十七次会议、第八届监事会第十二次会议审议通过了《关 于变更会计师事务所的议案》 ，公司拟聘任大信为公司 2024 年度审计服务机构。 现将相关事项公告如下： 一、拟变更会计师事务所的基本信息 （一）机构信息 1．基本信息 大信成立于 1985 年，2012 年3 月转制为特殊普通合伙制事务所，首席合伙 人为谢泽敏先生，总部位于北京，注册地址为北京市海淀区知春路 1 号 22 层 2206。…</x:v>
      </x:c>
      <x:c r="N119" s="41" t="str">
        <x:v>1-弱相关</x:v>
      </x:c>
      <x:c r="O119" s="41" t="str">
        <x:v>否</x:v>
      </x:c>
      <x:c r="P119" s="57" t="str">
        <x:v>公告仅披露审计机构变更及前后任会计师无异议；虽与并购整合和盈利质量主题相近，但未提供并购整合进度、商誉变化及其对利润质量的影响，不足以建立可靠传导链。</x:v>
      </x:c>
      <x:c r="Q119" s="41" t="str">
        <x:v>B-CODEX-FIN-01</x:v>
      </x:c>
      <x:c r="R119" s="80" t="inlineStr">
        <x:is>
          <x:t>2026-08-30T13:30:00+08:00</x:t>
        </x:is>
      </x:c>
    </x:row>
    <x:row r="120" ht="72" customHeight="1">
      <x:c r="A120" s="64" t="str">
        <x:v>V6-R-Q012-C08</x:v>
      </x:c>
      <x:c r="B120" s="64" t="str">
        <x:v>V6-E-002371-C08</x:v>
      </x:c>
      <x:c r="C120" s="64" t="str">
        <x:v>V6-Q012</x:v>
      </x:c>
      <x:c r="D120" s="40" t="str">
        <x:v>北方华创</x:v>
      </x:c>
      <x:c r="E120" s="64" t="str">
        <x:v>002371</x:v>
      </x:c>
      <x:c r="F120" s="87" t="n">
        <x:v>46260.75</x:v>
      </x:c>
      <x:c r="G120" s="51" t="str">
        <x:v>外延并购后的整合与商誉变化是否影响盈利质量</x:v>
      </x:c>
      <x:c r="H120" s="64" t="str">
        <x:v>DOC-EVT-002371-00142</x:v>
      </x:c>
      <x:c r="I120" s="51" t="str">
        <x:v>2024年前三季度业绩预告</x:v>
      </x:c>
      <x:c r="J120" s="87" t="n">
        <x:v>45580</x:v>
      </x:c>
      <x:c r="K120" s="73" t="str">
        <x:v>http://static.cninfo.com.cn/finalpage/2024-10-15/1221384541.PDF</x:v>
      </x:c>
      <x:c r="L120" s="40" t="str">
        <x:v>第1页</x:v>
      </x:c>
      <x:c r="M120" s="51" t="str">
        <x:v>证券代码：002371 证券简称： 北方华创 公告编号：2024-070 北方华创科技集团股份有限公司 2024 年前三季度业绩预告 本公司及董事会全体成员保证信息披露的内容真实、准确、完整，没有虚假 记载、误导性陈述或者重大遗漏。 一、本期业绩预计情况 1．业绩预告期间：2024 年 1 月 1 日–2024 年 9 月 30 日 2．预计的经营业绩： （1）2024 年前三季度预计业绩情况 亏损 扭亏为盈 同向上升 同向下降 项目 2024 年前三季度 上年同期 营业收入 1,883,000 万元-2,168,000 万元 1,458,836.23 万元 比上年同期增长：29.08%-48.61% 归属于上市公司 股东的净利润 盈利：413,000 万元-475,000 万元 盈利：288,421.67 万元 比上年同期增长：43.19%-64.69% 扣除非经常性损 益后的净利润 盈利：395,000 万元-454,000 万元 盈利：264,006.61 万元 比上年同期增长：49.62%-71.97% 基本每股收益 盈利：7.7759 元/股–8.9432 元/股 盈利：5.4478 元/股 （2）2024 年第三季度预计业绩情况 项目 2024 年第三季度 上年同期 营业收入 742,000 万元-854,000 万元 616,177.22 万元 比上年同期增长：20.42%-38.60% 归属于上市公司 股东的净利润 盈利：156,000 万元-179…</x:v>
      </x:c>
      <x:c r="N120" s="41" t="str">
        <x:v>1-弱相关</x:v>
      </x:c>
      <x:c r="O120" s="41" t="str">
        <x:v>否</x:v>
      </x:c>
      <x:c r="P120" s="57" t="str">
        <x:v>业绩预告披露营业收入和扣非净利润的显著增长区间；虽与并购整合和盈利质量主题相近，但未提供并购整合进度、商誉变化及其对利润质量的影响，不足以建立可靠传导链。</x:v>
      </x:c>
      <x:c r="Q120" s="41" t="str">
        <x:v>B-CODEX-FIN-01</x:v>
      </x:c>
      <x:c r="R120" s="80" t="inlineStr">
        <x:is>
          <x:t>2026-08-30T13:30:00+08:00</x:t>
        </x:is>
      </x:c>
    </x:row>
    <x:row r="121" ht="72" customHeight="1">
      <x:c r="A121" s="64" t="str">
        <x:v>V6-R-Q012-C10</x:v>
      </x:c>
      <x:c r="B121" s="64" t="str">
        <x:v>V6-E-002371-C10</x:v>
      </x:c>
      <x:c r="C121" s="64" t="str">
        <x:v>V6-Q012</x:v>
      </x:c>
      <x:c r="D121" s="40" t="str">
        <x:v>北方华创</x:v>
      </x:c>
      <x:c r="E121" s="64" t="str">
        <x:v>002371</x:v>
      </x:c>
      <x:c r="F121" s="87" t="n">
        <x:v>46260.75</x:v>
      </x:c>
      <x:c r="G121" s="51" t="str">
        <x:v>外延并购后的整合与商誉变化是否影响盈利质量</x:v>
      </x:c>
      <x:c r="H121" s="64" t="str">
        <x:v>DOC-EVT-002371-00415</x:v>
      </x:c>
      <x:c r="I121" s="51" t="str">
        <x:v>关于召开2026年第一次临时股东会的通知</x:v>
      </x:c>
      <x:c r="J121" s="87" t="n">
        <x:v>46234</x:v>
      </x:c>
      <x:c r="K121" s="73" t="str">
        <x:v>http://static.cninfo.com.cn/finalpage/2026-07-31/1225448026.PDF</x:v>
      </x:c>
      <x:c r="L121" s="40" t="str">
        <x:v>第1页</x:v>
      </x:c>
      <x:c r="M121" s="51" t="str">
        <x:v>证券代码：002371 证券简称：北方华创 公告编号：2026-044 北方华创科技集团股份有限公司 关于召开 2026 年第一次临时股东会的通知 本公司及董事会全体成员保证信息披露的内容真实、准确、完整，没有虚假 记载、误导性陈述或者重大遗漏。 一、召开会议的基本情况 1．股东会届次：2026 年第一次临时股东会 2．股东会的召集人：公司董事会。 3．会议召开的合法、合规性：北方华创科技集团股份有限公司（以下简称 “公司”）第九届董事会第四次会议于 2026 年 7 月 21 日召开，会议审议通过了 《关于召开 2026 年第一次临时股东会的议案》。本次股东会的召开符合《公司 法》《上市公司股东会规则》等法律、法规、规范性文件及《公司章程》的有关 规定。 4．会议召开日期和时间： （1）现场会议时间：2026 年 8 月 17 日 14:30。 （2）网络投票时间： 通过深圳证券交易所交易系统进行网络投票的具体时间为：2026 年 8 月 17 日的交易时间，即 9:15-9:25，9:30-11:30 和 13:00-15:00。 通过深圳证券交易所互联网投票系统投票的时间为：2026 年 8 月 17 日 9:15-15:00 期间的任意时间。 5．会议召开方式：本次采用现场表决与网络投票相结合的方式召开。 公司将通过深圳证券交易所交易系统和互联网投票系统（http://wltp.cninfo.c om.cn）向全体股东提供网络形式的投票平台，股东可以在网络投票时间内…</x:v>
      </x:c>
      <x:c r="N121" s="41" t="str">
        <x:v>0-无关</x:v>
      </x:c>
      <x:c r="O121" s="41" t="str">
        <x:v>否</x:v>
      </x:c>
      <x:c r="P121" s="57" t="str">
        <x:v>公告仅说明临时股东会召开和投票程序；内容与并购整合和盈利质量缺少业务传导，未提供并购整合进度、商誉变化及其对利润质量的影响，不能支持当前判断。</x:v>
      </x:c>
      <x:c r="Q121" s="41" t="str">
        <x:v>B-CODEX-FIN-01</x:v>
      </x:c>
      <x:c r="R121" s="80" t="inlineStr">
        <x:is>
          <x:t>2026-08-30T13:30:00+08:00</x:t>
        </x:is>
      </x:c>
    </x:row>
    <x:row r="122" ht="72" customHeight="1">
      <x:c r="A122" s="64" t="str">
        <x:v>V6-R-Q013-C05</x:v>
      </x:c>
      <x:c r="B122" s="64" t="str">
        <x:v>V6-E-002371-C05</x:v>
      </x:c>
      <x:c r="C122" s="64" t="str">
        <x:v>V6-Q013</x:v>
      </x:c>
      <x:c r="D122" s="40" t="str">
        <x:v>北方华创</x:v>
      </x:c>
      <x:c r="E122" s="64" t="str">
        <x:v>002371</x:v>
      </x:c>
      <x:c r="F122" s="87" t="n">
        <x:v>46260.75</x:v>
      </x:c>
      <x:c r="G122" s="51" t="str">
        <x:v>研发投入增长能否转化为刻蚀薄膜等高端设备收入</x:v>
      </x:c>
      <x:c r="H122" s="64" t="str">
        <x:v>DOC-EVT-002371-00149</x:v>
      </x:c>
      <x:c r="I122" s="51" t="str">
        <x:v>关于拟变更会计师事务所的公告</x:v>
      </x:c>
      <x:c r="J122" s="87" t="n">
        <x:v>45595</x:v>
      </x:c>
      <x:c r="K122" s="73" t="str">
        <x:v>http://static.cninfo.com.cn/finalpage/2024-10-30/1221555086.PDF</x:v>
      </x:c>
      <x:c r="L122" s="40" t="str">
        <x:v>第1页</x:v>
      </x:c>
      <x:c r="M122" s="51" t="str">
        <x:v>证券代码：002371 证券简称： 北方华创 公告编号：2024-075 北方华创科技集团股份有限公司 关于拟变更会计师事务所的公告 本公司及董事会全体成员保证信息披露的内容真实、准确、完整，没有虚假 记载、误导性陈述或者重大遗漏。 特别提示： 1．拟聘任的会计师事务所：大信会计师事务所（特殊普通合伙） 2．原聘任的会计师事务所：天职国际会计师事务所（特殊普通合伙） 3．拟变更会计师事务所的原因及前任会计师的异议情况： 鉴于近期公开信息， 并综合考虑公司现有业务状况及对未来审计服务的需求， 经公司审慎评估和研究， 公司拟取消续聘天职国际会计师事务所 （特殊普通合伙） （以下简称“天职国际” ）为2024 年度审计机构。公司已就变更会计师事务所的 事项与天职国际、大信会计师事务所（特殊普通合伙） （以下简称“大信” ）进行 了充分沟通，前后任会计师事务所均已知悉本事项并对本次更换无异议。 北方华创科技集团股份有限公司（以下简称“公司”）于2024 年 10 月 29 日 召开的第八届董事会第十七次会议、第八届监事会第十二次会议审议通过了《关 于变更会计师事务所的议案》 ，公司拟聘任大信为公司 2024 年度审计服务机构。 现将相关事项公告如下： 一、拟变更会计师事务所的基本信息 （一）机构信息 1．基本信息 大信成立于 1985 年，2012 年3 月转制为特殊普通合伙制事务所，首席合伙 人为谢泽敏先生，总部位于北京，注册地址为北京市海淀区知春路 1 号 22 层 2206。…</x:v>
      </x:c>
      <x:c r="N122" s="41" t="str">
        <x:v>0-无关</x:v>
      </x:c>
      <x:c r="O122" s="41" t="str">
        <x:v>否</x:v>
      </x:c>
      <x:c r="P122" s="57" t="str">
        <x:v>公告仅披露审计机构变更及前后任会计师无异议；内容与研发转化和高端设备收入缺少业务传导，未提供研发投入增量与刻蚀、薄膜等高端设备收入，不能支持当前判断。</x:v>
      </x:c>
      <x:c r="Q122" s="41" t="str">
        <x:v>B-CODEX-FIN-01</x:v>
      </x:c>
      <x:c r="R122" s="80" t="inlineStr">
        <x:is>
          <x:t>2026-08-30T13:30:00+08:00</x:t>
        </x:is>
      </x:c>
    </x:row>
    <x:row r="123" ht="72" customHeight="1">
      <x:c r="A123" s="64" t="str">
        <x:v>V6-R-Q013-C04</x:v>
      </x:c>
      <x:c r="B123" s="64" t="str">
        <x:v>V6-E-002371-C04</x:v>
      </x:c>
      <x:c r="C123" s="64" t="str">
        <x:v>V6-Q013</x:v>
      </x:c>
      <x:c r="D123" s="40" t="str">
        <x:v>北方华创</x:v>
      </x:c>
      <x:c r="E123" s="64" t="str">
        <x:v>002371</x:v>
      </x:c>
      <x:c r="F123" s="87" t="n">
        <x:v>46260.75</x:v>
      </x:c>
      <x:c r="G123" s="51" t="str">
        <x:v>研发投入增长能否转化为刻蚀薄膜等高端设备收入</x:v>
      </x:c>
      <x:c r="H123" s="64" t="str">
        <x:v>DOC-EVT-002371-00354</x:v>
      </x:c>
      <x:c r="I123" s="51" t="str">
        <x:v>关于会计政策变更的公告</x:v>
      </x:c>
      <x:c r="J123" s="87" t="n">
        <x:v>46130</x:v>
      </x:c>
      <x:c r="K123" s="73" t="str">
        <x:v>http://static.cninfo.com.cn/finalpage/2026-04-18/1225122944.PDF</x:v>
      </x:c>
      <x:c r="L123" s="40" t="str">
        <x:v>第1页</x:v>
      </x:c>
      <x:c r="M123" s="51" t="str">
        <x:v>证券代码：002371 证券简称：北方华创 公告编号：2026-020 北方华创科技集团股份有限公司 关于会计政策变更的公告 本公司及董事会全体成员保证信息披露的内容真实、准确、完整，没有虚 假记载、误导性陈述或者重大遗漏。 北方华创科技集团股份有限公司（以下简称“公司”）根据中华人民共和国 财政部发布的《关于印发&lt;企业会计准则解释第 19 号&gt;的通知》（财会〔2025〕 32 号）的要求变更会计政策，现将本次会计政策变更的具体情况公告如下： 一、会计政策变更概述 （一）会计政策变更原因及适用日期 2024 年 12 月，财政部发布了《企业会计准则解释第 19 号》，规定“关于 非同一控制下企业合并中补偿性资产的会计处理”、“关于处置原通过同一控制 下企业合并取得子公司时相关资本公积的会计处理”、“关于采用电子支付系统 结算的金融负债的终止确认”、“关于金融资产合同现金流量特征的评估及相关 披露”和“关于指定为以公允价值计量且其变动计入其他综合收益的权益工具的 披露”等相关内容自 2026 年 1 月 1 日起施行。 根据财政部上述通知要求，公司将对现行会计政策予以相应变更。 （二）变更日期 财政部于 2025 年 12 月 5 日发布《企业会计准则解释第 19 号》，公司自2026 年 1 月 1 日起开始执行前述规定。 （三）变更前采用的会计政策 本次会计政策变更前，公司执行财政部发布的《企业会计准则—基本准则》 和各项具体会计准则、企业会计准则应用指南、企业会计准则解…</x:v>
      </x:c>
      <x:c r="N123" s="41" t="str">
        <x:v>0-无关</x:v>
      </x:c>
      <x:c r="O123" s="41" t="str">
        <x:v>否</x:v>
      </x:c>
      <x:c r="P123" s="57" t="str">
        <x:v>公告说明企业合并及金融资产等新会计准则的执行安排；内容与研发转化和高端设备收入缺少业务传导，未提供研发投入增量与刻蚀、薄膜等高端设备收入，不能支持当前判断。</x:v>
      </x:c>
      <x:c r="Q123" s="41" t="str">
        <x:v>B-CODEX-FIN-01</x:v>
      </x:c>
      <x:c r="R123" s="80" t="inlineStr">
        <x:is>
          <x:t>2026-08-30T13:30:00+08:00</x:t>
        </x:is>
      </x:c>
    </x:row>
    <x:row r="124" ht="72" customHeight="1">
      <x:c r="A124" s="64" t="str">
        <x:v>V6-R-Q013-C02</x:v>
      </x:c>
      <x:c r="B124" s="64" t="str">
        <x:v>V6-E-002371-C02</x:v>
      </x:c>
      <x:c r="C124" s="64" t="str">
        <x:v>V6-Q013</x:v>
      </x:c>
      <x:c r="D124" s="40" t="str">
        <x:v>北方华创</x:v>
      </x:c>
      <x:c r="E124" s="64" t="str">
        <x:v>002371</x:v>
      </x:c>
      <x:c r="F124" s="87" t="n">
        <x:v>46260.75</x:v>
      </x:c>
      <x:c r="G124" s="51" t="str">
        <x:v>研发投入增长能否转化为刻蚀薄膜等高端设备收入</x:v>
      </x:c>
      <x:c r="H124" s="64" t="str">
        <x:v>DOC-EVT-002371-00336</x:v>
      </x:c>
      <x:c r="I124" s="51" t="str">
        <x:v>关于实际控制人协议转让股份完成过户登记暨股份变动比例触及1%整数倍的公告</x:v>
      </x:c>
      <x:c r="J124" s="87" t="n">
        <x:v>46065</x:v>
      </x:c>
      <x:c r="K124" s="73" t="str">
        <x:v>http://static.cninfo.com.cn/finalpage/2026-02-12/1224976612.PDF</x:v>
      </x:c>
      <x:c r="L124" s="40" t="str">
        <x:v>第1页</x:v>
      </x:c>
      <x:c r="M124" s="51" t="str">
        <x:v>证券代码：002371 证券简称：北方华创 公告编号：2026-006 北方华创科技集团股份有限公司 关于实际控制人协议转让股份完成过户登记 暨股份变动比例触及1%整数倍的公告 本公司及董事会全体成员保证信息披露的内容真实、准确、完整，没有虚 假记载、误导性陈述或者重大遗漏。 一、协议转让基本情况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资有限公司关于北方华创科技集团股份有限公司之股份转让协议》，北京电控拟 通过非公开协议转让方式向国新投资转让持有的公司 14,481,773 股无限售流通 普通股股份，占公司总股本的 2.00%，每股转让价格为人民币 426.39 元，股份转 让总价款为 6,174,883,189.47 元（以下简称“本次协议转让”）。国新投资是国务 院国资委监管的中央企业——中国国新控股有限责任公司开展国有资本运营的 专业化、市场化股权运作平台，本次协议转让旨在加强北京电控与国新投资战略 合作，充分发挥双方资源优势，助力构建“资本合作带动产业赋能”的合作模式， 更好服务国家集成电路产业发展，不会导致公司实际控制人变更。基于对公司未 来发展前景的信心和长期投资价值的认可，国新投资承诺在本次股份转让过户完 成之日起 12 个月内不转让所受让的公司股份。具体内容详见公司于 2…</x:v>
      </x:c>
      <x:c r="N124" s="41" t="str">
        <x:v>0-无关</x:v>
      </x:c>
      <x:c r="O124" s="41" t="str">
        <x:v>否</x:v>
      </x:c>
      <x:c r="P124" s="57" t="str">
        <x:v>公告仅披露实际控制人协议转让股份及战略股东持股安排；内容与研发转化和高端设备收入缺少业务传导，未提供研发投入增量与刻蚀、薄膜等高端设备收入，不能支持当前判断。</x:v>
      </x:c>
      <x:c r="Q124" s="41" t="str">
        <x:v>B-CODEX-FIN-01</x:v>
      </x:c>
      <x:c r="R124" s="80" t="inlineStr">
        <x:is>
          <x:t>2026-08-30T13:30:00+08:00</x:t>
        </x:is>
      </x:c>
    </x:row>
    <x:row r="125" ht="72" customHeight="1">
      <x:c r="A125" s="64" t="str">
        <x:v>V6-R-Q013-C08</x:v>
      </x:c>
      <x:c r="B125" s="64" t="str">
        <x:v>V6-E-002371-C08</x:v>
      </x:c>
      <x:c r="C125" s="64" t="str">
        <x:v>V6-Q013</x:v>
      </x:c>
      <x:c r="D125" s="40" t="str">
        <x:v>北方华创</x:v>
      </x:c>
      <x:c r="E125" s="64" t="str">
        <x:v>002371</x:v>
      </x:c>
      <x:c r="F125" s="87" t="n">
        <x:v>46260.75</x:v>
      </x:c>
      <x:c r="G125" s="51" t="str">
        <x:v>研发投入增长能否转化为刻蚀薄膜等高端设备收入</x:v>
      </x:c>
      <x:c r="H125" s="64" t="str">
        <x:v>DOC-EVT-002371-00142</x:v>
      </x:c>
      <x:c r="I125" s="51" t="str">
        <x:v>2024年前三季度业绩预告</x:v>
      </x:c>
      <x:c r="J125" s="87" t="n">
        <x:v>45580</x:v>
      </x:c>
      <x:c r="K125" s="73" t="str">
        <x:v>http://static.cninfo.com.cn/finalpage/2024-10-15/1221384541.PDF</x:v>
      </x:c>
      <x:c r="L125" s="40" t="str">
        <x:v>第1页</x:v>
      </x:c>
      <x:c r="M125" s="51" t="str">
        <x:v>证券代码：002371 证券简称： 北方华创 公告编号：2024-070 北方华创科技集团股份有限公司 2024 年前三季度业绩预告 本公司及董事会全体成员保证信息披露的内容真实、准确、完整，没有虚假 记载、误导性陈述或者重大遗漏。 一、本期业绩预计情况 1．业绩预告期间：2024 年 1 月 1 日–2024 年 9 月 30 日 2．预计的经营业绩： （1）2024 年前三季度预计业绩情况 亏损 扭亏为盈 同向上升 同向下降 项目 2024 年前三季度 上年同期 营业收入 1,883,000 万元-2,168,000 万元 1,458,836.23 万元 比上年同期增长：29.08%-48.61% 归属于上市公司 股东的净利润 盈利：413,000 万元-475,000 万元 盈利：288,421.67 万元 比上年同期增长：43.19%-64.69% 扣除非经常性损 益后的净利润 盈利：395,000 万元-454,000 万元 盈利：264,006.61 万元 比上年同期增长：49.62%-71.97% 基本每股收益 盈利：7.7759 元/股–8.9432 元/股 盈利：5.4478 元/股 （2）2024 年第三季度预计业绩情况 项目 2024 年第三季度 上年同期 营业收入 742,000 万元-854,000 万元 616,177.22 万元 比上年同期增长：20.42%-38.60% 归属于上市公司 股东的净利润 盈利：156,000 万元-179…</x:v>
      </x:c>
      <x:c r="N125" s="41" t="str">
        <x:v>2-间接相关</x:v>
      </x:c>
      <x:c r="O125" s="41" t="str">
        <x:v>是</x:v>
      </x:c>
      <x:c r="P125" s="57" t="str">
        <x:v>业绩预告披露营业收入和扣非净利润的显著增长区间；该事实可通过技术突破与产业化向高端设备收入传导，间接验证研发投入增量与刻蚀、薄膜等高端设备收入，关系清晰且可复核。</x:v>
      </x:c>
      <x:c r="Q125" s="41" t="str">
        <x:v>B-CODEX-FIN-01</x:v>
      </x:c>
      <x:c r="R125" s="80" t="inlineStr">
        <x:is>
          <x:t>2026-08-30T13:30:00+08:00</x:t>
        </x:is>
      </x:c>
    </x:row>
    <x:row r="126" ht="72" customHeight="1">
      <x:c r="A126" s="64" t="str">
        <x:v>V6-R-Q013-C07</x:v>
      </x:c>
      <x:c r="B126" s="64" t="str">
        <x:v>V6-E-002371-C07</x:v>
      </x:c>
      <x:c r="C126" s="64" t="str">
        <x:v>V6-Q013</x:v>
      </x:c>
      <x:c r="D126" s="40" t="str">
        <x:v>北方华创</x:v>
      </x:c>
      <x:c r="E126" s="64" t="str">
        <x:v>002371</x:v>
      </x:c>
      <x:c r="F126" s="87" t="n">
        <x:v>46260.75</x:v>
      </x:c>
      <x:c r="G126" s="51" t="str">
        <x:v>研发投入增长能否转化为刻蚀薄膜等高端设备收入</x:v>
      </x:c>
      <x:c r="H126" s="64" t="str">
        <x:v>DOC-EVT-002371-00377</x:v>
      </x:c>
      <x:c r="I126" s="51" t="str">
        <x:v>2025年年度报告摘要</x:v>
      </x:c>
      <x:c r="J126" s="87" t="n">
        <x:v>46130</x:v>
      </x:c>
      <x:c r="K126" s="73" t="str">
        <x:v>http://static.cninfo.com.cn/finalpage/2026-04-18/1225122917.PDF</x:v>
      </x:c>
      <x:c r="L126" s="40" t="str">
        <x:v>第2页</x:v>
      </x:c>
      <x:c r="M126" s="51" t="str">
        <x:v>北方华创科技集团股份有限公司 2025 年年度报告摘要 2 在半导体装备业务板块，公司的主要产品包括刻蚀、薄膜沉积、热处理、湿法清洗、离子注入、涂胶显影、键合等 核心工艺装备，广泛应用于集成电路、功率半导体、三维集成和先进封装、化合物半导体、新型显示等制造领域。公司 凭借产品技术领先、种类多样、工艺覆盖广泛等优势，以产品迭代升级和成套解决方案为客户创造更大价值。 在真空新能源装备业务板块，公司深耕高压、高温、高真空技术，主要产品包括晶体生长设备、真空热处理设备、 气氛保护热处理设备、连续式热处理设备、等离子增强化学气相沉积设备、扩散氧化退火设备、磁控溅射镀膜设备、低 压化学气相沉积设备、多弧离子镀膜设备、金属双极板镀膜设备等，广泛应用于材料热处理、真空电子、半导体材料、 磁性材料、新能源等领域，为新材料、新工艺、新能源等领域的绿色制造提供技术支持。 在精密元器件业务板块，公司推动元器件向小型化、集成化、高精密、高可靠方向发展，主要产品包括精密电阻器、 新型电容器、超高压陶瓷电容器、石英晶体器件、石英微机电传感器、模拟芯片、模块电源、微波组件、电感器变压器、 高性能磁性材料等，广泛应用于电力电子、轨道交通、智能电网、精密仪器、自动控制等领域，为客户提供高端精密元 器件技术、产品、服务一体化的专业解决方案。 3、主要会计数据和财务指标 （1） 近三年主要会计数据和财务指标 公司是否需追溯调整或重述以前年度会计数据 是 □否 追溯调整或重述原因 同一控制下企业合并 元 2025…</x:v>
      </x:c>
      <x:c r="N126" s="41" t="str">
        <x:v>3-直接相关</x:v>
      </x:c>
      <x:c r="O126" s="41" t="str">
        <x:v>是</x:v>
      </x:c>
      <x:c r="P126" s="57" t="str">
        <x:v>年报披露刻蚀、薄膜等装备矩阵，并因同一控制合并追溯数据；证据直接披露或决定研发投入增量与刻蚀、薄膜等高端设备收入，可直接用于回答当前查询。</x:v>
      </x:c>
      <x:c r="Q126" s="41" t="str">
        <x:v>B-CODEX-FIN-01</x:v>
      </x:c>
      <x:c r="R126" s="80" t="inlineStr">
        <x:is>
          <x:t>2026-08-30T13:30:00+08:00</x:t>
        </x:is>
      </x:c>
    </x:row>
    <x:row r="127" ht="72" customHeight="1">
      <x:c r="A127" s="64" t="str">
        <x:v>V6-R-Q013-C03</x:v>
      </x:c>
      <x:c r="B127" s="64" t="str">
        <x:v>V6-E-002371-C03</x:v>
      </x:c>
      <x:c r="C127" s="64" t="str">
        <x:v>V6-Q013</x:v>
      </x:c>
      <x:c r="D127" s="40" t="str">
        <x:v>北方华创</x:v>
      </x:c>
      <x:c r="E127" s="64" t="str">
        <x:v>002371</x:v>
      </x:c>
      <x:c r="F127" s="87" t="n">
        <x:v>46260.75</x:v>
      </x:c>
      <x:c r="G127" s="51" t="str">
        <x:v>研发投入增长能否转化为刻蚀薄膜等高端设备收入</x:v>
      </x:c>
      <x:c r="H127" s="64" t="str">
        <x:v>DOC-EVT-002371-00006</x:v>
      </x:c>
      <x:c r="I127" s="51" t="str">
        <x:v>关于《北方华创科技集团股份有限公司收购报告书》之法律意见书</x:v>
      </x:c>
      <x:c r="J127" s="87" t="n">
        <x:v>45303</x:v>
      </x:c>
      <x:c r="K127" s="73" t="str">
        <x:v>http://static.cninfo.com.cn/finalpage/2024-01-12/1218857409.PDF</x:v>
      </x:c>
      <x:c r="L127" s="40" t="str">
        <x:v>第3页</x:v>
      </x:c>
      <x:c r="M127" s="51" t="str">
        <x:v>2 北京市中伦律师事务所 关于《北方华创科技集团股份有限公司收购报告书》的 法律意见书 致：北京电子控股有限责任公司 北京市中伦律师事务所（以下简称“本所”或“本所律师” ）接受北京电子 控股有限责任公司（以下简称“北京电控”或“收购人” ）委托，担任北京电控 以无偿划转的方式取得北京七星华电科技集团有限责任公司（以下简称“七星集 团” ）持有的北方华创科技集团股份有限公司（以下简称 “北方华创” ）178,175,721 股股份有关事项（以下简称“本次收购” ）的专项法律顾问。本所根据《中华人 民共和国公司法》 （以下简称“ 《公司法》 ” ） 、 《中华人民共和国证券法》 （以下简 称“ 《证券法》 ” ） 、中国证券监督管理委员会（以下简称“中国证监会” ）颁布的 《上市公司收购管理办法》 （以下简称“ 《收购管理办法》 ” ）、《公开发行证券的公 司信息披露内容与格式准则第16号——上市公司收购报告书》（以下简称“ 《格式 准则第16号》 ” ）和《律师事务所从事证券法律业务管理办法》 《律师事务所证券 法律业务执业规则（试行） 》等有关规范性文件的规定，按照律师行业公认的业 务标准、道德规范和勤勉尽责精神，就收购人为本次收购编制的《北方华创科技 集团股份有限公司收购报告书》（以下简称“ 《收购报告书》 ” ）有关事项，出具本 法律意见书。 北京市朝阳区金和东路20 号院正大中心3 号南塔22-31 层 邮编：100020 22-31/F, South Tower…</x:v>
      </x:c>
      <x:c r="N127" s="41" t="str">
        <x:v>0-无关</x:v>
      </x:c>
      <x:c r="O127" s="41" t="str">
        <x:v>否</x:v>
      </x:c>
      <x:c r="P127" s="57" t="str">
        <x:v>法律意见书涉及控股股权无偿划转而非经营性并购整合；内容与研发转化和高端设备收入缺少业务传导，未提供研发投入增量与刻蚀、薄膜等高端设备收入，不能支持当前判断。</x:v>
      </x:c>
      <x:c r="Q127" s="41" t="str">
        <x:v>B-CODEX-FIN-01</x:v>
      </x:c>
      <x:c r="R127" s="80" t="inlineStr">
        <x:is>
          <x:t>2026-08-30T13:30:00+08:00</x:t>
        </x:is>
      </x:c>
    </x:row>
    <x:row r="128" ht="72" customHeight="1">
      <x:c r="A128" s="64" t="str">
        <x:v>V6-R-Q013-C01</x:v>
      </x:c>
      <x:c r="B128" s="64" t="str">
        <x:v>V6-E-002371-C01</x:v>
      </x:c>
      <x:c r="C128" s="64" t="str">
        <x:v>V6-Q013</x:v>
      </x:c>
      <x:c r="D128" s="40" t="str">
        <x:v>北方华创</x:v>
      </x:c>
      <x:c r="E128" s="64" t="str">
        <x:v>002371</x:v>
      </x:c>
      <x:c r="F128" s="87" t="n">
        <x:v>46260.75</x:v>
      </x:c>
      <x:c r="G128" s="51" t="str">
        <x:v>研发投入增长能否转化为刻蚀薄膜等高端设备收入</x:v>
      </x:c>
      <x:c r="H128" s="64" t="str">
        <x:v>DOC-EVT-002371-00008</x:v>
      </x:c>
      <x:c r="I128" s="51" t="str">
        <x:v>关于“质量回报双提升“行动方案的公告</x:v>
      </x:c>
      <x:c r="J128" s="87" t="n">
        <x:v>45330</x:v>
      </x:c>
      <x:c r="K128" s="73" t="str">
        <x:v>http://static.cninfo.com.cn/finalpage/2024-02-08/1219123085.PDF</x:v>
      </x:c>
      <x:c r="L128" s="40" t="str">
        <x:v>第1页</x:v>
      </x:c>
      <x:c r="M128" s="51" t="str">
        <x:v>证券代码：002371 证券简称：北方华创 公告编号：2024-003 北方华创科技集团股份有限公司 关于“质量回报双提升”行动方案的公告 本公司及董事会全体成员保证信息披露的内容真实、准确、完整，没有虚 假记载、误导性陈述或者重大遗漏。 2023年7月24日，中共中央政治局会议提出要活跃资本市场、提振投资者信 心。2024年1月22日，国常会指出要大力提升上市公司质量和投资价值，要采取 更加有力有效措施，着力稳市场、稳信心。基于对公司未来发展前景的信心和价 值认可，北方华创科技集团股份有限公司（以下简称“北方华创”或“公司”）将实 施“质量回报双提升”行动方案，持续提升公司经营管理水平，不断提高公司核心 竞争力、盈利能力和全面风险管理能力，以期实现长足发展，回馈广大投资者。 主要措施如下： 一、 聚焦主业发展，提升行业认可度及市场占有率 公司秉承“推动产业进步，创造无限可能”的企业使命，持续专注于半导体基 础产品领域的研发与创新，形成了半导体装备、真空及锂电装备和精密电子元器 件三大核心业务板块。在集成电路装备领域，公司多年保持国内领先地位，刻蚀 设备、薄膜沉积设备、清洗设备和炉管设备等核心工艺装备突破多项关键技术并 实现产业化应用，市场认可度持续提升，工艺覆盖度及市场占有率也实现显著增 长。自 2016 年战略重组以来，公司业绩稳步提升，营业收入与归母净利润连续 多年保持增长。2023 年公司预计实现营业收入超 200 亿元，同比增长超 40%； 归母净利润预计将超 3…</x:v>
      </x:c>
      <x:c r="N128" s="41" t="str">
        <x:v>3-直接相关</x:v>
      </x:c>
      <x:c r="O128" s="41" t="str">
        <x:v>是</x:v>
      </x:c>
      <x:c r="P128" s="57" t="str">
        <x:v>行动方案披露刻蚀、薄膜等设备技术突破、产业化和市占率提升；证据直接披露或决定研发投入增量与刻蚀、薄膜等高端设备收入，可直接用于回答当前查询。</x:v>
      </x:c>
      <x:c r="Q128" s="41" t="str">
        <x:v>B-CODEX-FIN-01</x:v>
      </x:c>
      <x:c r="R128" s="80" t="inlineStr">
        <x:is>
          <x:t>2026-08-30T13:30:00+08:00</x:t>
        </x:is>
      </x:c>
    </x:row>
    <x:row r="129" ht="72" customHeight="1">
      <x:c r="A129" s="64" t="str">
        <x:v>V6-R-Q013-C06</x:v>
      </x:c>
      <x:c r="B129" s="64" t="str">
        <x:v>V6-E-002371-C06</x:v>
      </x:c>
      <x:c r="C129" s="64" t="str">
        <x:v>V6-Q013</x:v>
      </x:c>
      <x:c r="D129" s="40" t="str">
        <x:v>北方华创</x:v>
      </x:c>
      <x:c r="E129" s="64" t="str">
        <x:v>002371</x:v>
      </x:c>
      <x:c r="F129" s="87" t="n">
        <x:v>46260.75</x:v>
      </x:c>
      <x:c r="G129" s="51" t="str">
        <x:v>研发投入增长能否转化为刻蚀薄膜等高端设备收入</x:v>
      </x:c>
      <x:c r="H129" s="64" t="str">
        <x:v>DOC-EVT-002371-00411</x:v>
      </x:c>
      <x:c r="I129" s="51" t="str">
        <x:v>关于注册发行非金融企业债务融资工具及应收账款资产支持商业票据的公告</x:v>
      </x:c>
      <x:c r="J129" s="87" t="n">
        <x:v>46225</x:v>
      </x:c>
      <x:c r="K129" s="73" t="str">
        <x:v>http://static.cninfo.com.cn/finalpage/2026-07-22/1225435702.PDF</x:v>
      </x:c>
      <x:c r="L129" s="40" t="str">
        <x:v>第1页</x:v>
      </x:c>
      <x:c r="M129" s="51" t="str">
        <x:v>证券代码：002371 证券简称：北方华创 公告编号：2026-040 北方华创科技集团股份有限公司 关于注册发行非金融企业债务融资工具 及应收账款资产支持商业票据的公告 本公司及董事会全体成员保证信息披露的内容真实、准确、完整，没有虚 假记载、误导性陈述或者重大遗漏。 北方华创科技集团股份有限公司（以下简称“公司”）于2026年7月21日召 开第九届董事会第四次会议，审议通过了《关于注册发行非金融企业债务融资工 具的议案》《关于注册发行应收账款资产支持商业票据的议案》，同意公司注册 发行非金融企业债务融资工具不超过人民币80亿元（含80亿元），注册发行应收 账款资产支持商业票据不超过人民币40亿元（含40亿元）。本事项尚需提交公司 2026年第一次临时股东会审议。现将相关情况公告如下： 一、非金融企业债务融资工具 （一）注册发行方案 1.产品名称：非金融企业债务融资工具（以下简称“债务融资工具”） 2.产品类别：包含中期票据（包括但不限于普通票据、并购票据、科创债券 等）、短期票据、超短期票据、永续票据等 3.发行平台：全国银行间债券市场 4.管理机构：中国银行间市场交易商协会 5.发行机制：一次注册，分期发行，自选品类，灵活用款 6.注册有效期：注册完成后两年有效。期间可自主选择是否发行、发行时机、 发行品种与发行规模，可分期、分批发行 7.发行期限：根据发行时的市场情况选择适当的发行期限 8.发行利率：每期固定利率，根据各期发行时银行间债券市场的市场情况确 定 9.总…</x:v>
      </x:c>
      <x:c r="N129" s="41" t="str">
        <x:v>1-弱相关</x:v>
      </x:c>
      <x:c r="O129" s="41" t="str">
        <x:v>否</x:v>
      </x:c>
      <x:c r="P129" s="57" t="str">
        <x:v>公告拟发行债务融资工具和应收账款资产支持票据；虽与研发转化和高端设备收入主题相近，但未提供研发投入增量与刻蚀、薄膜等高端设备收入，不足以建立可靠传导链。</x:v>
      </x:c>
      <x:c r="Q129" s="41" t="str">
        <x:v>B-CODEX-FIN-01</x:v>
      </x:c>
      <x:c r="R129" s="80" t="inlineStr">
        <x:is>
          <x:t>2026-08-30T13:30:00+08:00</x:t>
        </x:is>
      </x:c>
    </x:row>
    <x:row r="130" ht="72" customHeight="1">
      <x:c r="A130" s="64" t="str">
        <x:v>V6-R-Q013-C09</x:v>
      </x:c>
      <x:c r="B130" s="64" t="str">
        <x:v>V6-E-002371-C09</x:v>
      </x:c>
      <x:c r="C130" s="64" t="str">
        <x:v>V6-Q013</x:v>
      </x:c>
      <x:c r="D130" s="40" t="str">
        <x:v>北方华创</x:v>
      </x:c>
      <x:c r="E130" s="64" t="str">
        <x:v>002371</x:v>
      </x:c>
      <x:c r="F130" s="87" t="n">
        <x:v>46260.75</x:v>
      </x:c>
      <x:c r="G130" s="51" t="str">
        <x:v>研发投入增长能否转化为刻蚀薄膜等高端设备收入</x:v>
      </x:c>
      <x:c r="H130" s="64" t="str">
        <x:v>DOC-EVT-002371-00107</x:v>
      </x:c>
      <x:c r="I130" s="51" t="str">
        <x:v>关于控股股东拟发生变更暨国有股权无偿划转的后续进展公告</x:v>
      </x:c>
      <x:c r="J130" s="87" t="n">
        <x:v>45510</x:v>
      </x:c>
      <x:c r="K130" s="73" t="str">
        <x:v>http://static.cninfo.com.cn/finalpage/2024-08-06/1220796400.PDF</x:v>
      </x:c>
      <x:c r="L130" s="40" t="str">
        <x:v>第1页</x:v>
      </x:c>
      <x:c r="M130" s="51" t="str">
        <x:v>证券代码：002371 证券简称：北方华创 公告编号：2024-050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30" s="41" t="str">
        <x:v>0-无关</x:v>
      </x:c>
      <x:c r="O130" s="41" t="str">
        <x:v>否</x:v>
      </x:c>
      <x:c r="P130" s="57" t="str">
        <x:v>公告披露控股股权无偿划转，实际控制人未变化；内容与研发转化和高端设备收入缺少业务传导，未提供研发投入增量与刻蚀、薄膜等高端设备收入，不能支持当前判断。</x:v>
      </x:c>
      <x:c r="Q130" s="41" t="str">
        <x:v>B-CODEX-FIN-01</x:v>
      </x:c>
      <x:c r="R130" s="80" t="inlineStr">
        <x:is>
          <x:t>2026-08-30T13:30:00+08:00</x:t>
        </x:is>
      </x:c>
    </x:row>
    <x:row r="131" ht="72" customHeight="1">
      <x:c r="A131" s="64" t="str">
        <x:v>V6-R-Q013-C10</x:v>
      </x:c>
      <x:c r="B131" s="64" t="str">
        <x:v>V6-E-002371-C10</x:v>
      </x:c>
      <x:c r="C131" s="64" t="str">
        <x:v>V6-Q013</x:v>
      </x:c>
      <x:c r="D131" s="40" t="str">
        <x:v>北方华创</x:v>
      </x:c>
      <x:c r="E131" s="64" t="str">
        <x:v>002371</x:v>
      </x:c>
      <x:c r="F131" s="87" t="n">
        <x:v>46260.75</x:v>
      </x:c>
      <x:c r="G131" s="51" t="str">
        <x:v>研发投入增长能否转化为刻蚀薄膜等高端设备收入</x:v>
      </x:c>
      <x:c r="H131" s="64" t="str">
        <x:v>DOC-EVT-002371-00415</x:v>
      </x:c>
      <x:c r="I131" s="51" t="str">
        <x:v>关于召开2026年第一次临时股东会的通知</x:v>
      </x:c>
      <x:c r="J131" s="87" t="n">
        <x:v>46234</x:v>
      </x:c>
      <x:c r="K131" s="73" t="str">
        <x:v>http://static.cninfo.com.cn/finalpage/2026-07-31/1225448026.PDF</x:v>
      </x:c>
      <x:c r="L131" s="40" t="str">
        <x:v>第1页</x:v>
      </x:c>
      <x:c r="M131" s="51" t="str">
        <x:v>证券代码：002371 证券简称：北方华创 公告编号：2026-044 北方华创科技集团股份有限公司 关于召开 2026 年第一次临时股东会的通知 本公司及董事会全体成员保证信息披露的内容真实、准确、完整，没有虚假 记载、误导性陈述或者重大遗漏。 一、召开会议的基本情况 1．股东会届次：2026 年第一次临时股东会 2．股东会的召集人：公司董事会。 3．会议召开的合法、合规性：北方华创科技集团股份有限公司（以下简称 “公司”）第九届董事会第四次会议于 2026 年 7 月 21 日召开，会议审议通过了 《关于召开 2026 年第一次临时股东会的议案》。本次股东会的召开符合《公司 法》《上市公司股东会规则》等法律、法规、规范性文件及《公司章程》的有关 规定。 4．会议召开日期和时间： （1）现场会议时间：2026 年 8 月 17 日 14:30。 （2）网络投票时间： 通过深圳证券交易所交易系统进行网络投票的具体时间为：2026 年 8 月 17 日的交易时间，即 9:15-9:25，9:30-11:30 和 13:00-15:00。 通过深圳证券交易所互联网投票系统投票的时间为：2026 年 8 月 17 日 9:15-15:00 期间的任意时间。 5．会议召开方式：本次采用现场表决与网络投票相结合的方式召开。 公司将通过深圳证券交易所交易系统和互联网投票系统（http://wltp.cninfo.c om.cn）向全体股东提供网络形式的投票平台，股东可以在网络投票时间内…</x:v>
      </x:c>
      <x:c r="N131" s="41" t="str">
        <x:v>0-无关</x:v>
      </x:c>
      <x:c r="O131" s="41" t="str">
        <x:v>否</x:v>
      </x:c>
      <x:c r="P131" s="57" t="str">
        <x:v>公告仅说明临时股东会召开和投票程序；内容与研发转化和高端设备收入缺少业务传导，未提供研发投入增量与刻蚀、薄膜等高端设备收入，不能支持当前判断。</x:v>
      </x:c>
      <x:c r="Q131" s="41" t="str">
        <x:v>B-CODEX-FIN-01</x:v>
      </x:c>
      <x:c r="R131" s="80" t="inlineStr">
        <x:is>
          <x:t>2026-08-30T13:30:00+08:00</x:t>
        </x:is>
      </x:c>
    </x:row>
    <x:row r="132" ht="72" customHeight="1">
      <x:c r="A132" s="64" t="str">
        <x:v>V6-R-Q014-C05</x:v>
      </x:c>
      <x:c r="B132" s="64" t="str">
        <x:v>V6-E-688981-C05</x:v>
      </x:c>
      <x:c r="C132" s="64" t="str">
        <x:v>V6-Q014</x:v>
      </x:c>
      <x:c r="D132" s="40" t="str">
        <x:v>中芯国际</x:v>
      </x:c>
      <x:c r="E132" s="64" t="str">
        <x:v>688981</x:v>
      </x:c>
      <x:c r="F132" s="87" t="n">
        <x:v>46260.75</x:v>
      </x:c>
      <x:c r="G132" s="51" t="str">
        <x:v>产能利用率变化能否覆盖新增折旧并改善毛利率</x:v>
      </x:c>
      <x:c r="H132" s="64" t="str">
        <x:v>DOC-EVT-688981-00083</x:v>
      </x:c>
      <x:c r="I132" s="51" t="str">
        <x:v>港股公告：董事名单与其角色和职能</x:v>
      </x:c>
      <x:c r="J132" s="87" t="n">
        <x:v>45563</x:v>
      </x:c>
      <x:c r="K132" s="73" t="str">
        <x:v>http://static.cninfo.com.cn/finalpage/2024-09-28/1221312676.PDF</x:v>
      </x:c>
      <x:c r="L132" s="40" t="str">
        <x:v>第1页</x:v>
      </x:c>
      <x:c r="M132"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32" s="41" t="str">
        <x:v>0-无关</x:v>
      </x:c>
      <x:c r="O132" s="41" t="str">
        <x:v>否</x:v>
      </x:c>
      <x:c r="P132" s="57" t="str">
        <x:v>公告仅列示董事及委员会角色；内容与产能利用与晶圆毛利缺少业务传导，未提供产能利用率、新增折旧和毛利率的联动，不能支持当前判断。</x:v>
      </x:c>
      <x:c r="Q132" s="41" t="str">
        <x:v>B-CODEX-FIN-01</x:v>
      </x:c>
      <x:c r="R132" s="80" t="inlineStr">
        <x:is>
          <x:t>2026-08-30T13:30:00+08:00</x:t>
        </x:is>
      </x:c>
    </x:row>
    <x:row r="133" ht="72" customHeight="1">
      <x:c r="A133" s="64" t="str">
        <x:v>V6-R-Q014-C03</x:v>
      </x:c>
      <x:c r="B133" s="64" t="str">
        <x:v>V6-E-688981-C03</x:v>
      </x:c>
      <x:c r="C133" s="64" t="str">
        <x:v>V6-Q014</x:v>
      </x:c>
      <x:c r="D133" s="40" t="str">
        <x:v>中芯国际</x:v>
      </x:c>
      <x:c r="E133" s="64" t="str">
        <x:v>688981</x:v>
      </x:c>
      <x:c r="F133" s="87" t="n">
        <x:v>46260.75</x:v>
      </x:c>
      <x:c r="G133" s="51" t="str">
        <x:v>产能利用率变化能否覆盖新增折旧并改善毛利率</x:v>
      </x:c>
      <x:c r="H133" s="64" t="str">
        <x:v>DOC-EVT-688981-00167</x:v>
      </x:c>
      <x:c r="I133" s="51" t="str">
        <x:v>中芯国际2025年半年度报告</x:v>
      </x:c>
      <x:c r="J133" s="87" t="n">
        <x:v>45898</x:v>
      </x:c>
      <x:c r="K133" s="73" t="str">
        <x:v>http://static.cninfo.com.cn/finalpage/2025-08-29/1224608545.PDF</x:v>
      </x:c>
      <x:c r="L133" s="40" t="str">
        <x:v>第19页</x:v>
      </x:c>
      <x:c r="M133" s="51" t="str">
        <x:v>中芯国际集成电路制造有限公司2025 年半年度报告 19 / 153 3. 供应链风险 集成电路晶圆代工行业对原材料、零备件、软件、设备及服务支持等有较高要求，部分重要 原材料、零备件、软件、核心设备及服务支持等在全球范围内的合格供应商数量较少，且大多来 自中国境外。 未来，如果公司的重要原材料、零备件、软件、核心设备及服务支持等发生供应短缺、延迟 交货、价格大幅上涨，或者供应商所处的国家和/或地区与他国发生贸易摩擦、外交冲突、战争等 进而影响到相应原材料、零备件、软件、设备及服务支持等的出口许可、供应或价格上涨，可能 会对公司生产经营及持续发展产生不利影响。 (三)财务风险 1. 业绩波动风险 宏观环境的波动，集成电路行业景气度变化，境内外客户需求未达预期，主要原材料、设备 等价格波动，厂务、电力、设备验证等事件带来的非计划性生产波动，持续进行的产能扩张带来 的高额资本开支、高折旧期及研发投入等情况，可能导致公司在一定时期内面临销售收入、毛利 率和利润波动等风险。 2. 资产减值风险 作为资本密集型企业，本集团固定资产规模较大。未来，若发生资产市价当期大幅下跌且跌 幅明显高于因时间推移或正常使用而预计的下跌，或公司所处的经济、技术或者法律等环境以及 资产所处的市场在当期或者将在近期发生重大变化，或市场利率或者其他市场投资报酬率在当期 已经提高从而影响公司计算资产预计未来现金流量现值的折现率等迹象，可能造成资产使用率不 足、终止使用或提前处置，或导致资产可收回金额低于账面价…</x:v>
      </x:c>
      <x:c r="N133" s="41" t="str">
        <x:v>3-直接相关</x:v>
      </x:c>
      <x:c r="O133" s="41" t="str">
        <x:v>是</x:v>
      </x:c>
      <x:c r="P133" s="57" t="str">
        <x:v>半年报提示产能扩张带来高资本开支、高折旧及收入毛利波动风险；证据直接披露或决定产能利用率、新增折旧和毛利率的联动，可直接用于回答当前查询。</x:v>
      </x:c>
      <x:c r="Q133" s="41" t="str">
        <x:v>B-CODEX-FIN-01</x:v>
      </x:c>
      <x:c r="R133" s="80" t="inlineStr">
        <x:is>
          <x:t>2026-08-30T13:30:00+08:00</x:t>
        </x:is>
      </x:c>
    </x:row>
    <x:row r="134" ht="72" customHeight="1">
      <x:c r="A134" s="64" t="str">
        <x:v>V6-R-Q014-C07</x:v>
      </x:c>
      <x:c r="B134" s="64" t="str">
        <x:v>V6-E-688981-C07</x:v>
      </x:c>
      <x:c r="C134" s="64" t="str">
        <x:v>V6-Q014</x:v>
      </x:c>
      <x:c r="D134" s="40" t="str">
        <x:v>中芯国际</x:v>
      </x:c>
      <x:c r="E134" s="64" t="str">
        <x:v>688981</x:v>
      </x:c>
      <x:c r="F134" s="87" t="n">
        <x:v>46260.75</x:v>
      </x:c>
      <x:c r="G134" s="51" t="str">
        <x:v>产能利用率变化能否覆盖新增折旧并改善毛利率</x:v>
      </x:c>
      <x:c r="H134" s="64" t="str">
        <x:v>DOC-EVT-688981-00142</x:v>
      </x:c>
      <x:c r="I134" s="51" t="str">
        <x:v>中芯国际2025年第一季度报告</x:v>
      </x:c>
      <x:c r="J134" s="87" t="n">
        <x:v>45786</x:v>
      </x:c>
      <x:c r="K134" s="73" t="str">
        <x:v>http://static.cninfo.com.cn/finalpage/2025-05-09/1223496514.PDF</x:v>
      </x:c>
      <x:c r="L134" s="40" t="str">
        <x:v>第2页</x:v>
      </x:c>
      <x:c r="M134" s="51" t="str">
        <x:v>中芯国际集成电路制造有限公司2025 年第一季度报告 2 / 16 一、公司基本情况 (一)2025年第二季指引 以下声明为前瞻性陈述，基于目前的预期并涵盖风险和不确定性。以下数据不包含汇率变动 的影响。本公司预期国际财务报告准则下的指引为：  季度收入环比下降 4%至下降 6%。  毛利率介于 18%至 20%的范围内。 (二)管理层评论 按照国际财务报告准则，一季度，公司整体实现销售收入 22.47 亿美元，环比增长 1.8%；毛 利率为 22.5%，环比大致持平；产能利用率上升至 89.6%，环比增长 4.1 个百分点。 二季度，公司给出的收入指引为环比下降 4%到 6%，毛利率指引为 18%到 20%。 公司认为下半年是机遇与挑战并存。公司会提升应变和抵抗风险的能力，最主要还是保持定 力，做好本业，做好当下。</x:v>
      </x:c>
      <x:c r="N134" s="41" t="str">
        <x:v>3-直接相关</x:v>
      </x:c>
      <x:c r="O134" s="41" t="str">
        <x:v>是</x:v>
      </x:c>
      <x:c r="P134" s="57" t="str">
        <x:v>一季报直接披露产能利用率89.6%、毛利率22.5%及下季指引；证据直接披露或决定产能利用率、新增折旧和毛利率的联动，可直接用于回答当前查询。</x:v>
      </x:c>
      <x:c r="Q134" s="41" t="str">
        <x:v>B-CODEX-FIN-01</x:v>
      </x:c>
      <x:c r="R134" s="80" t="inlineStr">
        <x:is>
          <x:t>2026-08-30T13:30:00+08:00</x:t>
        </x:is>
      </x:c>
    </x:row>
    <x:row r="135" ht="72" customHeight="1">
      <x:c r="A135" s="64" t="str">
        <x:v>V6-R-Q014-C04</x:v>
      </x:c>
      <x:c r="B135" s="64" t="str">
        <x:v>V6-E-688981-C04</x:v>
      </x:c>
      <x:c r="C135" s="64" t="str">
        <x:v>V6-Q014</x:v>
      </x:c>
      <x:c r="D135" s="40" t="str">
        <x:v>中芯国际</x:v>
      </x:c>
      <x:c r="E135" s="64" t="str">
        <x:v>688981</x:v>
      </x:c>
      <x:c r="F135" s="87" t="n">
        <x:v>46260.75</x:v>
      </x:c>
      <x:c r="G135" s="51" t="str">
        <x:v>产能利用率变化能否覆盖新增折旧并改善毛利率</x:v>
      </x:c>
      <x:c r="H135" s="64" t="str">
        <x:v>DOC-EVT-688981-00329</x:v>
      </x:c>
      <x:c r="I135" s="51" t="str">
        <x:v>中芯国际关于董事重选的公告</x:v>
      </x:c>
      <x:c r="J135" s="87" t="n">
        <x:v>46157</x:v>
      </x:c>
      <x:c r="K135" s="73" t="str">
        <x:v>http://static.cninfo.com.cn/finalpage/2026-05-15/1225307089.PDF</x:v>
      </x:c>
      <x:c r="L135" s="40" t="str">
        <x:v>第1页</x:v>
      </x:c>
      <x:c r="M135"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35" s="41" t="str">
        <x:v>0-无关</x:v>
      </x:c>
      <x:c r="O135" s="41" t="str">
        <x:v>否</x:v>
      </x:c>
      <x:c r="P135" s="57" t="str">
        <x:v>公告仅涉及董事重选和任期安排；内容与产能利用与晶圆毛利缺少业务传导，未提供产能利用率、新增折旧和毛利率的联动，不能支持当前判断。</x:v>
      </x:c>
      <x:c r="Q135" s="41" t="str">
        <x:v>B-CODEX-FIN-01</x:v>
      </x:c>
      <x:c r="R135" s="80" t="inlineStr">
        <x:is>
          <x:t>2026-08-30T13:30:00+08:00</x:t>
        </x:is>
      </x:c>
    </x:row>
    <x:row r="136" ht="72" customHeight="1">
      <x:c r="A136" s="64" t="str">
        <x:v>V6-R-Q014-C02</x:v>
      </x:c>
      <x:c r="B136" s="64" t="str">
        <x:v>V6-E-688981-C02</x:v>
      </x:c>
      <x:c r="C136" s="64" t="str">
        <x:v>V6-Q014</x:v>
      </x:c>
      <x:c r="D136" s="40" t="str">
        <x:v>中芯国际</x:v>
      </x:c>
      <x:c r="E136" s="64" t="str">
        <x:v>688981</x:v>
      </x:c>
      <x:c r="F136" s="87" t="n">
        <x:v>46260.75</x:v>
      </x:c>
      <x:c r="G136" s="51" t="str">
        <x:v>产能利用率变化能否覆盖新增折旧并改善毛利率</x:v>
      </x:c>
      <x:c r="H136" s="64" t="str">
        <x:v>DOC-EVT-688981-00287</x:v>
      </x:c>
      <x:c r="I136" s="51" t="str">
        <x:v>中芯国际2025年度非经营性资金占用及其他关联资金往来情况的专项说明</x:v>
      </x:c>
      <x:c r="J136" s="87" t="n">
        <x:v>46108</x:v>
      </x:c>
      <x:c r="K136" s="73" t="str">
        <x:v>http://static.cninfo.com.cn/finalpage/2026-03-27/1225037051.PDF</x:v>
      </x:c>
      <x:c r="L136" s="40" t="str">
        <x:v>第2页</x:v>
      </x:c>
      <x:c r="M136"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36" s="41" t="str">
        <x:v>0-无关</x:v>
      </x:c>
      <x:c r="O136" s="41" t="str">
        <x:v>否</x:v>
      </x:c>
      <x:c r="P136" s="57" t="str">
        <x:v>专项说明核对非经营性资金占用和关联往来数据；内容与产能利用与晶圆毛利缺少业务传导，未提供产能利用率、新增折旧和毛利率的联动，不能支持当前判断。</x:v>
      </x:c>
      <x:c r="Q136" s="41" t="str">
        <x:v>B-CODEX-FIN-01</x:v>
      </x:c>
      <x:c r="R136" s="80" t="inlineStr">
        <x:is>
          <x:t>2026-08-30T13:30:00+08:00</x:t>
        </x:is>
      </x:c>
    </x:row>
    <x:row r="137" ht="72" customHeight="1">
      <x:c r="A137" s="64" t="str">
        <x:v>V6-R-Q014-C08</x:v>
      </x:c>
      <x:c r="B137" s="64" t="str">
        <x:v>V6-E-688981-C08</x:v>
      </x:c>
      <x:c r="C137" s="64" t="str">
        <x:v>V6-Q014</x:v>
      </x:c>
      <x:c r="D137" s="40" t="str">
        <x:v>中芯国际</x:v>
      </x:c>
      <x:c r="E137" s="64" t="str">
        <x:v>688981</x:v>
      </x:c>
      <x:c r="F137" s="87" t="n">
        <x:v>46260.75</x:v>
      </x:c>
      <x:c r="G137" s="51" t="str">
        <x:v>产能利用率变化能否覆盖新增折旧并改善毛利率</x:v>
      </x:c>
      <x:c r="H137" s="64" t="str">
        <x:v>DOC-EVT-688981-00096</x:v>
      </x:c>
      <x:c r="I137" s="51" t="str">
        <x:v>港股公告：中芯国际截至2024年9月30日止三个月未经审核业绩公布</x:v>
      </x:c>
      <x:c r="J137" s="87" t="n">
        <x:v>45604</x:v>
      </x:c>
      <x:c r="K137" s="73" t="str">
        <x:v>http://static.cninfo.com.cn/finalpage/2024-11-08/1221649953.PDF</x:v>
      </x:c>
      <x:c r="L137" s="40" t="str">
        <x:v>第1页</x:v>
      </x:c>
      <x:c r="M137"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37" s="41" t="str">
        <x:v>2-间接相关</x:v>
      </x:c>
      <x:c r="O137" s="41" t="str">
        <x:v>是</x:v>
      </x:c>
      <x:c r="P137" s="57" t="str">
        <x:v>季度业绩披露销售收入、毛利和毛利率的环比同比变化；该事实可通过利用率和收入变化对固定折旧摊薄及毛利率传导，间接验证产能利用率、新增折旧和毛利率的联动，关系清晰且可复核。</x:v>
      </x:c>
      <x:c r="Q137" s="41" t="str">
        <x:v>B-CODEX-FIN-01</x:v>
      </x:c>
      <x:c r="R137" s="80" t="inlineStr">
        <x:is>
          <x:t>2026-08-30T13:30:00+08:00</x:t>
        </x:is>
      </x:c>
    </x:row>
    <x:row r="138" ht="72" customHeight="1">
      <x:c r="A138" s="64" t="str">
        <x:v>V6-R-Q014-C10</x:v>
      </x:c>
      <x:c r="B138" s="64" t="str">
        <x:v>V6-E-688981-C10</x:v>
      </x:c>
      <x:c r="C138" s="64" t="str">
        <x:v>V6-Q014</x:v>
      </x:c>
      <x:c r="D138" s="40" t="str">
        <x:v>中芯国际</x:v>
      </x:c>
      <x:c r="E138" s="64" t="str">
        <x:v>688981</x:v>
      </x:c>
      <x:c r="F138" s="87" t="n">
        <x:v>46260.75</x:v>
      </x:c>
      <x:c r="G138" s="51" t="str">
        <x:v>产能利用率变化能否覆盖新增折旧并改善毛利率</x:v>
      </x:c>
      <x:c r="H138" s="64" t="str">
        <x:v>DOC-EVT-688981-00367</x:v>
      </x:c>
      <x:c r="I138" s="51" t="str">
        <x:v>中芯国际2021年科创板限制性股票激励计划预留授予部分第四个归属期符合归属条件的公告</x:v>
      </x:c>
      <x:c r="J138" s="87" t="n">
        <x:v>46225</x:v>
      </x:c>
      <x:c r="K138" s="73" t="str">
        <x:v>http://static.cninfo.com.cn/finalpage/2026-07-22/1225435807.PDF</x:v>
      </x:c>
      <x:c r="L138" s="40" t="str">
        <x:v>第1页</x:v>
      </x:c>
      <x:c r="M138"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38" s="41" t="str">
        <x:v>0-无关</x:v>
      </x:c>
      <x:c r="O138" s="41" t="str">
        <x:v>否</x:v>
      </x:c>
      <x:c r="P138" s="57" t="str">
        <x:v>公告仅披露限制性股票归属数量、价格和激励对象；内容与产能利用与晶圆毛利缺少业务传导，未提供产能利用率、新增折旧和毛利率的联动，不能支持当前判断。</x:v>
      </x:c>
      <x:c r="Q138" s="41" t="str">
        <x:v>B-CODEX-FIN-01</x:v>
      </x:c>
      <x:c r="R138" s="80" t="inlineStr">
        <x:is>
          <x:t>2026-08-30T13:30:00+08:00</x:t>
        </x:is>
      </x:c>
    </x:row>
    <x:row r="139" ht="72" customHeight="1">
      <x:c r="A139" s="64" t="str">
        <x:v>V6-R-Q014-C01</x:v>
      </x:c>
      <x:c r="B139" s="64" t="str">
        <x:v>V6-E-688981-C01</x:v>
      </x:c>
      <x:c r="C139" s="64" t="str">
        <x:v>V6-Q014</x:v>
      </x:c>
      <x:c r="D139" s="40" t="str">
        <x:v>中芯国际</x:v>
      </x:c>
      <x:c r="E139" s="64" t="str">
        <x:v>688981</x:v>
      </x:c>
      <x:c r="F139" s="87" t="n">
        <x:v>46260.75</x:v>
      </x:c>
      <x:c r="G139" s="51" t="str">
        <x:v>产能利用率变化能否覆盖新增折旧并改善毛利率</x:v>
      </x:c>
      <x:c r="H139" s="64" t="str">
        <x:v>DOC-EVT-688981-00295</x:v>
      </x:c>
      <x:c r="I139" s="51" t="str">
        <x:v>中芯国际2026年度“提质增效重回报”行动方案</x:v>
      </x:c>
      <x:c r="J139" s="87" t="n">
        <x:v>46108</x:v>
      </x:c>
      <x:c r="K139" s="73" t="str">
        <x:v>http://static.cninfo.com.cn/finalpage/2026-03-27/1225037065.PDF</x:v>
      </x:c>
      <x:c r="L139" s="40" t="str">
        <x:v>第1页</x:v>
      </x:c>
      <x:c r="M139"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39" s="41" t="str">
        <x:v>2-间接相关</x:v>
      </x:c>
      <x:c r="O139" s="41" t="str">
        <x:v>是</x:v>
      </x:c>
      <x:c r="P139" s="57" t="str">
        <x:v>行动方案提出产能建设、客户拓展和降本增效；该事实可通过利用率和收入变化对固定折旧摊薄及毛利率传导，间接验证产能利用率、新增折旧和毛利率的联动，关系清晰且可复核。</x:v>
      </x:c>
      <x:c r="Q139" s="41" t="str">
        <x:v>B-CODEX-FIN-01</x:v>
      </x:c>
      <x:c r="R139" s="80" t="inlineStr">
        <x:is>
          <x:t>2026-08-30T13:30:00+08:00</x:t>
        </x:is>
      </x:c>
    </x:row>
    <x:row r="140" ht="72" customHeight="1">
      <x:c r="A140" s="64" t="str">
        <x:v>V6-R-Q014-C06</x:v>
      </x:c>
      <x:c r="B140" s="64" t="str">
        <x:v>V6-E-688981-C06</x:v>
      </x:c>
      <x:c r="C140" s="64" t="str">
        <x:v>V6-Q014</x:v>
      </x:c>
      <x:c r="D140" s="40" t="str">
        <x:v>中芯国际</x:v>
      </x:c>
      <x:c r="E140" s="64" t="str">
        <x:v>688981</x:v>
      </x:c>
      <x:c r="F140" s="87" t="n">
        <x:v>46260.75</x:v>
      </x:c>
      <x:c r="G140" s="51" t="str">
        <x:v>产能利用率变化能否覆盖新增折旧并改善毛利率</x:v>
      </x:c>
      <x:c r="H140" s="64" t="str">
        <x:v>DOC-EVT-688981-00109</x:v>
      </x:c>
      <x:c r="I140" s="51" t="str">
        <x:v>中芯国际关于与大唐控股订立2025年框架协议暨关联（连）交易的公告</x:v>
      </x:c>
      <x:c r="J140" s="87" t="n">
        <x:v>45700</x:v>
      </x:c>
      <x:c r="K140" s="73" t="str">
        <x:v>http://static.cninfo.com.cn/finalpage/2025-02-12/1222514980.pdf</x:v>
      </x:c>
      <x:c r="L140" s="40" t="str">
        <x:v>第1页</x:v>
      </x:c>
      <x:c r="M140"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40" s="41" t="str">
        <x:v>1-弱相关</x:v>
      </x:c>
      <x:c r="O140" s="41" t="str">
        <x:v>否</x:v>
      </x:c>
      <x:c r="P140" s="57" t="str">
        <x:v>框架协议披露与特定关联方持续开展芯片加工服务；虽与产能利用与晶圆毛利主题相近，但未提供产能利用率、新增折旧和毛利率的联动，不足以建立可靠传导链。</x:v>
      </x:c>
      <x:c r="Q140" s="41" t="str">
        <x:v>B-CODEX-FIN-01</x:v>
      </x:c>
      <x:c r="R140" s="80" t="inlineStr">
        <x:is>
          <x:t>2026-08-30T13:30:00+08:00</x:t>
        </x:is>
      </x:c>
    </x:row>
    <x:row r="141" ht="72" customHeight="1">
      <x:c r="A141" s="64" t="str">
        <x:v>V6-R-Q014-C09</x:v>
      </x:c>
      <x:c r="B141" s="64" t="str">
        <x:v>V6-E-688981-C09</x:v>
      </x:c>
      <x:c r="C141" s="64" t="str">
        <x:v>V6-Q014</x:v>
      </x:c>
      <x:c r="D141" s="40" t="str">
        <x:v>中芯国际</x:v>
      </x:c>
      <x:c r="E141" s="64" t="str">
        <x:v>688981</x:v>
      </x:c>
      <x:c r="F141" s="87" t="n">
        <x:v>46260.75</x:v>
      </x:c>
      <x:c r="G141" s="51" t="str">
        <x:v>产能利用率变化能否覆盖新增折旧并改善毛利率</x:v>
      </x:c>
      <x:c r="H141" s="64" t="str">
        <x:v>DOC-EVT-688981-00350</x:v>
      </x:c>
      <x:c r="I141" s="51" t="str">
        <x:v>中芯国际关于股东权益变动的提示性公告</x:v>
      </x:c>
      <x:c r="J141" s="87" t="n">
        <x:v>46198</x:v>
      </x:c>
      <x:c r="K141" s="73" t="str">
        <x:v>http://static.cninfo.com.cn/finalpage/2026-06-25/1225386191.PDF</x:v>
      </x:c>
      <x:c r="L141" s="40" t="str">
        <x:v>第1页</x:v>
      </x:c>
      <x:c r="M141"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41" s="41" t="str">
        <x:v>2-间接相关</x:v>
      </x:c>
      <x:c r="O141" s="41" t="str">
        <x:v>是</x:v>
      </x:c>
      <x:c r="P141" s="57" t="str">
        <x:v>公司以发行股份方式收购中芯北方49%股权并改变资本结构；该事实可通过利用率和收入变化对固定折旧摊薄及毛利率传导，间接验证产能利用率、新增折旧和毛利率的联动，关系清晰且可复核。</x:v>
      </x:c>
      <x:c r="Q141" s="41" t="str">
        <x:v>B-CODEX-FIN-01</x:v>
      </x:c>
      <x:c r="R141" s="80" t="inlineStr">
        <x:is>
          <x:t>2026-08-30T13:30:00+08:00</x:t>
        </x:is>
      </x:c>
    </x:row>
    <x:row r="142" ht="72" customHeight="1">
      <x:c r="A142" s="64" t="str">
        <x:v>V6-R-Q015-C01</x:v>
      </x:c>
      <x:c r="B142" s="64" t="str">
        <x:v>V6-E-688981-C01</x:v>
      </x:c>
      <x:c r="C142" s="64" t="str">
        <x:v>V6-Q015</x:v>
      </x:c>
      <x:c r="D142" s="40" t="str">
        <x:v>中芯国际</x:v>
      </x:c>
      <x:c r="E142" s="64" t="str">
        <x:v>688981</x:v>
      </x:c>
      <x:c r="F142" s="87" t="n">
        <x:v>46260.75</x:v>
      </x:c>
      <x:c r="G142" s="51" t="str">
        <x:v>先进与成熟制程收入结构变化是否提升资本回报效率</x:v>
      </x:c>
      <x:c r="H142" s="64" t="str">
        <x:v>DOC-EVT-688981-00295</x:v>
      </x:c>
      <x:c r="I142" s="51" t="str">
        <x:v>中芯国际2026年度“提质增效重回报”行动方案</x:v>
      </x:c>
      <x:c r="J142" s="87" t="n">
        <x:v>46108</x:v>
      </x:c>
      <x:c r="K142" s="73" t="str">
        <x:v>http://static.cninfo.com.cn/finalpage/2026-03-27/1225037065.PDF</x:v>
      </x:c>
      <x:c r="L142" s="40" t="str">
        <x:v>第1页</x:v>
      </x:c>
      <x:c r="M142"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42" s="41" t="str">
        <x:v>2-间接相关</x:v>
      </x:c>
      <x:c r="O142" s="41" t="str">
        <x:v>是</x:v>
      </x:c>
      <x:c r="P142" s="57" t="str">
        <x:v>行动方案提出产能建设、客户拓展和降本增效；该事实可通过产能或收入结构向资本利用和回报传导，间接验证先进与成熟制程收入结构及资本回报效率，关系清晰且可复核。</x:v>
      </x:c>
      <x:c r="Q142" s="41" t="str">
        <x:v>B-CODEX-FIN-01</x:v>
      </x:c>
      <x:c r="R142" s="80" t="inlineStr">
        <x:is>
          <x:t>2026-08-30T13:30:00+08:00</x:t>
        </x:is>
      </x:c>
    </x:row>
    <x:row r="143" ht="72" customHeight="1">
      <x:c r="A143" s="64" t="str">
        <x:v>V6-R-Q015-C05</x:v>
      </x:c>
      <x:c r="B143" s="64" t="str">
        <x:v>V6-E-688981-C05</x:v>
      </x:c>
      <x:c r="C143" s="64" t="str">
        <x:v>V6-Q015</x:v>
      </x:c>
      <x:c r="D143" s="40" t="str">
        <x:v>中芯国际</x:v>
      </x:c>
      <x:c r="E143" s="64" t="str">
        <x:v>688981</x:v>
      </x:c>
      <x:c r="F143" s="87" t="n">
        <x:v>46260.75</x:v>
      </x:c>
      <x:c r="G143" s="51" t="str">
        <x:v>先进与成熟制程收入结构变化是否提升资本回报效率</x:v>
      </x:c>
      <x:c r="H143" s="64" t="str">
        <x:v>DOC-EVT-688981-00083</x:v>
      </x:c>
      <x:c r="I143" s="51" t="str">
        <x:v>港股公告：董事名单与其角色和职能</x:v>
      </x:c>
      <x:c r="J143" s="87" t="n">
        <x:v>45563</x:v>
      </x:c>
      <x:c r="K143" s="73" t="str">
        <x:v>http://static.cninfo.com.cn/finalpage/2024-09-28/1221312676.PDF</x:v>
      </x:c>
      <x:c r="L143" s="40" t="str">
        <x:v>第1页</x:v>
      </x:c>
      <x:c r="M143"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43" s="41" t="str">
        <x:v>0-无关</x:v>
      </x:c>
      <x:c r="O143" s="41" t="str">
        <x:v>否</x:v>
      </x:c>
      <x:c r="P143" s="57" t="str">
        <x:v>公告仅列示董事及委员会角色；内容与制程结构和资本效率缺少业务传导，未提供先进与成熟制程收入结构及资本回报效率，不能支持当前判断。</x:v>
      </x:c>
      <x:c r="Q143" s="41" t="str">
        <x:v>B-CODEX-FIN-01</x:v>
      </x:c>
      <x:c r="R143" s="80" t="inlineStr">
        <x:is>
          <x:t>2026-08-30T13:30:00+08:00</x:t>
        </x:is>
      </x:c>
    </x:row>
    <x:row r="144" ht="72" customHeight="1">
      <x:c r="A144" s="64" t="str">
        <x:v>V6-R-Q015-C04</x:v>
      </x:c>
      <x:c r="B144" s="64" t="str">
        <x:v>V6-E-688981-C04</x:v>
      </x:c>
      <x:c r="C144" s="64" t="str">
        <x:v>V6-Q015</x:v>
      </x:c>
      <x:c r="D144" s="40" t="str">
        <x:v>中芯国际</x:v>
      </x:c>
      <x:c r="E144" s="64" t="str">
        <x:v>688981</x:v>
      </x:c>
      <x:c r="F144" s="87" t="n">
        <x:v>46260.75</x:v>
      </x:c>
      <x:c r="G144" s="51" t="str">
        <x:v>先进与成熟制程收入结构变化是否提升资本回报效率</x:v>
      </x:c>
      <x:c r="H144" s="64" t="str">
        <x:v>DOC-EVT-688981-00329</x:v>
      </x:c>
      <x:c r="I144" s="51" t="str">
        <x:v>中芯国际关于董事重选的公告</x:v>
      </x:c>
      <x:c r="J144" s="87" t="n">
        <x:v>46157</x:v>
      </x:c>
      <x:c r="K144" s="73" t="str">
        <x:v>http://static.cninfo.com.cn/finalpage/2026-05-15/1225307089.PDF</x:v>
      </x:c>
      <x:c r="L144" s="40" t="str">
        <x:v>第1页</x:v>
      </x:c>
      <x:c r="M144"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44" s="41" t="str">
        <x:v>0-无关</x:v>
      </x:c>
      <x:c r="O144" s="41" t="str">
        <x:v>否</x:v>
      </x:c>
      <x:c r="P144" s="57" t="str">
        <x:v>公告仅涉及董事重选和任期安排；内容与制程结构和资本效率缺少业务传导，未提供先进与成熟制程收入结构及资本回报效率，不能支持当前判断。</x:v>
      </x:c>
      <x:c r="Q144" s="41" t="str">
        <x:v>B-CODEX-FIN-01</x:v>
      </x:c>
      <x:c r="R144" s="80" t="inlineStr">
        <x:is>
          <x:t>2026-08-30T13:30:00+08:00</x:t>
        </x:is>
      </x:c>
    </x:row>
    <x:row r="145" ht="72" customHeight="1">
      <x:c r="A145" s="64" t="str">
        <x:v>V6-R-Q015-C10</x:v>
      </x:c>
      <x:c r="B145" s="64" t="str">
        <x:v>V6-E-688981-C10</x:v>
      </x:c>
      <x:c r="C145" s="64" t="str">
        <x:v>V6-Q015</x:v>
      </x:c>
      <x:c r="D145" s="40" t="str">
        <x:v>中芯国际</x:v>
      </x:c>
      <x:c r="E145" s="64" t="str">
        <x:v>688981</x:v>
      </x:c>
      <x:c r="F145" s="87" t="n">
        <x:v>46260.75</x:v>
      </x:c>
      <x:c r="G145" s="51" t="str">
        <x:v>先进与成熟制程收入结构变化是否提升资本回报效率</x:v>
      </x:c>
      <x:c r="H145" s="64" t="str">
        <x:v>DOC-EVT-688981-00367</x:v>
      </x:c>
      <x:c r="I145" s="51" t="str">
        <x:v>中芯国际2021年科创板限制性股票激励计划预留授予部分第四个归属期符合归属条件的公告</x:v>
      </x:c>
      <x:c r="J145" s="87" t="n">
        <x:v>46225</x:v>
      </x:c>
      <x:c r="K145" s="73" t="str">
        <x:v>http://static.cninfo.com.cn/finalpage/2026-07-22/1225435807.PDF</x:v>
      </x:c>
      <x:c r="L145" s="40" t="str">
        <x:v>第1页</x:v>
      </x:c>
      <x:c r="M145"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45" s="41" t="str">
        <x:v>0-无关</x:v>
      </x:c>
      <x:c r="O145" s="41" t="str">
        <x:v>否</x:v>
      </x:c>
      <x:c r="P145" s="57" t="str">
        <x:v>公告仅披露限制性股票归属数量、价格和激励对象；内容与制程结构和资本效率缺少业务传导，未提供先进与成熟制程收入结构及资本回报效率，不能支持当前判断。</x:v>
      </x:c>
      <x:c r="Q145" s="41" t="str">
        <x:v>B-CODEX-FIN-01</x:v>
      </x:c>
      <x:c r="R145" s="80" t="inlineStr">
        <x:is>
          <x:t>2026-08-30T13:30:00+08:00</x:t>
        </x:is>
      </x:c>
    </x:row>
    <x:row r="146" ht="72" customHeight="1">
      <x:c r="A146" s="64" t="str">
        <x:v>V6-R-Q015-C07</x:v>
      </x:c>
      <x:c r="B146" s="64" t="str">
        <x:v>V6-E-688981-C07</x:v>
      </x:c>
      <x:c r="C146" s="64" t="str">
        <x:v>V6-Q015</x:v>
      </x:c>
      <x:c r="D146" s="40" t="str">
        <x:v>中芯国际</x:v>
      </x:c>
      <x:c r="E146" s="64" t="str">
        <x:v>688981</x:v>
      </x:c>
      <x:c r="F146" s="87" t="n">
        <x:v>46260.75</x:v>
      </x:c>
      <x:c r="G146" s="51" t="str">
        <x:v>先进与成熟制程收入结构变化是否提升资本回报效率</x:v>
      </x:c>
      <x:c r="H146" s="64" t="str">
        <x:v>DOC-EVT-688981-00142</x:v>
      </x:c>
      <x:c r="I146" s="51" t="str">
        <x:v>中芯国际2025年第一季度报告</x:v>
      </x:c>
      <x:c r="J146" s="87" t="n">
        <x:v>45786</x:v>
      </x:c>
      <x:c r="K146" s="73" t="str">
        <x:v>http://static.cninfo.com.cn/finalpage/2025-05-09/1223496514.PDF</x:v>
      </x:c>
      <x:c r="L146" s="40" t="str">
        <x:v>第9页</x:v>
      </x:c>
      <x:c r="M146" s="51" t="str">
        <x:v>中芯国际集成电路制造有限公司2025 年第一季度报告 9 / 16 上述股东关联关系或一致行动的说明 1.大唐控股（香港）投资有限公司为中国信息通信科技集团有限公司的全资子公司。 2.鑫芯（香港）投资有限公司为国家集成电路产业投资基金股份有限公司（以下简称“国家集成电路 基金”）的全资子公司。 3.国家集成电路基金的董事张新、李国华、唐雪峰、杨高峰同时担任国家集成电路产业投资基金二期 股份有限公司（以下简称“国家集成电路基金二期”）的董事；监事秦斌、卢伟同时担任国家集成 电路基金二期的监事；董事范冰同时担任国家集成电路基金二期的监事。 4.华芯投资管理有限责任公司作为基金管理人根据各自的委托管理协议分别对国家集成电路基金、国 家集成电路基金二期进行管理。 5.国家集成电路基金和国家集成电路基金二期有部分相同股东。 6.HKSCC NOMINEES LIMITED 是香港中央结算有限公司的全资子公司。 除此之外，公司不知悉上述其他股东是否存在关联关系或一致行动关系。 前10名股东及前10名无限售股东参与融资融券 及转融通业务情况说明（如有） 无 持股 5%以上股东、前 10 名股东及前 10 名无限售流通股股东参与转融通业务出借股份情况 □适用 √不适用 前 10 名股东及前 10 名无限售流通股股东因转融通出借/归还原因导致较上期发生变化 □适用 √不适用 四、其他提醒事项 需提醒投资者关注的关于公司报告期经营情况的其他重要信息 □适用 √不适用</x:v>
      </x:c>
      <x:c r="N146" s="41" t="str">
        <x:v>1-弱相关</x:v>
      </x:c>
      <x:c r="O146" s="41" t="str">
        <x:v>否</x:v>
      </x:c>
      <x:c r="P146" s="57" t="str">
        <x:v>一季报直接披露产能利用率89.6%、毛利率22.5%及下季指引；虽与制程结构和资本效率主题相近，但未提供先进与成熟制程收入结构及资本回报效率，不足以建立可靠传导链。</x:v>
      </x:c>
      <x:c r="Q146" s="41" t="str">
        <x:v>B-CODEX-FIN-01</x:v>
      </x:c>
      <x:c r="R146" s="80" t="inlineStr">
        <x:is>
          <x:t>2026-08-30T13:30:00+08:00</x:t>
        </x:is>
      </x:c>
    </x:row>
    <x:row r="147" ht="72" customHeight="1">
      <x:c r="A147" s="64" t="str">
        <x:v>V6-R-Q015-C08</x:v>
      </x:c>
      <x:c r="B147" s="64" t="str">
        <x:v>V6-E-688981-C08</x:v>
      </x:c>
      <x:c r="C147" s="64" t="str">
        <x:v>V6-Q015</x:v>
      </x:c>
      <x:c r="D147" s="40" t="str">
        <x:v>中芯国际</x:v>
      </x:c>
      <x:c r="E147" s="64" t="str">
        <x:v>688981</x:v>
      </x:c>
      <x:c r="F147" s="87" t="n">
        <x:v>46260.75</x:v>
      </x:c>
      <x:c r="G147" s="51" t="str">
        <x:v>先进与成熟制程收入结构变化是否提升资本回报效率</x:v>
      </x:c>
      <x:c r="H147" s="64" t="str">
        <x:v>DOC-EVT-688981-00096</x:v>
      </x:c>
      <x:c r="I147" s="51" t="str">
        <x:v>港股公告：中芯国际截至2024年9月30日止三个月未经审核业绩公布</x:v>
      </x:c>
      <x:c r="J147" s="87" t="n">
        <x:v>45604</x:v>
      </x:c>
      <x:c r="K147" s="73" t="str">
        <x:v>http://static.cninfo.com.cn/finalpage/2024-11-08/1221649953.PDF</x:v>
      </x:c>
      <x:c r="L147" s="40" t="str">
        <x:v>第1页</x:v>
      </x:c>
      <x:c r="M147"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47" s="41" t="str">
        <x:v>2-间接相关</x:v>
      </x:c>
      <x:c r="O147" s="41" t="str">
        <x:v>是</x:v>
      </x:c>
      <x:c r="P147" s="57" t="str">
        <x:v>季度业绩披露销售收入、毛利和毛利率的环比同比变化；该事实可通过产能或收入结构向资本利用和回报传导，间接验证先进与成熟制程收入结构及资本回报效率，关系清晰且可复核。</x:v>
      </x:c>
      <x:c r="Q147" s="41" t="str">
        <x:v>B-CODEX-FIN-01</x:v>
      </x:c>
      <x:c r="R147" s="80" t="inlineStr">
        <x:is>
          <x:t>2026-08-30T13:30:00+08:00</x:t>
        </x:is>
      </x:c>
    </x:row>
    <x:row r="148" ht="72" customHeight="1">
      <x:c r="A148" s="64" t="str">
        <x:v>V6-R-Q015-C06</x:v>
      </x:c>
      <x:c r="B148" s="64" t="str">
        <x:v>V6-E-688981-C06</x:v>
      </x:c>
      <x:c r="C148" s="64" t="str">
        <x:v>V6-Q015</x:v>
      </x:c>
      <x:c r="D148" s="40" t="str">
        <x:v>中芯国际</x:v>
      </x:c>
      <x:c r="E148" s="64" t="str">
        <x:v>688981</x:v>
      </x:c>
      <x:c r="F148" s="87" t="n">
        <x:v>46260.75</x:v>
      </x:c>
      <x:c r="G148" s="51" t="str">
        <x:v>先进与成熟制程收入结构变化是否提升资本回报效率</x:v>
      </x:c>
      <x:c r="H148" s="64" t="str">
        <x:v>DOC-EVT-688981-00109</x:v>
      </x:c>
      <x:c r="I148" s="51" t="str">
        <x:v>中芯国际关于与大唐控股订立2025年框架协议暨关联（连）交易的公告</x:v>
      </x:c>
      <x:c r="J148" s="87" t="n">
        <x:v>45700</x:v>
      </x:c>
      <x:c r="K148" s="73" t="str">
        <x:v>http://static.cninfo.com.cn/finalpage/2025-02-12/1222514980.pdf</x:v>
      </x:c>
      <x:c r="L148" s="40" t="str">
        <x:v>第1页</x:v>
      </x:c>
      <x:c r="M148"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48" s="41" t="str">
        <x:v>1-弱相关</x:v>
      </x:c>
      <x:c r="O148" s="41" t="str">
        <x:v>否</x:v>
      </x:c>
      <x:c r="P148" s="57" t="str">
        <x:v>框架协议披露与特定关联方持续开展芯片加工服务；虽与制程结构和资本效率主题相近，但未提供先进与成熟制程收入结构及资本回报效率，不足以建立可靠传导链。</x:v>
      </x:c>
      <x:c r="Q148" s="41" t="str">
        <x:v>B-CODEX-FIN-01</x:v>
      </x:c>
      <x:c r="R148" s="80" t="inlineStr">
        <x:is>
          <x:t>2026-08-30T13:30:00+08:00</x:t>
        </x:is>
      </x:c>
    </x:row>
    <x:row r="149" ht="72" customHeight="1">
      <x:c r="A149" s="64" t="str">
        <x:v>V6-R-Q015-C03</x:v>
      </x:c>
      <x:c r="B149" s="64" t="str">
        <x:v>V6-E-688981-C03</x:v>
      </x:c>
      <x:c r="C149" s="64" t="str">
        <x:v>V6-Q015</x:v>
      </x:c>
      <x:c r="D149" s="40" t="str">
        <x:v>中芯国际</x:v>
      </x:c>
      <x:c r="E149" s="64" t="str">
        <x:v>688981</x:v>
      </x:c>
      <x:c r="F149" s="87" t="n">
        <x:v>46260.75</x:v>
      </x:c>
      <x:c r="G149" s="51" t="str">
        <x:v>先进与成熟制程收入结构变化是否提升资本回报效率</x:v>
      </x:c>
      <x:c r="H149" s="64" t="str">
        <x:v>DOC-EVT-688981-00167</x:v>
      </x:c>
      <x:c r="I149" s="51" t="str">
        <x:v>中芯国际2025年半年度报告</x:v>
      </x:c>
      <x:c r="J149" s="87" t="n">
        <x:v>45898</x:v>
      </x:c>
      <x:c r="K149" s="73" t="str">
        <x:v>http://static.cninfo.com.cn/finalpage/2025-08-29/1224608545.PDF</x:v>
      </x:c>
      <x:c r="L149" s="40" t="str">
        <x:v>第15页</x:v>
      </x:c>
      <x:c r="M149" s="51" t="str">
        <x:v>中芯国际集成电路制造有限公司2025 年半年度报告 15 / 153 (三)核心技术与研发进展 1. 核心技术及其先进性以及报告期内的变化情况 中芯国际拥有全方位一体化的集成电路晶圆代工核心技术体系，快速有效地帮助客户实现新 产品的导入验证到稳定量产。中芯国际成功开发了 8 英寸和 12 英寸的多种技术平台，为客户提供 “一站式”晶圆代工和技术服务。 2025 年上半年，多个平台项目开发按计划进行，详情请参阅下述在研项目情况。 国家科学技术奖项获奖情况 □适用 √不适用 国家级专精特新“小巨人”企业、制造业“单项冠军”认定情况 □适用 √不适用 2. 报告期内获得的研发成果 报告期内获得的知识产权列表： 本期新增 累计数量 申请数（个） 获得数（个） 申请数（个） 获得数（个） 发明专利 98 230 18,314 12,342 实用新型专利 5 21 1,897 1,873 布图设计权 - - 94 94 合计 103 251 20,305 14,309 3. 研发投入情况表 单位：千元 币种：人民币 本期数 上年同期数 变化幅度（%） 费用化研发投入 2,374,969 2,620,859 -9.4 资本化研发投入 - - - 研发投入合计 2,374,969 2,620,859 -9.4 研发投入总额占营业收入比例（%） 7.3 10.0 减少2.7个百分点 研发投入资本化的比重（%） - - 研发投入总额较上年发生重大变化的原因 □适用 √不适用 研发投入资本化的比…</x:v>
      </x:c>
      <x:c r="N149" s="41" t="str">
        <x:v>2-间接相关</x:v>
      </x:c>
      <x:c r="O149" s="41" t="str">
        <x:v>是</x:v>
      </x:c>
      <x:c r="P149" s="57" t="str">
        <x:v>半年报提示产能扩张带来高资本开支、高折旧及收入毛利波动风险；该事实可通过产能或收入结构向资本利用和回报传导，间接验证先进与成熟制程收入结构及资本回报效率，关系清晰且可复核。</x:v>
      </x:c>
      <x:c r="Q149" s="41" t="str">
        <x:v>B-CODEX-FIN-01</x:v>
      </x:c>
      <x:c r="R149" s="80" t="inlineStr">
        <x:is>
          <x:t>2026-08-30T13:30:00+08:00</x:t>
        </x:is>
      </x:c>
    </x:row>
    <x:row r="150" ht="72" customHeight="1">
      <x:c r="A150" s="64" t="str">
        <x:v>V6-R-Q015-C02</x:v>
      </x:c>
      <x:c r="B150" s="64" t="str">
        <x:v>V6-E-688981-C02</x:v>
      </x:c>
      <x:c r="C150" s="64" t="str">
        <x:v>V6-Q015</x:v>
      </x:c>
      <x:c r="D150" s="40" t="str">
        <x:v>中芯国际</x:v>
      </x:c>
      <x:c r="E150" s="64" t="str">
        <x:v>688981</x:v>
      </x:c>
      <x:c r="F150" s="87" t="n">
        <x:v>46260.75</x:v>
      </x:c>
      <x:c r="G150" s="51" t="str">
        <x:v>先进与成熟制程收入结构变化是否提升资本回报效率</x:v>
      </x:c>
      <x:c r="H150" s="64" t="str">
        <x:v>DOC-EVT-688981-00287</x:v>
      </x:c>
      <x:c r="I150" s="51" t="str">
        <x:v>中芯国际2025年度非经营性资金占用及其他关联资金往来情况的专项说明</x:v>
      </x:c>
      <x:c r="J150" s="87" t="n">
        <x:v>46108</x:v>
      </x:c>
      <x:c r="K150" s="73" t="str">
        <x:v>http://static.cninfo.com.cn/finalpage/2026-03-27/1225037051.PDF</x:v>
      </x:c>
      <x:c r="L150" s="40" t="str">
        <x:v>第2页</x:v>
      </x:c>
      <x:c r="M150"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50" s="41" t="str">
        <x:v>0-无关</x:v>
      </x:c>
      <x:c r="O150" s="41" t="str">
        <x:v>否</x:v>
      </x:c>
      <x:c r="P150" s="57" t="str">
        <x:v>专项说明核对非经营性资金占用和关联往来数据；内容与制程结构和资本效率缺少业务传导，未提供先进与成熟制程收入结构及资本回报效率，不能支持当前判断。</x:v>
      </x:c>
      <x:c r="Q150" s="41" t="str">
        <x:v>B-CODEX-FIN-01</x:v>
      </x:c>
      <x:c r="R150" s="80" t="inlineStr">
        <x:is>
          <x:t>2026-08-30T13:30:00+08:00</x:t>
        </x:is>
      </x:c>
    </x:row>
    <x:row r="151" ht="72" customHeight="1">
      <x:c r="A151" s="64" t="str">
        <x:v>V6-R-Q015-C09</x:v>
      </x:c>
      <x:c r="B151" s="64" t="str">
        <x:v>V6-E-688981-C09</x:v>
      </x:c>
      <x:c r="C151" s="64" t="str">
        <x:v>V6-Q015</x:v>
      </x:c>
      <x:c r="D151" s="40" t="str">
        <x:v>中芯国际</x:v>
      </x:c>
      <x:c r="E151" s="64" t="str">
        <x:v>688981</x:v>
      </x:c>
      <x:c r="F151" s="87" t="n">
        <x:v>46260.75</x:v>
      </x:c>
      <x:c r="G151" s="51" t="str">
        <x:v>先进与成熟制程收入结构变化是否提升资本回报效率</x:v>
      </x:c>
      <x:c r="H151" s="64" t="str">
        <x:v>DOC-EVT-688981-00350</x:v>
      </x:c>
      <x:c r="I151" s="51" t="str">
        <x:v>中芯国际关于股东权益变动的提示性公告</x:v>
      </x:c>
      <x:c r="J151" s="87" t="n">
        <x:v>46198</x:v>
      </x:c>
      <x:c r="K151" s="73" t="str">
        <x:v>http://static.cninfo.com.cn/finalpage/2026-06-25/1225386191.PDF</x:v>
      </x:c>
      <x:c r="L151" s="40" t="str">
        <x:v>第1页</x:v>
      </x:c>
      <x:c r="M151"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51" s="41" t="str">
        <x:v>2-间接相关</x:v>
      </x:c>
      <x:c r="O151" s="41" t="str">
        <x:v>是</x:v>
      </x:c>
      <x:c r="P151" s="57" t="str">
        <x:v>公司以发行股份方式收购中芯北方49%股权并改变资本结构；该事实可通过产能或收入结构向资本利用和回报传导，间接验证先进与成熟制程收入结构及资本回报效率，关系清晰且可复核。</x:v>
      </x:c>
      <x:c r="Q151" s="41" t="str">
        <x:v>B-CODEX-FIN-01</x:v>
      </x:c>
      <x:c r="R151" s="80" t="inlineStr">
        <x:is>
          <x:t>2026-08-30T13:30:00+08:00</x:t>
        </x:is>
      </x:c>
    </x:row>
    <x:row r="152" ht="72" customHeight="1">
      <x:c r="A152" s="64" t="str">
        <x:v>V6-R-Q016-C09</x:v>
      </x:c>
      <x:c r="B152" s="64" t="str">
        <x:v>V6-E-688981-C09</x:v>
      </x:c>
      <x:c r="C152" s="64" t="str">
        <x:v>V6-Q016</x:v>
      </x:c>
      <x:c r="D152" s="40" t="str">
        <x:v>中芯国际</x:v>
      </x:c>
      <x:c r="E152" s="64" t="str">
        <x:v>688981</x:v>
      </x:c>
      <x:c r="F152" s="87" t="n">
        <x:v>46260.75</x:v>
      </x:c>
      <x:c r="G152" s="51" t="str">
        <x:v>客户与应用领域集中度是否放大晶圆需求波动风险</x:v>
      </x:c>
      <x:c r="H152" s="64" t="str">
        <x:v>DOC-EVT-688981-00350</x:v>
      </x:c>
      <x:c r="I152" s="51" t="str">
        <x:v>中芯国际关于股东权益变动的提示性公告</x:v>
      </x:c>
      <x:c r="J152" s="87" t="n">
        <x:v>46198</x:v>
      </x:c>
      <x:c r="K152" s="73" t="str">
        <x:v>http://static.cninfo.com.cn/finalpage/2026-06-25/1225386191.PDF</x:v>
      </x:c>
      <x:c r="L152" s="40" t="str">
        <x:v>第1页</x:v>
      </x:c>
      <x:c r="M152"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52" s="41" t="str">
        <x:v>0-无关</x:v>
      </x:c>
      <x:c r="O152" s="41" t="str">
        <x:v>否</x:v>
      </x:c>
      <x:c r="P152" s="57" t="str">
        <x:v>公司以发行股份方式收购中芯北方49%股权并改变资本结构；内容与客户需求和集中风险缺少业务传导，未提供客户及应用领域集中度与晶圆需求波动，不能支持当前判断。</x:v>
      </x:c>
      <x:c r="Q152" s="41" t="str">
        <x:v>B-CODEX-FIN-01</x:v>
      </x:c>
      <x:c r="R152" s="80" t="inlineStr">
        <x:is>
          <x:t>2026-08-30T13:30:00+08:00</x:t>
        </x:is>
      </x:c>
    </x:row>
    <x:row r="153" ht="72" customHeight="1">
      <x:c r="A153" s="64" t="str">
        <x:v>V6-R-Q016-C03</x:v>
      </x:c>
      <x:c r="B153" s="64" t="str">
        <x:v>V6-E-688981-C03</x:v>
      </x:c>
      <x:c r="C153" s="64" t="str">
        <x:v>V6-Q016</x:v>
      </x:c>
      <x:c r="D153" s="40" t="str">
        <x:v>中芯国际</x:v>
      </x:c>
      <x:c r="E153" s="64" t="str">
        <x:v>688981</x:v>
      </x:c>
      <x:c r="F153" s="87" t="n">
        <x:v>46260.75</x:v>
      </x:c>
      <x:c r="G153" s="51" t="str">
        <x:v>客户与应用领域集中度是否放大晶圆需求波动风险</x:v>
      </x:c>
      <x:c r="H153" s="64" t="str">
        <x:v>DOC-EVT-688981-00167</x:v>
      </x:c>
      <x:c r="I153" s="51" t="str">
        <x:v>中芯国际2025年半年度报告</x:v>
      </x:c>
      <x:c r="J153" s="87" t="n">
        <x:v>45898</x:v>
      </x:c>
      <x:c r="K153" s="73" t="str">
        <x:v>http://static.cninfo.com.cn/finalpage/2025-08-29/1224608545.PDF</x:v>
      </x:c>
      <x:c r="L153" s="40" t="str">
        <x:v>第20页</x:v>
      </x:c>
      <x:c r="M153" s="51" t="str">
        <x:v>中芯国际集成电路制造有限公司2025 年半年度报告 20 / 153 (四)行业风险 1. 产业政策变化风险 集成电路产业作为信息产业的基础和核心，是国民经济和社会发展的战略性产业。国家陆续 出台了包括《国务院关于印发进一步鼓励软件产业和集成电路产业发展若干政策的通知》（国发 [2011]4 号）、《国务院关于印发新时期促进集成电路产业和软件产业高质量发展若干政策的通 知》（国发[2020]8 号）在内的一系列政策，从财税、投融资、研究开发、进出口、人才、知识 产权、市场应用、国际合作等方面为集成电路企业提供了更多的支持。未来如果国家相关产业政 策出现重大不利变化，将对公司发展产生一定不利影响。 2. 行业竞争风险 从全球范围来看，晶圆代工市场竞争激烈，公司与全球行业龙头相比技术差距较大，目前市 场占有率不高。 随着各类新应用领域的不断涌现，芯片产业发展的热点领域在不断丰富，广阔的市场前景及 较为有利的产业政策吸引了诸多境内外集成电路相关企业布局集成电路晶圆代工行业，可能将导 致市场竞争进一步加剧，或将呈现产能结构性供过于求的局面。 未来，如果公司无法及时开发和引进符合市场和客户需求的制造工艺技术和平台，或者无法 及时扩充产能等，将削弱公司的竞争优势，并对公司的经营业绩产生不利影响。 (五)宏观环境风险 1. 宏观经济波动和行业周期性风险 受到全球宏观经济的波动、行业景气度等因素影响，集成电路行业存在一定的周期性。如果 宏观经济波动较大或长期处于低谷，集成电路行业的市场需求…</x:v>
      </x:c>
      <x:c r="N153" s="41" t="str">
        <x:v>2-间接相关</x:v>
      </x:c>
      <x:c r="O153" s="41" t="str">
        <x:v>是</x:v>
      </x:c>
      <x:c r="P153" s="57" t="str">
        <x:v>半年报提示产能扩张带来高资本开支、高折旧及收入毛利波动风险；该事实可通过客户需求或绑定关系向订单波动风险传导，间接验证客户及应用领域集中度与晶圆需求波动，关系清晰且可复核。</x:v>
      </x:c>
      <x:c r="Q153" s="41" t="str">
        <x:v>B-CODEX-FIN-01</x:v>
      </x:c>
      <x:c r="R153" s="80" t="inlineStr">
        <x:is>
          <x:t>2026-08-30T13:30:00+08:00</x:t>
        </x:is>
      </x:c>
    </x:row>
    <x:row r="154" ht="72" customHeight="1">
      <x:c r="A154" s="64" t="str">
        <x:v>V6-R-Q016-C07</x:v>
      </x:c>
      <x:c r="B154" s="64" t="str">
        <x:v>V6-E-688981-C07</x:v>
      </x:c>
      <x:c r="C154" s="64" t="str">
        <x:v>V6-Q016</x:v>
      </x:c>
      <x:c r="D154" s="40" t="str">
        <x:v>中芯国际</x:v>
      </x:c>
      <x:c r="E154" s="64" t="str">
        <x:v>688981</x:v>
      </x:c>
      <x:c r="F154" s="87" t="n">
        <x:v>46260.75</x:v>
      </x:c>
      <x:c r="G154" s="51" t="str">
        <x:v>客户与应用领域集中度是否放大晶圆需求波动风险</x:v>
      </x:c>
      <x:c r="H154" s="64" t="str">
        <x:v>DOC-EVT-688981-00142</x:v>
      </x:c>
      <x:c r="I154" s="51" t="str">
        <x:v>中芯国际2025年第一季度报告</x:v>
      </x:c>
      <x:c r="J154" s="87" t="n">
        <x:v>45786</x:v>
      </x:c>
      <x:c r="K154" s="73" t="str">
        <x:v>http://static.cninfo.com.cn/finalpage/2025-05-09/1223496514.PDF</x:v>
      </x:c>
      <x:c r="L154" s="40" t="str">
        <x:v>第1页</x:v>
      </x:c>
      <x:c r="M154" s="51" t="str">
        <x:v>中芯国际集成电路制造有限公司 2025 年第一季度报告 1 / 16 证券代码：688981 证券简称：中芯国际 中芯国际集成电路制造有限公司 2025 年第一季度报告 本公司董事会及全体董事保证本公告内容不存在任何虚假记载、误导性陈述或者重大 遗漏，并对其内容的真实性、准确性和完整性依法承担法律责任。 重要内容提示 公司董事会、董事和高级管理人员保证季度报告内容的真实、准确、完整，不存在虚假记载、误 导性陈述或重大遗漏，并承担个别和连带的法律责任。 公司负责人、主管会计工作负责人及会计机构负责人（会计主管人员）保证季度报告中财务信息 的真实、准确、完整。 第一季度财务报表是否经审计 □是 √否 除非另有说明，本报告财务数据按中国企业会计准则编制并呈列。 前瞻性陈述的风险声明 本报告可能载有（除历史数据外）前瞻性陈述。该等前瞻性陈述乃根据中芯国际对未来事件 或绩效的现行假设、期望、信念、计划、目标及预测而作出。中芯国际使用包括（但不限于)“相 信”、“预期”、“打算”、“估计”、“预计”、“预测”、“指标”、“展望”、“继续”、 “应该”、“或许”、“寻求”、“应当”、“计划”、“可能”、“愿景”、“目标”、“旨 在”、“渴望”、“目的”、“预定”、“前景”和其他类似的表述，以识别前瞻性陈述。该等 前瞻性陈述乃反映中芯国际高级管理层根据最佳判断作出的估计，存在重大已知及未知的风险、 不确定性以及其他可能导致中芯国际实际业绩、财务状况或经营结果与前瞻性陈述所载数据有重 大差异…</x:v>
      </x:c>
      <x:c r="N154" s="41" t="str">
        <x:v>1-弱相关</x:v>
      </x:c>
      <x:c r="O154" s="41" t="str">
        <x:v>否</x:v>
      </x:c>
      <x:c r="P154" s="57" t="str">
        <x:v>一季报直接披露产能利用率89.6%、毛利率22.5%及下季指引；虽与客户需求和集中风险主题相近，但未提供客户及应用领域集中度与晶圆需求波动，不足以建立可靠传导链。</x:v>
      </x:c>
      <x:c r="Q154" s="41" t="str">
        <x:v>B-CODEX-FIN-01</x:v>
      </x:c>
      <x:c r="R154" s="80" t="inlineStr">
        <x:is>
          <x:t>2026-08-30T13:30:00+08:00</x:t>
        </x:is>
      </x:c>
    </x:row>
    <x:row r="155" ht="72" customHeight="1">
      <x:c r="A155" s="64" t="str">
        <x:v>V6-R-Q016-C05</x:v>
      </x:c>
      <x:c r="B155" s="64" t="str">
        <x:v>V6-E-688981-C05</x:v>
      </x:c>
      <x:c r="C155" s="64" t="str">
        <x:v>V6-Q016</x:v>
      </x:c>
      <x:c r="D155" s="40" t="str">
        <x:v>中芯国际</x:v>
      </x:c>
      <x:c r="E155" s="64" t="str">
        <x:v>688981</x:v>
      </x:c>
      <x:c r="F155" s="87" t="n">
        <x:v>46260.75</x:v>
      </x:c>
      <x:c r="G155" s="51" t="str">
        <x:v>客户与应用领域集中度是否放大晶圆需求波动风险</x:v>
      </x:c>
      <x:c r="H155" s="64" t="str">
        <x:v>DOC-EVT-688981-00083</x:v>
      </x:c>
      <x:c r="I155" s="51" t="str">
        <x:v>港股公告：董事名单与其角色和职能</x:v>
      </x:c>
      <x:c r="J155" s="87" t="n">
        <x:v>45563</x:v>
      </x:c>
      <x:c r="K155" s="73" t="str">
        <x:v>http://static.cninfo.com.cn/finalpage/2024-09-28/1221312676.PDF</x:v>
      </x:c>
      <x:c r="L155" s="40" t="str">
        <x:v>第1页</x:v>
      </x:c>
      <x:c r="M155"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55" s="41" t="str">
        <x:v>0-无关</x:v>
      </x:c>
      <x:c r="O155" s="41" t="str">
        <x:v>否</x:v>
      </x:c>
      <x:c r="P155" s="57" t="str">
        <x:v>公告仅列示董事及委员会角色；内容与客户需求和集中风险缺少业务传导，未提供客户及应用领域集中度与晶圆需求波动，不能支持当前判断。</x:v>
      </x:c>
      <x:c r="Q155" s="41" t="str">
        <x:v>B-CODEX-FIN-01</x:v>
      </x:c>
      <x:c r="R155" s="80" t="inlineStr">
        <x:is>
          <x:t>2026-08-30T13:30:00+08:00</x:t>
        </x:is>
      </x:c>
    </x:row>
    <x:row r="156" ht="72" customHeight="1">
      <x:c r="A156" s="64" t="str">
        <x:v>V6-R-Q016-C10</x:v>
      </x:c>
      <x:c r="B156" s="64" t="str">
        <x:v>V6-E-688981-C10</x:v>
      </x:c>
      <x:c r="C156" s="64" t="str">
        <x:v>V6-Q016</x:v>
      </x:c>
      <x:c r="D156" s="40" t="str">
        <x:v>中芯国际</x:v>
      </x:c>
      <x:c r="E156" s="64" t="str">
        <x:v>688981</x:v>
      </x:c>
      <x:c r="F156" s="87" t="n">
        <x:v>46260.75</x:v>
      </x:c>
      <x:c r="G156" s="51" t="str">
        <x:v>客户与应用领域集中度是否放大晶圆需求波动风险</x:v>
      </x:c>
      <x:c r="H156" s="64" t="str">
        <x:v>DOC-EVT-688981-00367</x:v>
      </x:c>
      <x:c r="I156" s="51" t="str">
        <x:v>中芯国际2021年科创板限制性股票激励计划预留授予部分第四个归属期符合归属条件的公告</x:v>
      </x:c>
      <x:c r="J156" s="87" t="n">
        <x:v>46225</x:v>
      </x:c>
      <x:c r="K156" s="73" t="str">
        <x:v>http://static.cninfo.com.cn/finalpage/2026-07-22/1225435807.PDF</x:v>
      </x:c>
      <x:c r="L156" s="40" t="str">
        <x:v>第1页</x:v>
      </x:c>
      <x:c r="M156"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56" s="41" t="str">
        <x:v>0-无关</x:v>
      </x:c>
      <x:c r="O156" s="41" t="str">
        <x:v>否</x:v>
      </x:c>
      <x:c r="P156" s="57" t="str">
        <x:v>公告仅披露限制性股票归属数量、价格和激励对象；内容与客户需求和集中风险缺少业务传导，未提供客户及应用领域集中度与晶圆需求波动，不能支持当前判断。</x:v>
      </x:c>
      <x:c r="Q156" s="41" t="str">
        <x:v>B-CODEX-FIN-01</x:v>
      </x:c>
      <x:c r="R156" s="80" t="inlineStr">
        <x:is>
          <x:t>2026-08-30T13:30:00+08:00</x:t>
        </x:is>
      </x:c>
    </x:row>
    <x:row r="157" ht="72" customHeight="1">
      <x:c r="A157" s="64" t="str">
        <x:v>V6-R-Q016-C04</x:v>
      </x:c>
      <x:c r="B157" s="64" t="str">
        <x:v>V6-E-688981-C04</x:v>
      </x:c>
      <x:c r="C157" s="64" t="str">
        <x:v>V6-Q016</x:v>
      </x:c>
      <x:c r="D157" s="40" t="str">
        <x:v>中芯国际</x:v>
      </x:c>
      <x:c r="E157" s="64" t="str">
        <x:v>688981</x:v>
      </x:c>
      <x:c r="F157" s="87" t="n">
        <x:v>46260.75</x:v>
      </x:c>
      <x:c r="G157" s="51" t="str">
        <x:v>客户与应用领域集中度是否放大晶圆需求波动风险</x:v>
      </x:c>
      <x:c r="H157" s="64" t="str">
        <x:v>DOC-EVT-688981-00329</x:v>
      </x:c>
      <x:c r="I157" s="51" t="str">
        <x:v>中芯国际关于董事重选的公告</x:v>
      </x:c>
      <x:c r="J157" s="87" t="n">
        <x:v>46157</x:v>
      </x:c>
      <x:c r="K157" s="73" t="str">
        <x:v>http://static.cninfo.com.cn/finalpage/2026-05-15/1225307089.PDF</x:v>
      </x:c>
      <x:c r="L157" s="40" t="str">
        <x:v>第1页</x:v>
      </x:c>
      <x:c r="M157"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57" s="41" t="str">
        <x:v>0-无关</x:v>
      </x:c>
      <x:c r="O157" s="41" t="str">
        <x:v>否</x:v>
      </x:c>
      <x:c r="P157" s="57" t="str">
        <x:v>公告仅涉及董事重选和任期安排；内容与客户需求和集中风险缺少业务传导，未提供客户及应用领域集中度与晶圆需求波动，不能支持当前判断。</x:v>
      </x:c>
      <x:c r="Q157" s="41" t="str">
        <x:v>B-CODEX-FIN-01</x:v>
      </x:c>
      <x:c r="R157" s="80" t="inlineStr">
        <x:is>
          <x:t>2026-08-30T13:30:00+08:00</x:t>
        </x:is>
      </x:c>
    </x:row>
    <x:row r="158" ht="72" customHeight="1">
      <x:c r="A158" s="64" t="str">
        <x:v>V6-R-Q016-C01</x:v>
      </x:c>
      <x:c r="B158" s="64" t="str">
        <x:v>V6-E-688981-C01</x:v>
      </x:c>
      <x:c r="C158" s="64" t="str">
        <x:v>V6-Q016</x:v>
      </x:c>
      <x:c r="D158" s="40" t="str">
        <x:v>中芯国际</x:v>
      </x:c>
      <x:c r="E158" s="64" t="str">
        <x:v>688981</x:v>
      </x:c>
      <x:c r="F158" s="87" t="n">
        <x:v>46260.75</x:v>
      </x:c>
      <x:c r="G158" s="51" t="str">
        <x:v>客户与应用领域集中度是否放大晶圆需求波动风险</x:v>
      </x:c>
      <x:c r="H158" s="64" t="str">
        <x:v>DOC-EVT-688981-00295</x:v>
      </x:c>
      <x:c r="I158" s="51" t="str">
        <x:v>中芯国际2026年度“提质增效重回报”行动方案</x:v>
      </x:c>
      <x:c r="J158" s="87" t="n">
        <x:v>46108</x:v>
      </x:c>
      <x:c r="K158" s="73" t="str">
        <x:v>http://static.cninfo.com.cn/finalpage/2026-03-27/1225037065.PDF</x:v>
      </x:c>
      <x:c r="L158" s="40" t="str">
        <x:v>第1页</x:v>
      </x:c>
      <x:c r="M158"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58" s="41" t="str">
        <x:v>2-间接相关</x:v>
      </x:c>
      <x:c r="O158" s="41" t="str">
        <x:v>是</x:v>
      </x:c>
      <x:c r="P158" s="57" t="str">
        <x:v>行动方案提出产能建设、客户拓展和降本增效；该事实可通过客户需求或绑定关系向订单波动风险传导，间接验证客户及应用领域集中度与晶圆需求波动，关系清晰且可复核。</x:v>
      </x:c>
      <x:c r="Q158" s="41" t="str">
        <x:v>B-CODEX-FIN-01</x:v>
      </x:c>
      <x:c r="R158" s="80" t="inlineStr">
        <x:is>
          <x:t>2026-08-30T13:30:00+08:00</x:t>
        </x:is>
      </x:c>
    </x:row>
    <x:row r="159" ht="72" customHeight="1">
      <x:c r="A159" s="64" t="str">
        <x:v>V6-R-Q016-C06</x:v>
      </x:c>
      <x:c r="B159" s="64" t="str">
        <x:v>V6-E-688981-C06</x:v>
      </x:c>
      <x:c r="C159" s="64" t="str">
        <x:v>V6-Q016</x:v>
      </x:c>
      <x:c r="D159" s="40" t="str">
        <x:v>中芯国际</x:v>
      </x:c>
      <x:c r="E159" s="64" t="str">
        <x:v>688981</x:v>
      </x:c>
      <x:c r="F159" s="87" t="n">
        <x:v>46260.75</x:v>
      </x:c>
      <x:c r="G159" s="51" t="str">
        <x:v>客户与应用领域集中度是否放大晶圆需求波动风险</x:v>
      </x:c>
      <x:c r="H159" s="64" t="str">
        <x:v>DOC-EVT-688981-00109</x:v>
      </x:c>
      <x:c r="I159" s="51" t="str">
        <x:v>中芯国际关于与大唐控股订立2025年框架协议暨关联（连）交易的公告</x:v>
      </x:c>
      <x:c r="J159" s="87" t="n">
        <x:v>45700</x:v>
      </x:c>
      <x:c r="K159" s="73" t="str">
        <x:v>http://static.cninfo.com.cn/finalpage/2025-02-12/1222514980.pdf</x:v>
      </x:c>
      <x:c r="L159" s="40" t="str">
        <x:v>第1页</x:v>
      </x:c>
      <x:c r="M159"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59" s="41" t="str">
        <x:v>2-间接相关</x:v>
      </x:c>
      <x:c r="O159" s="41" t="str">
        <x:v>是</x:v>
      </x:c>
      <x:c r="P159" s="57" t="str">
        <x:v>框架协议披露与特定关联方持续开展芯片加工服务；该事实可通过客户需求或绑定关系向订单波动风险传导，间接验证客户及应用领域集中度与晶圆需求波动，关系清晰且可复核。</x:v>
      </x:c>
      <x:c r="Q159" s="41" t="str">
        <x:v>B-CODEX-FIN-01</x:v>
      </x:c>
      <x:c r="R159" s="80" t="inlineStr">
        <x:is>
          <x:t>2026-08-30T13:30:00+08:00</x:t>
        </x:is>
      </x:c>
    </x:row>
    <x:row r="160" ht="72" customHeight="1">
      <x:c r="A160" s="64" t="str">
        <x:v>V6-R-Q016-C08</x:v>
      </x:c>
      <x:c r="B160" s="64" t="str">
        <x:v>V6-E-688981-C08</x:v>
      </x:c>
      <x:c r="C160" s="64" t="str">
        <x:v>V6-Q016</x:v>
      </x:c>
      <x:c r="D160" s="40" t="str">
        <x:v>中芯国际</x:v>
      </x:c>
      <x:c r="E160" s="64" t="str">
        <x:v>688981</x:v>
      </x:c>
      <x:c r="F160" s="87" t="n">
        <x:v>46260.75</x:v>
      </x:c>
      <x:c r="G160" s="51" t="str">
        <x:v>客户与应用领域集中度是否放大晶圆需求波动风险</x:v>
      </x:c>
      <x:c r="H160" s="64" t="str">
        <x:v>DOC-EVT-688981-00096</x:v>
      </x:c>
      <x:c r="I160" s="51" t="str">
        <x:v>港股公告：中芯国际截至2024年9月30日止三个月未经审核业绩公布</x:v>
      </x:c>
      <x:c r="J160" s="87" t="n">
        <x:v>45604</x:v>
      </x:c>
      <x:c r="K160" s="73" t="str">
        <x:v>http://static.cninfo.com.cn/finalpage/2024-11-08/1221649953.PDF</x:v>
      </x:c>
      <x:c r="L160" s="40" t="str">
        <x:v>第1页</x:v>
      </x:c>
      <x:c r="M160"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60" s="41" t="str">
        <x:v>1-弱相关</x:v>
      </x:c>
      <x:c r="O160" s="41" t="str">
        <x:v>否</x:v>
      </x:c>
      <x:c r="P160" s="57" t="str">
        <x:v>季度业绩披露销售收入、毛利和毛利率的环比同比变化；虽与客户需求和集中风险主题相近，但未提供客户及应用领域集中度与晶圆需求波动，不足以建立可靠传导链。</x:v>
      </x:c>
      <x:c r="Q160" s="41" t="str">
        <x:v>B-CODEX-FIN-01</x:v>
      </x:c>
      <x:c r="R160" s="80" t="inlineStr">
        <x:is>
          <x:t>2026-08-30T13:30:00+08:00</x:t>
        </x:is>
      </x:c>
    </x:row>
    <x:row r="161" ht="72" customHeight="1">
      <x:c r="A161" s="64" t="str">
        <x:v>V6-R-Q016-C02</x:v>
      </x:c>
      <x:c r="B161" s="64" t="str">
        <x:v>V6-E-688981-C02</x:v>
      </x:c>
      <x:c r="C161" s="64" t="str">
        <x:v>V6-Q016</x:v>
      </x:c>
      <x:c r="D161" s="40" t="str">
        <x:v>中芯国际</x:v>
      </x:c>
      <x:c r="E161" s="64" t="str">
        <x:v>688981</x:v>
      </x:c>
      <x:c r="F161" s="87" t="n">
        <x:v>46260.75</x:v>
      </x:c>
      <x:c r="G161" s="51" t="str">
        <x:v>客户与应用领域集中度是否放大晶圆需求波动风险</x:v>
      </x:c>
      <x:c r="H161" s="64" t="str">
        <x:v>DOC-EVT-688981-00287</x:v>
      </x:c>
      <x:c r="I161" s="51" t="str">
        <x:v>中芯国际2025年度非经营性资金占用及其他关联资金往来情况的专项说明</x:v>
      </x:c>
      <x:c r="J161" s="87" t="n">
        <x:v>46108</x:v>
      </x:c>
      <x:c r="K161" s="73" t="str">
        <x:v>http://static.cninfo.com.cn/finalpage/2026-03-27/1225037051.PDF</x:v>
      </x:c>
      <x:c r="L161" s="40" t="str">
        <x:v>第2页</x:v>
      </x:c>
      <x:c r="M161"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61" s="41" t="str">
        <x:v>0-无关</x:v>
      </x:c>
      <x:c r="O161" s="41" t="str">
        <x:v>否</x:v>
      </x:c>
      <x:c r="P161" s="57" t="str">
        <x:v>专项说明核对非经营性资金占用和关联往来数据；内容与客户需求和集中风险缺少业务传导，未提供客户及应用领域集中度与晶圆需求波动，不能支持当前判断。</x:v>
      </x:c>
      <x:c r="Q161" s="41" t="str">
        <x:v>B-CODEX-FIN-01</x:v>
      </x:c>
      <x:c r="R161" s="80" t="inlineStr">
        <x:is>
          <x:t>2026-08-30T13:30:00+08:00</x:t>
        </x:is>
      </x:c>
    </x:row>
    <x:row r="162" ht="72" customHeight="1">
      <x:c r="A162" s="64" t="str">
        <x:v>V6-R-Q017-C03</x:v>
      </x:c>
      <x:c r="B162" s="64" t="str">
        <x:v>V6-E-688981-C03</x:v>
      </x:c>
      <x:c r="C162" s="64" t="str">
        <x:v>V6-Q017</x:v>
      </x:c>
      <x:c r="D162" s="40" t="str">
        <x:v>中芯国际</x:v>
      </x:c>
      <x:c r="E162" s="64" t="str">
        <x:v>688981</x:v>
      </x:c>
      <x:c r="F162" s="87" t="n">
        <x:v>46260.75</x:v>
      </x:c>
      <x:c r="G162" s="51" t="str">
        <x:v>资本开支融资与汇率变化是否增加自由现金流压力</x:v>
      </x:c>
      <x:c r="H162" s="64" t="str">
        <x:v>DOC-EVT-688981-00167</x:v>
      </x:c>
      <x:c r="I162" s="51" t="str">
        <x:v>中芯国际2025年半年度报告</x:v>
      </x:c>
      <x:c r="J162" s="87" t="n">
        <x:v>45898</x:v>
      </x:c>
      <x:c r="K162" s="73" t="str">
        <x:v>http://static.cninfo.com.cn/finalpage/2025-08-29/1224608545.PDF</x:v>
      </x:c>
      <x:c r="L162" s="40" t="str">
        <x:v>第24页</x:v>
      </x:c>
      <x:c r="M162" s="51" t="str">
        <x:v>中芯国际集成电路制造有限公司2025 年半年度报告 24 / 153 本报告期末，本集团有息债务金额为人民币 85,550.8 百万元，由有担保银行借款人民币 27,455.0 百万元、无担保银行借款人民币 57,990.6 百万元及租赁负债人民币 105.2 百万元构成， 其中一年内到期的债务金额是人民币 22,309.0 百万元。债务安排的具体情况请参阅“第七节财务 报告”之“七、32.短期借款”、“七、43.一年内到期的非流动负债”、“七、45.长期借款”和 “七、47.租赁负债”。 (2) 资本开支及资金来源 报告期内的资本开支主要用于产能扩充。 本集团的实际开支可能会因客户需求、设备交期、业务计划、市场情况和产业政策变化等因 素而有别于计划开支。本公司将密切注意全球经济、半导体产业、客户的需求、营运现金流等， 并于需要时经董事会批准调整资本开支计划。 本集团的资金来源主要包括经营所得现金、银行借款及发行债项或股本、少数股东的资本注 资及其他方式的融资。因半导体产业高度周期性及快速变化的特点，预测本集团增长及发展目标 所需的资金金额有较大不确定性。 (3) 汇率及利率风险 本公司的记账本位币为美元，但本集团亦以其他货币订立交易，导致本集团主要面对欧元、 日元和人民币汇率变动的风险。此外，本集团已订立或发行若干人民币计值贷款融资协议及若干 以摊余成本入账的人民币计值金融资产，导致本集团面对人民币汇率变动的风险。本集团通过运 用远期外汇合约及交叉货币掉期合约等金融工具以…</x:v>
      </x:c>
      <x:c r="N162" s="41" t="str">
        <x:v>3-直接相关</x:v>
      </x:c>
      <x:c r="O162" s="41" t="str">
        <x:v>是</x:v>
      </x:c>
      <x:c r="P162" s="57" t="str">
        <x:v>半年报提示产能扩张带来高资本开支、高折旧及收入毛利波动风险；证据直接披露或决定资本开支融资、汇率敞口及自由现金流压力，可直接用于回答当前查询。</x:v>
      </x:c>
      <x:c r="Q162" s="41" t="str">
        <x:v>B-CODEX-FIN-01</x:v>
      </x:c>
      <x:c r="R162" s="80" t="inlineStr">
        <x:is>
          <x:t>2026-08-30T13:30:00+08:00</x:t>
        </x:is>
      </x:c>
    </x:row>
    <x:row r="163" ht="72" customHeight="1">
      <x:c r="A163" s="64" t="str">
        <x:v>V6-R-Q017-C08</x:v>
      </x:c>
      <x:c r="B163" s="64" t="str">
        <x:v>V6-E-688981-C08</x:v>
      </x:c>
      <x:c r="C163" s="64" t="str">
        <x:v>V6-Q017</x:v>
      </x:c>
      <x:c r="D163" s="40" t="str">
        <x:v>中芯国际</x:v>
      </x:c>
      <x:c r="E163" s="64" t="str">
        <x:v>688981</x:v>
      </x:c>
      <x:c r="F163" s="87" t="n">
        <x:v>46260.75</x:v>
      </x:c>
      <x:c r="G163" s="51" t="str">
        <x:v>资本开支融资与汇率变化是否增加自由现金流压力</x:v>
      </x:c>
      <x:c r="H163" s="64" t="str">
        <x:v>DOC-EVT-688981-00096</x:v>
      </x:c>
      <x:c r="I163" s="51" t="str">
        <x:v>港股公告：中芯国际截至2024年9月30日止三个月未经审核业绩公布</x:v>
      </x:c>
      <x:c r="J163" s="87" t="n">
        <x:v>45604</x:v>
      </x:c>
      <x:c r="K163" s="73" t="str">
        <x:v>http://static.cninfo.com.cn/finalpage/2024-11-08/1221649953.PDF</x:v>
      </x:c>
      <x:c r="L163" s="40" t="str">
        <x:v>第1页</x:v>
      </x:c>
      <x:c r="M163" s="51" t="str">
        <x:v>- 1 -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4年9月30日止三個月未經審核業績公佈 除非以下額外說明，本合併財務信息係依國際財務報告準則編製且表達。  2024 年第三季的銷售收入為 2,171.2 百萬美元，2024 年第二季為 1,901.3 百萬美元，2023 年第 三季為 1,620.6 百萬美元。  2024 年第三季毛利為 444.2 百萬美元，2024 年第二季為 265.1 百萬美元，2023 年第三季為 321.6 百萬美元。  2024 年第三季毛利率為 20.5%，2024 年第二季為 13.9%，2023 年第三季為 19.8%。 以下爲本公司及其子公司(「本集團」)於 2024 年 11 月 7 日就截至 2024 年 9 月 30 日止三個月的未經審 核業績公佈全文。 除非特別指明，所有貨幣以美元列賬。 中國上海 ─ 2024 年11月7 日 ─ 國際主要半導體代工製造商中芯國際集成電路製造有限公司(香港聯 交所股份代號：00981；上交所科…</x:v>
      </x:c>
      <x:c r="N163" s="41" t="str">
        <x:v>1-弱相关</x:v>
      </x:c>
      <x:c r="O163" s="41" t="str">
        <x:v>否</x:v>
      </x:c>
      <x:c r="P163" s="57" t="str">
        <x:v>季度业绩披露销售收入、毛利和毛利率的环比同比变化；虽与资本扩张和现金流主题相近，但未提供资本开支融资、汇率敞口及自由现金流压力，不足以建立可靠传导链。</x:v>
      </x:c>
      <x:c r="Q163" s="41" t="str">
        <x:v>B-CODEX-FIN-01</x:v>
      </x:c>
      <x:c r="R163" s="80" t="inlineStr">
        <x:is>
          <x:t>2026-08-30T13:30:00+08:00</x:t>
        </x:is>
      </x:c>
    </x:row>
    <x:row r="164" ht="72" customHeight="1">
      <x:c r="A164" s="64" t="str">
        <x:v>V6-R-Q017-C10</x:v>
      </x:c>
      <x:c r="B164" s="64" t="str">
        <x:v>V6-E-688981-C10</x:v>
      </x:c>
      <x:c r="C164" s="64" t="str">
        <x:v>V6-Q017</x:v>
      </x:c>
      <x:c r="D164" s="40" t="str">
        <x:v>中芯国际</x:v>
      </x:c>
      <x:c r="E164" s="64" t="str">
        <x:v>688981</x:v>
      </x:c>
      <x:c r="F164" s="87" t="n">
        <x:v>46260.75</x:v>
      </x:c>
      <x:c r="G164" s="51" t="str">
        <x:v>资本开支融资与汇率变化是否增加自由现金流压力</x:v>
      </x:c>
      <x:c r="H164" s="64" t="str">
        <x:v>DOC-EVT-688981-00367</x:v>
      </x:c>
      <x:c r="I164" s="51" t="str">
        <x:v>中芯国际2021年科创板限制性股票激励计划预留授予部分第四个归属期符合归属条件的公告</x:v>
      </x:c>
      <x:c r="J164" s="87" t="n">
        <x:v>46225</x:v>
      </x:c>
      <x:c r="K164" s="73" t="str">
        <x:v>http://static.cninfo.com.cn/finalpage/2026-07-22/1225435807.PDF</x:v>
      </x:c>
      <x:c r="L164" s="40" t="str">
        <x:v>第1页</x:v>
      </x:c>
      <x:c r="M164" s="51" t="str">
        <x:v>1 A股代码：688981 A股简称：中芯国际 公告编号：2026-029 港股代码：00981 港股简称：中芯国际 中芯国际集成电路制造有限公司 2021 年科创板限制性股票激励计划 预留授予部分第四个归属期符合归属条件的公告 本公司董事会及全体董事保证公告内容不存在任何虚假记载、误导性陈述或 者重大遗漏，并对其内容的真实性、准确性和完整性依法承担法律责任。 重要内容提示：  限制性股票拟归属数量：103.16万股  归属股票来源：公司向激励对象定向发行公司 A股普通股股票。 一、本次股权激励计划批准及实施情况 （一）本次股权激励计划方案及履行的程序 1、本次股权激励计划主要内容 （1）股权激励方式：第二类限制性股票。 （2）授予数量：授予的限制性股票总量为 7,565.04万股，约占公司2021年 科创板限制性股票激励计划（以下简称“激励计划”）草案公告时公司股本总额 790,006.4794万股的 0.96%。其中首次授予6,753.52万股，约占激励计划草案公 告时公司股本总额的 0.85%；预留 811.52万股，约占激励计划草案公告时公司股 本总额的 0.10%。 （3）授予价格：20元/股，即满足授予条件和归属条件后，激励对象可以每 股 20元/股的价格购买公司向激励对象增发的公司 A股普通股股票。 （4）激励人数：首次授予 3,944人，为公司董事、高级管理人员、核心技术 人员、中高级业务管理人员、技术及业务骨干人员。预留授予 1,175人，为公司</x:v>
      </x:c>
      <x:c r="N164" s="41" t="str">
        <x:v>0-无关</x:v>
      </x:c>
      <x:c r="O164" s="41" t="str">
        <x:v>否</x:v>
      </x:c>
      <x:c r="P164" s="57" t="str">
        <x:v>公告仅披露限制性股票归属数量、价格和激励对象；内容与资本扩张和现金流缺少业务传导，未提供资本开支融资、汇率敞口及自由现金流压力，不能支持当前判断。</x:v>
      </x:c>
      <x:c r="Q164" s="41" t="str">
        <x:v>B-CODEX-FIN-01</x:v>
      </x:c>
      <x:c r="R164" s="80" t="inlineStr">
        <x:is>
          <x:t>2026-08-30T13:30:00+08:00</x:t>
        </x:is>
      </x:c>
    </x:row>
    <x:row r="165" ht="72" customHeight="1">
      <x:c r="A165" s="64" t="str">
        <x:v>V6-R-Q017-C06</x:v>
      </x:c>
      <x:c r="B165" s="64" t="str">
        <x:v>V6-E-688981-C06</x:v>
      </x:c>
      <x:c r="C165" s="64" t="str">
        <x:v>V6-Q017</x:v>
      </x:c>
      <x:c r="D165" s="40" t="str">
        <x:v>中芯国际</x:v>
      </x:c>
      <x:c r="E165" s="64" t="str">
        <x:v>688981</x:v>
      </x:c>
      <x:c r="F165" s="87" t="n">
        <x:v>46260.75</x:v>
      </x:c>
      <x:c r="G165" s="51" t="str">
        <x:v>资本开支融资与汇率变化是否增加自由现金流压力</x:v>
      </x:c>
      <x:c r="H165" s="64" t="str">
        <x:v>DOC-EVT-688981-00109</x:v>
      </x:c>
      <x:c r="I165" s="51" t="str">
        <x:v>中芯国际关于与大唐控股订立2025年框架协议暨关联（连）交易的公告</x:v>
      </x:c>
      <x:c r="J165" s="87" t="n">
        <x:v>45700</x:v>
      </x:c>
      <x:c r="K165" s="73" t="str">
        <x:v>http://static.cninfo.com.cn/finalpage/2025-02-12/1222514980.pdf</x:v>
      </x:c>
      <x:c r="L165" s="40" t="str">
        <x:v>第1页</x:v>
      </x:c>
      <x:c r="M165" s="51" t="str">
        <x:v>1 A股代码：688981 A股简称：中芯国际 公告编号：2025-003 港股代码：00981 港股简称：中芯国际 中芯国际集成电路制造有限公司 关于与大唐控股订立2025年框架协议暨 关联（连）交易的公告 本公司董事会及全体董事保证本公告内容不存在任何虚假记载、误导性陈 述或者重大遗漏，并对其内容的真实性、准确性和完整性依法承担法律责任。 一、2025年框架协议概况 谨此提述本公司日期为2022年2月10日及日期为2022年5月12日的公告，内 容有关订立2022年框架协议及修订2022年度的年度限额。由于2022年框架协议 已于2024年12月31日届满且本公司拟继续进行其项下的交易，本公司宣布，于 2025年2月11日与大唐控股就持续关连交易签订2025年框架协议，自2025年1月1 日起为期三年。 （一）主要条款概要 订约方： (1) 本公司；及 (2) 大唐控股 签立日期： 2025年2月11日 有效期： 自2025年1月1日起至2027年12月31日止三年 主要条款： 中芯国际集团与大唐控股及其关联公司将开展业 务方面的合作，包括但不限于芯片加工服务。</x:v>
      </x:c>
      <x:c r="N165" s="41" t="str">
        <x:v>0-无关</x:v>
      </x:c>
      <x:c r="O165" s="41" t="str">
        <x:v>否</x:v>
      </x:c>
      <x:c r="P165" s="57" t="str">
        <x:v>框架协议披露与特定关联方持续开展芯片加工服务；内容与资本扩张和现金流缺少业务传导，未提供资本开支融资、汇率敞口及自由现金流压力，不能支持当前判断。</x:v>
      </x:c>
      <x:c r="Q165" s="41" t="str">
        <x:v>B-CODEX-FIN-01</x:v>
      </x:c>
      <x:c r="R165" s="80" t="inlineStr">
        <x:is>
          <x:t>2026-08-30T13:30:00+08:00</x:t>
        </x:is>
      </x:c>
    </x:row>
    <x:row r="166" ht="72" customHeight="1">
      <x:c r="A166" s="64" t="str">
        <x:v>V6-R-Q017-C09</x:v>
      </x:c>
      <x:c r="B166" s="64" t="str">
        <x:v>V6-E-688981-C09</x:v>
      </x:c>
      <x:c r="C166" s="64" t="str">
        <x:v>V6-Q017</x:v>
      </x:c>
      <x:c r="D166" s="40" t="str">
        <x:v>中芯国际</x:v>
      </x:c>
      <x:c r="E166" s="64" t="str">
        <x:v>688981</x:v>
      </x:c>
      <x:c r="F166" s="87" t="n">
        <x:v>46260.75</x:v>
      </x:c>
      <x:c r="G166" s="51" t="str">
        <x:v>资本开支融资与汇率变化是否增加自由现金流压力</x:v>
      </x:c>
      <x:c r="H166" s="64" t="str">
        <x:v>DOC-EVT-688981-00350</x:v>
      </x:c>
      <x:c r="I166" s="51" t="str">
        <x:v>中芯国际关于股东权益变动的提示性公告</x:v>
      </x:c>
      <x:c r="J166" s="87" t="n">
        <x:v>46198</x:v>
      </x:c>
      <x:c r="K166" s="73" t="str">
        <x:v>http://static.cninfo.com.cn/finalpage/2026-06-25/1225386191.PDF</x:v>
      </x:c>
      <x:c r="L166" s="40" t="str">
        <x:v>第1页</x:v>
      </x:c>
      <x:c r="M166" s="51" t="str">
        <x:v>1 A 股代码：688981 A 股简称：中芯国际 公告编号：2026-026 港股代码：00981 港股简称：中芯国际 本公司董事会及全体董事保证本公告内容不存在任何虚假记载、误导性陈 述或者重大遗漏，并对其内容的真实性、准确性和完整性承担相应的法律责任。 重要内容提示：  本次权益变动系中芯国际集成电路制造有限公司（以下简称“公司”） 向国家集成电路产业投资基金股份有限公司（以下简称“国家集成电路基金”）、 北京集成电路制造和装备股权投资中心（有限合伙）、北京亦庄国际投资发展有 限公司、中关村发展集团股份有限公司、北京工业发展投资管理有限公司5 名交 易对方以发行股份的方式收购中芯北方集成电路制造（北京）有限公司（以下简 称“中芯北方”）49%股权所致（以下简称“本次交易”或“本次权益变动”）。  本次权益变动涉及增持，不触及要约收购。  本次权益变动后，信息披露义务人国家集成电路基金及其一致行动人合 计拥有权益的股份数量为 582,332,707 股，占公司总股本的 6.80%，成为持有公 司 5%以上股份的股东。  本次权益变动前后，公司均无控股股东、实际控制人，本次权益变动不 会导致公司控制权变更，也不会导致公司第一大股东发生变化。 公司现将股东权益变动情况公告如下： 一、本次权益变动情况 （一）信息披露义务人及其一致行动人基本情况 截至本公告披露日，信息披露义务人国家集成电路基金的基本情况如下：</x:v>
      </x:c>
      <x:c r="N166" s="41" t="str">
        <x:v>3-直接相关</x:v>
      </x:c>
      <x:c r="O166" s="41" t="str">
        <x:v>是</x:v>
      </x:c>
      <x:c r="P166" s="57" t="str">
        <x:v>公司以发行股份方式收购中芯北方49%股权并改变资本结构；证据直接披露或决定资本开支融资、汇率敞口及自由现金流压力，可直接用于回答当前查询。</x:v>
      </x:c>
      <x:c r="Q166" s="41" t="str">
        <x:v>B-CODEX-FIN-01</x:v>
      </x:c>
      <x:c r="R166" s="80" t="inlineStr">
        <x:is>
          <x:t>2026-08-30T13:30:00+08:00</x:t>
        </x:is>
      </x:c>
    </x:row>
    <x:row r="167" ht="72" customHeight="1">
      <x:c r="A167" s="64" t="str">
        <x:v>V6-R-Q017-C04</x:v>
      </x:c>
      <x:c r="B167" s="64" t="str">
        <x:v>V6-E-688981-C04</x:v>
      </x:c>
      <x:c r="C167" s="64" t="str">
        <x:v>V6-Q017</x:v>
      </x:c>
      <x:c r="D167" s="40" t="str">
        <x:v>中芯国际</x:v>
      </x:c>
      <x:c r="E167" s="64" t="str">
        <x:v>688981</x:v>
      </x:c>
      <x:c r="F167" s="87" t="n">
        <x:v>46260.75</x:v>
      </x:c>
      <x:c r="G167" s="51" t="str">
        <x:v>资本开支融资与汇率变化是否增加自由现金流压力</x:v>
      </x:c>
      <x:c r="H167" s="64" t="str">
        <x:v>DOC-EVT-688981-00329</x:v>
      </x:c>
      <x:c r="I167" s="51" t="str">
        <x:v>中芯国际关于董事重选的公告</x:v>
      </x:c>
      <x:c r="J167" s="87" t="n">
        <x:v>46157</x:v>
      </x:c>
      <x:c r="K167" s="73" t="str">
        <x:v>http://static.cninfo.com.cn/finalpage/2026-05-15/1225307089.PDF</x:v>
      </x:c>
      <x:c r="L167" s="40" t="str">
        <x:v>第1页</x:v>
      </x:c>
      <x:c r="M167" s="51" t="str">
        <x:v>1 A股代码：688981 A股简称：中芯国际 公告编号：2026-019 港股代码：00981 港股简称：中芯国际 中芯国际集成电路制造有限公司 关于董事重选的公告 本公司董事会及全体董事保证本公告内容不存在任何虚假记载、误导性陈 述或者重大遗漏，并对其内容的真实性、准确性和完整性依法承担法律责任。 中芯国际集成电路制造有限公司（以下简称“本公司”）根据现行《经修 订及重述组织章程大纲及细则》（以下简称“组织章程细则”）有关规定，于 2026年5月14日召开董事会审议通过了《关于董事重选的议案》，该议案尚须 提交本公司2026年度股东会审议。现将董事重选情况公告如下： 一、董事会成员情况 目前，本公司董事会包括三名第一类董事：鲁国庆先生、黄登山先生及吴 汉明教授；三名第二类董事：刘训峰博士、陈山枝博士及范仁达博士；三名第 三类董事：杨鲁闽先生、刘明教授及陈信元教授。 二、重选董事情况 三名第一类董事鲁国庆先生、黄登山先生及吴汉明教授，根据组织章程细 则第92条，将于2026年度股东会上退任，并均符合资格及有意愿于年度股东会 上重选连任至2029年度股东会。 上述将于2026年度股东会上重选连任的三名董事简历载列于附件。 特此公告。 中芯国际集成电路制造有限公司 董事会 2026 年 5 月 15 日</x:v>
      </x:c>
      <x:c r="N167" s="41" t="str">
        <x:v>0-无关</x:v>
      </x:c>
      <x:c r="O167" s="41" t="str">
        <x:v>否</x:v>
      </x:c>
      <x:c r="P167" s="57" t="str">
        <x:v>公告仅涉及董事重选和任期安排；内容与资本扩张和现金流缺少业务传导，未提供资本开支融资、汇率敞口及自由现金流压力，不能支持当前判断。</x:v>
      </x:c>
      <x:c r="Q167" s="41" t="str">
        <x:v>B-CODEX-FIN-01</x:v>
      </x:c>
      <x:c r="R167" s="80" t="inlineStr">
        <x:is>
          <x:t>2026-08-30T13:30:00+08:00</x:t>
        </x:is>
      </x:c>
    </x:row>
    <x:row r="168" ht="72" customHeight="1">
      <x:c r="A168" s="64" t="str">
        <x:v>V6-R-Q017-C02</x:v>
      </x:c>
      <x:c r="B168" s="64" t="str">
        <x:v>V6-E-688981-C02</x:v>
      </x:c>
      <x:c r="C168" s="64" t="str">
        <x:v>V6-Q017</x:v>
      </x:c>
      <x:c r="D168" s="40" t="str">
        <x:v>中芯国际</x:v>
      </x:c>
      <x:c r="E168" s="64" t="str">
        <x:v>688981</x:v>
      </x:c>
      <x:c r="F168" s="87" t="n">
        <x:v>46260.75</x:v>
      </x:c>
      <x:c r="G168" s="51" t="str">
        <x:v>资本开支融资与汇率变化是否增加自由现金流压力</x:v>
      </x:c>
      <x:c r="H168" s="64" t="str">
        <x:v>DOC-EVT-688981-00287</x:v>
      </x:c>
      <x:c r="I168" s="51" t="str">
        <x:v>中芯国际2025年度非经营性资金占用及其他关联资金往来情况的专项说明</x:v>
      </x:c>
      <x:c r="J168" s="87" t="n">
        <x:v>46108</x:v>
      </x:c>
      <x:c r="K168" s="73" t="str">
        <x:v>http://static.cninfo.com.cn/finalpage/2026-03-27/1225037051.PDF</x:v>
      </x:c>
      <x:c r="L168" s="40" t="str">
        <x:v>第2页</x:v>
      </x:c>
      <x:c r="M168" s="51" t="str">
        <x:v>1 非经营性资金占用及其他关联资金往来情况的专项说明 安永华明（2026）专字第70017693_B03号 中芯国际集成电路制造有限公司 中芯国际集成电路制造有限公司董事会： 我们审计了中芯国际集成电路制造有限公司的2025年度财务报表，包括2025年12 月31日的合并及公司资产负债表，2025年度的合并及公司利润表、股东权益变动表和 现金流量表以及 相关财务报表附注， 并于2026年3月26日出具了 编号为 安永华明 （2026）审字第70017693_B01号的无保留意见审计报告。 按照《上市公司监管指引第8号——上市公司资金往来、对外担保的监管要求》的 要求，中芯国际集成电路制造有限公司编制了后附的2025年度非经营性资金占用及其 他关联资金往来情况汇总表（以下简称“汇总表”）。 如实编制和对外披露汇总表，并确保其真实性、合法性、完整性是中芯国际集成 电路制造有限公司的责任。我们对汇总表所载资料与我们审计 中芯国际集成电路制造 有限公司2025年度财务报表时所复核的会计资料和经审计的财务报表的相关内容进行 了核对，在所有重大方面没有发现不一致之处。除了对 中芯国际集成电路制造有限公 司2025年度财务报表出具审计报告而执行的审计程序外，我们并未对汇总表所载资料 执行额外的审计程序。 为了更好地理解中芯国际集成电路制造有限公司2025年度非经营性资金占用及其 他关联资金往来情况，汇总表应当与经审计的财务报表一并阅读。 本专项说明仅供中芯国际集成电路制造有限公司为202…</x:v>
      </x:c>
      <x:c r="N168" s="41" t="str">
        <x:v>0-无关</x:v>
      </x:c>
      <x:c r="O168" s="41" t="str">
        <x:v>否</x:v>
      </x:c>
      <x:c r="P168" s="57" t="str">
        <x:v>专项说明核对非经营性资金占用和关联往来数据；内容与资本扩张和现金流缺少业务传导，未提供资本开支融资、汇率敞口及自由现金流压力，不能支持当前判断。</x:v>
      </x:c>
      <x:c r="Q168" s="41" t="str">
        <x:v>B-CODEX-FIN-01</x:v>
      </x:c>
      <x:c r="R168" s="80" t="inlineStr">
        <x:is>
          <x:t>2026-08-30T13:30:00+08:00</x:t>
        </x:is>
      </x:c>
    </x:row>
    <x:row r="169" ht="72" customHeight="1">
      <x:c r="A169" s="64" t="str">
        <x:v>V6-R-Q017-C05</x:v>
      </x:c>
      <x:c r="B169" s="64" t="str">
        <x:v>V6-E-688981-C05</x:v>
      </x:c>
      <x:c r="C169" s="64" t="str">
        <x:v>V6-Q017</x:v>
      </x:c>
      <x:c r="D169" s="40" t="str">
        <x:v>中芯国际</x:v>
      </x:c>
      <x:c r="E169" s="64" t="str">
        <x:v>688981</x:v>
      </x:c>
      <x:c r="F169" s="87" t="n">
        <x:v>46260.75</x:v>
      </x:c>
      <x:c r="G169" s="51" t="str">
        <x:v>资本开支融资与汇率变化是否增加自由现金流压力</x:v>
      </x:c>
      <x:c r="H169" s="64" t="str">
        <x:v>DOC-EVT-688981-00083</x:v>
      </x:c>
      <x:c r="I169" s="51" t="str">
        <x:v>港股公告：董事名单与其角色和职能</x:v>
      </x:c>
      <x:c r="J169" s="87" t="n">
        <x:v>45563</x:v>
      </x:c>
      <x:c r="K169" s="73" t="str">
        <x:v>http://static.cninfo.com.cn/finalpage/2024-09-28/1221312676.PDF</x:v>
      </x:c>
      <x:c r="L169" s="40" t="str">
        <x:v>第1页</x:v>
      </x:c>
      <x:c r="M169" s="51"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獨立非執行董事 范仁達 劉明 吳漢明 董事會下設四個委員會。下表提供各董事會成員在這些委員會中所擔任的職位： 董事委員會 董事會成員 審計委員會 薪酬委員會 提名委員會 戰略委員會 劉訓峰 - - 主席 - 魯國慶 - 成員 - - 陳山枝 - - - 主席 楊魯閩 - - - 成員 范仁達 主席 主席 成員 - 劉明 成員 成員 - 成員 吳漢明 成員 - 成員 成員 上海, 2024年9月27日 * 僅供識別</x:v>
      </x:c>
      <x:c r="N169" s="41" t="str">
        <x:v>0-无关</x:v>
      </x:c>
      <x:c r="O169" s="41" t="str">
        <x:v>否</x:v>
      </x:c>
      <x:c r="P169" s="57" t="str">
        <x:v>公告仅列示董事及委员会角色；内容与资本扩张和现金流缺少业务传导，未提供资本开支融资、汇率敞口及自由现金流压力，不能支持当前判断。</x:v>
      </x:c>
      <x:c r="Q169" s="41" t="str">
        <x:v>B-CODEX-FIN-01</x:v>
      </x:c>
      <x:c r="R169" s="80" t="inlineStr">
        <x:is>
          <x:t>2026-08-30T13:30:00+08:00</x:t>
        </x:is>
      </x:c>
    </x:row>
    <x:row r="170" ht="72" customHeight="1">
      <x:c r="A170" s="64" t="str">
        <x:v>V6-R-Q017-C07</x:v>
      </x:c>
      <x:c r="B170" s="64" t="str">
        <x:v>V6-E-688981-C07</x:v>
      </x:c>
      <x:c r="C170" s="64" t="str">
        <x:v>V6-Q017</x:v>
      </x:c>
      <x:c r="D170" s="40" t="str">
        <x:v>中芯国际</x:v>
      </x:c>
      <x:c r="E170" s="64" t="str">
        <x:v>688981</x:v>
      </x:c>
      <x:c r="F170" s="87" t="n">
        <x:v>46260.75</x:v>
      </x:c>
      <x:c r="G170" s="51" t="str">
        <x:v>资本开支融资与汇率变化是否增加自由现金流压力</x:v>
      </x:c>
      <x:c r="H170" s="64" t="str">
        <x:v>DOC-EVT-688981-00142</x:v>
      </x:c>
      <x:c r="I170" s="51" t="str">
        <x:v>中芯国际2025年第一季度报告</x:v>
      </x:c>
      <x:c r="J170" s="87" t="n">
        <x:v>45786</x:v>
      </x:c>
      <x:c r="K170" s="73" t="str">
        <x:v>http://static.cninfo.com.cn/finalpage/2025-05-09/1223496514.PDF</x:v>
      </x:c>
      <x:c r="L170" s="40" t="str">
        <x:v>第16页</x:v>
      </x:c>
      <x:c r="M170" s="51" t="str">
        <x:v>中芯国际集成电路制造有限公司2025 年第一季度报告 16 / 16 项目 2025年第一季度 2024年第一季度 质押贷款净增加额 - - 取得子公司及其他营业单位支付的现金净额 - - 支付其他与投资活动有关的现金 38,995 - 投资活动现金流出小计 15,602,234 14,816,157 投资活动产生的现金流量净额 -9,093,038 -9,270,319 三、筹资活动产生的现金流量： 吸收投资收到的现金 70,288 1,003 其中：子公司吸收少数股东投资收到的现金 - - 取得借款收到的现金 3,310,305 10,762,644 收到其他与筹资活动有关的现金 102,071 93,514 筹资活动现金流入小计 3,482,664 10,857,161 偿还债务支付的现金 1,505,456 11,404,763 分配股利、利润或偿付利息支付的现金 440,712 446,462 其中：子公司支付给少数股东的股利、利润 16,598 - 支付其他与筹资活动有关的现金 4,483,575 603,764 筹资活动现金流出小计 6,429,743 12,454,989 筹资活动产生的现金流量净额 -2,947,079 -1,597,828 四、汇率变动对现金及现金等价物的影响 375,716 1,227,797 五、现金及现金等价物净增加额 -12,835,921 -6,073,774 加：期初现金及现金等价物余额 45,751,070 44,019,3…</x:v>
      </x:c>
      <x:c r="N170" s="41" t="str">
        <x:v>1-弱相关</x:v>
      </x:c>
      <x:c r="O170" s="41" t="str">
        <x:v>否</x:v>
      </x:c>
      <x:c r="P170" s="57" t="str">
        <x:v>一季报直接披露产能利用率89.6%、毛利率22.5%及下季指引；虽与资本扩张和现金流主题相近，但未提供资本开支融资、汇率敞口及自由现金流压力，不足以建立可靠传导链。</x:v>
      </x:c>
      <x:c r="Q170" s="41" t="str">
        <x:v>B-CODEX-FIN-01</x:v>
      </x:c>
      <x:c r="R170" s="80" t="inlineStr">
        <x:is>
          <x:t>2026-08-30T13:30:00+08:00</x:t>
        </x:is>
      </x:c>
    </x:row>
    <x:row r="171" ht="72" customHeight="1">
      <x:c r="A171" s="64" t="str">
        <x:v>V6-R-Q017-C01</x:v>
      </x:c>
      <x:c r="B171" s="64" t="str">
        <x:v>V6-E-688981-C01</x:v>
      </x:c>
      <x:c r="C171" s="64" t="str">
        <x:v>V6-Q017</x:v>
      </x:c>
      <x:c r="D171" s="40" t="str">
        <x:v>中芯国际</x:v>
      </x:c>
      <x:c r="E171" s="64" t="str">
        <x:v>688981</x:v>
      </x:c>
      <x:c r="F171" s="87" t="n">
        <x:v>46260.75</x:v>
      </x:c>
      <x:c r="G171" s="51" t="str">
        <x:v>资本开支融资与汇率变化是否增加自由现金流压力</x:v>
      </x:c>
      <x:c r="H171" s="64" t="str">
        <x:v>DOC-EVT-688981-00295</x:v>
      </x:c>
      <x:c r="I171" s="51" t="str">
        <x:v>中芯国际2026年度“提质增效重回报”行动方案</x:v>
      </x:c>
      <x:c r="J171" s="87" t="n">
        <x:v>46108</x:v>
      </x:c>
      <x:c r="K171" s="73" t="str">
        <x:v>http://static.cninfo.com.cn/finalpage/2026-03-27/1225037065.PDF</x:v>
      </x:c>
      <x:c r="L171" s="40" t="str">
        <x:v>第1页</x:v>
      </x:c>
      <x:c r="M171" s="51" t="str">
        <x:v>1 中芯国际集成电路制造有限公司 2026 年度“提质增效重回报”行动方案 中芯国际集成电路制造有限公司（以下简称“公司”）积极贯彻落 实科创板上市公司“提质增效重回报”专项行动，于2025 年3 月27 日发布了《2025 年度“提质增效重回报”行动方案》，并于2025 年 8 月28 日发布了《关于2025 年度“提质增效重回报”行动方案的半 年度评估报告》。 2025 年，公司聚焦主业发展、深化技术创新、强化内控治理， 推进“产能建设上台阶、绑定客户拓市场、降本增效优运营”，持续 提升公司核心竞争力；公司亦通过优化投资者关系管理，并将 ESG 治理深度融入运营与决策全过程，向资本市场积极传递公司价值。 2026 年，公司将持续做优存量、挖掘增量，巩固稳健向好的增 长态势，在经营管理、研发创新、公司治理、投资者关系及践行ESG 理念等方面采取积极措施，推动公司高质量发展，保障投资者权益， 进一步增强公司可持续发展韧性。 公司2025 年度“提质增效重回报”行动方案执行情况及 2026 年 度行动方案主要举措如下： 一、聚焦集成电路代工主业，深耕服务全球客户 ——持续夯实运营基础，经营业绩再上台阶 公司是世界领先的集成电路晶圆代工企业之一，也是中国大陆集 成电路制造业领导者。基于国际化运营的理念，为全球客户服务，建 立了辐射全球的服务基地与运营网络。</x:v>
      </x:c>
      <x:c r="N171" s="41" t="str">
        <x:v>2-间接相关</x:v>
      </x:c>
      <x:c r="O171" s="41" t="str">
        <x:v>是</x:v>
      </x:c>
      <x:c r="P171" s="57" t="str">
        <x:v>行动方案提出产能建设、客户拓展和降本增效；该事实可通过产能投资或融资方式向自由现金流传导，间接验证资本开支融资、汇率敞口及自由现金流压力，关系清晰且可复核。</x:v>
      </x:c>
      <x:c r="Q171" s="41" t="str">
        <x:v>B-CODEX-FIN-01</x:v>
      </x:c>
      <x:c r="R171" s="80" t="inlineStr">
        <x:is>
          <x:t>2026-08-30T13:30:00+08:00</x:t>
        </x:is>
      </x:c>
    </x:row>
    <x:row r="172" ht="72" customHeight="1">
      <x:c r="A172" s="64" t="str">
        <x:v>V6-R-Q018-C03</x:v>
      </x:c>
      <x:c r="B172" s="64" t="str">
        <x:v>V6-E-603986-C03</x:v>
      </x:c>
      <x:c r="C172" s="64" t="str">
        <x:v>V6-Q018</x:v>
      </x:c>
      <x:c r="D172" s="40" t="str">
        <x:v>兆易创新</x:v>
      </x:c>
      <x:c r="E172" s="64" t="str">
        <x:v>603986</x:v>
      </x:c>
      <x:c r="F172" s="87" t="n">
        <x:v>46260.75</x:v>
      </x:c>
      <x:c r="G172" s="51" t="str">
        <x:v>存储产品价格回升能否改善库存周转和综合毛利率</x:v>
      </x:c>
      <x:c r="H172" s="64" t="str">
        <x:v>DOC-EVT-603986-00511</x:v>
      </x:c>
      <x:c r="I172" s="51" t="str">
        <x:v>兆易创新关于以集中竞价交易方式回购公司A股股份方案的公告</x:v>
      </x:c>
      <x:c r="J172" s="87" t="n">
        <x:v>46235</x:v>
      </x:c>
      <x:c r="K172" s="73" t="str">
        <x:v>http://static.cninfo.com.cn/finalpage/2026-08-01/1225450998.PDF</x:v>
      </x:c>
      <x:c r="L172" s="40" t="str">
        <x:v>第1页</x:v>
      </x:c>
      <x:c r="M172" s="51" t="str">
        <x:v>1 证券代码：603986 证券简称：兆易创新 公告编号：2026-067 兆易创新科技集团股份有限公司 关于以集中竞价交易方式回购公司 A 股股份方案的公告 本公司董事会及全体董事保证本公告内容不存在任何虚假记载、误导性陈述或 者重大遗漏，并对其内容的真实性、准确性和完整性依法承担法律责任。 重要内容提示： ● 回购股份金额：不低于人民币 10 亿元（含），不超过人民币 20 亿元（含）； ● 回购股份资金来源：公司自有资金及/或自筹资金； ● 回购股份用途：回购股份将全部用于注销并减少注册资本； ● 回购股份价格：不超过人民币750 元/股（含），该回购价格不超过公司董事会通过本 次回购方案决议前30 个交易日公司股票交易均价的150%； ● 回购股份方式：集中竞价交易方式； ● 回购股份期限：自股东会审议通过本次回购股份方案之日起 6 个月内； ● 相关股东是否存在减持计划：截至本公告披露日，公司控股股东及其一致行动人， 以及公司董事、高级管理人员在未来 3 个月、未来 6 个月内均不存在减持公司股份 计划。如未来有减持公司股份计划的，公司将遵守中国证监会和上海证券交易所关 于股份减持的相关规定，及时履行信息披露义务。 ● 相关风险提示： 1. 本次回购股份方案尚需提交公司股东会审议，如果股东会未能审议通过本方 案，将导致本次回购股份方案无法实施； 2. 存在公司股票价格持续超出回购方案披露的价格上限，导致回购方案无法实 施或者只能部分实施的风险； 3. 本次回购股份…</x:v>
      </x:c>
      <x:c r="N172" s="41" t="str">
        <x:v>0-无关</x:v>
      </x:c>
      <x:c r="O172" s="41" t="str">
        <x:v>否</x:v>
      </x:c>
      <x:c r="P172" s="57" t="str">
        <x:v>回购方案拟以自有或自筹资金投入10亿至20亿元并注销股份；内容与存储景气与盈利缺少业务传导，未提供存储价格、库存周转和综合毛利率，不能支持当前判断。</x:v>
      </x:c>
      <x:c r="Q172" s="41" t="str">
        <x:v>B-CODEX-FIN-01</x:v>
      </x:c>
      <x:c r="R172" s="80" t="inlineStr">
        <x:is>
          <x:t>2026-08-30T13:30:00+08:00</x:t>
        </x:is>
      </x:c>
    </x:row>
    <x:row r="173" ht="72" customHeight="1">
      <x:c r="A173" s="64" t="str">
        <x:v>V6-R-Q018-C10</x:v>
      </x:c>
      <x:c r="B173" s="64" t="str">
        <x:v>V6-E-603986-C10</x:v>
      </x:c>
      <x:c r="C173" s="64" t="str">
        <x:v>V6-Q018</x:v>
      </x:c>
      <x:c r="D173" s="40" t="str">
        <x:v>兆易创新</x:v>
      </x:c>
      <x:c r="E173" s="64" t="str">
        <x:v>603986</x:v>
      </x:c>
      <x:c r="F173" s="87" t="n">
        <x:v>46260.75</x:v>
      </x:c>
      <x:c r="G173" s="51" t="str">
        <x:v>存储产品价格回升能否改善库存周转和综合毛利率</x:v>
      </x:c>
      <x:c r="H173" s="64" t="str">
        <x:v>DOC-EVT-603986-00508</x:v>
      </x:c>
      <x:c r="I173" s="51" t="str">
        <x:v>兆易创新第五届董事会第十四次会议决议公告</x:v>
      </x:c>
      <x:c r="J173" s="87" t="n">
        <x:v>46235</x:v>
      </x:c>
      <x:c r="K173" s="73" t="str">
        <x:v>http://static.cninfo.com.cn/finalpage/2026-08-01/1225450991.PDF</x:v>
      </x:c>
      <x:c r="L173" s="40" t="str">
        <x:v>第1页</x:v>
      </x:c>
      <x:c r="M173" s="51" t="str">
        <x:v>1 证券代码：603986 证券简称：兆易创新 公告编号：2026-066 兆易创新科技集团股份有限公司 第五届董事会第十四次会议决议公告 本公司董事会及全体董事保证本公告内容不存在任何虚假记载、误导性陈 述或者重大遗漏，并对其内容的真实性、准确性和完整性承担法律责任。 兆易创新科技集团股份有限公司（以下简称“公司”）第五届董事会第十四次会 议于 2026 年 7 月 31 日以现场结合通讯方式召开。本次会议由董事长朱一明先生主 持，会议应出席董事 9 名，实际出席董事 9 名；公司全体高级管理人员列席了本次 会议。本次会议的召集和召开程序符合《中华人民共和国公司法》等有关法律、行 政法规、部门规章、规范性文件及《公司章程》的相关规定。 经与会董事认真审议，以记名投票表决方式一致通过以下议案： 一、关于以集中竞价交易方式回购公司 A 股股份方案的议案 本议案具体内容请详见同日刊登在《上海证券报》《证券时报》及上海证券交易 所网站（http://www.sse.com.cn）上的《兆易创新关于以集中竞价交易方式回购公司 A股股份方案的公告》（公告编号：2026-067）。 表决结果：9票同意、0票反对、0票弃权。 本议案尚需提交公司股东会审议。 二、关于召开 2026 年第二次临时股东会的议案 公司董事会同意于2026年8月20日召开公司2026年第二次临时股东会，将本次会 议审议通过的议案一提交公司股东会审议。本议案具体内容请详见公司后续另行发 出的股东会通知。 表决结果：…</x:v>
      </x:c>
      <x:c r="N173" s="41" t="str">
        <x:v>0-无关</x:v>
      </x:c>
      <x:c r="O173" s="41" t="str">
        <x:v>否</x:v>
      </x:c>
      <x:c r="P173" s="57" t="str">
        <x:v>董事会决议通过股份回购方案并提交股东会；内容与存储景气与盈利缺少业务传导，未提供存储价格、库存周转和综合毛利率，不能支持当前判断。</x:v>
      </x:c>
      <x:c r="Q173" s="41" t="str">
        <x:v>B-CODEX-FIN-01</x:v>
      </x:c>
      <x:c r="R173" s="80" t="inlineStr">
        <x:is>
          <x:t>2026-08-30T13:30:00+08:00</x:t>
        </x:is>
      </x:c>
    </x:row>
    <x:row r="174" ht="72" customHeight="1">
      <x:c r="A174" s="64" t="str">
        <x:v>V6-R-Q018-C09</x:v>
      </x:c>
      <x:c r="B174" s="64" t="str">
        <x:v>V6-E-603986-C09</x:v>
      </x:c>
      <x:c r="C174" s="64" t="str">
        <x:v>V6-Q018</x:v>
      </x:c>
      <x:c r="D174" s="40" t="str">
        <x:v>兆易创新</x:v>
      </x:c>
      <x:c r="E174" s="64" t="str">
        <x:v>603986</x:v>
      </x:c>
      <x:c r="F174" s="87" t="n">
        <x:v>46260.75</x:v>
      </x:c>
      <x:c r="G174" s="51" t="str">
        <x:v>存储产品价格回升能否改善库存周转和综合毛利率</x:v>
      </x:c>
      <x:c r="H174" s="64" t="str">
        <x:v>DOC-EVT-603986-00513</x:v>
      </x:c>
      <x:c r="I174" s="51" t="str">
        <x:v>兆易创新关于召开2026年第二次临时股东会的通知</x:v>
      </x:c>
      <x:c r="J174" s="87" t="n">
        <x:v>46237</x:v>
      </x:c>
      <x:c r="K174" s="73" t="str">
        <x:v>http://static.cninfo.com.cn/finalpage/2026-08-03/1225452823.PDF</x:v>
      </x:c>
      <x:c r="L174" s="40" t="str">
        <x:v>第1页</x:v>
      </x:c>
      <x:c r="M174" s="51" t="str">
        <x:v>1 证券代码：603986 证券简称：兆易创新 公告编号：2026-069 兆易创新科技集团股份有限公司 关于召开2026年第二次临时股东会的通知 本公司董事会及全体董事保证本公告内容不存在任何虚假记载、误导性陈述 或者重大遗漏，并对其内容的真实性、准确性和完整性承担法律责任。 重要内容提示：  股东会召开日期：2026年8月20日  本次股东会采用的网络投票系统：上海证券交易所股东会网络投票系统 一、 召开会议的基本情况 (一) 股东会类型和届次 2026年第二次临时股东会 (二) 股东会召集人：董事会 (三) 投票方式：本次股东会所采用的表决方式是现场投票和网络投票相结合的 方式 (四) 现场会议召开的日期、时间和地点 召开的日期时间：2026 年 8 月 20 日 14 点 30 分 召开地点：北京市朝阳区安定路 5 号城奥大厦 6 层会议室 (五) 网络投票的系统、起止日期和投票时间。 网络投票系统：上海证券交易所股东会网络投票系统 网络投票起止时间：自2026 年 8 月 20 日 至2026 年 8 月 20 日 采用上海证券交易所网络投票系统，通过交易系统投票平台的投票时间为股 东会召开当日的交易时间段，即 9:15-9:25，9:30-11:30，13:00-15:00；通过互联 网投票平台的投票时间为股东会召开当日的 9:15-15:00。</x:v>
      </x:c>
      <x:c r="N174" s="41" t="str">
        <x:v>0-无关</x:v>
      </x:c>
      <x:c r="O174" s="41" t="str">
        <x:v>否</x:v>
      </x:c>
      <x:c r="P174" s="57" t="str">
        <x:v>公告仅说明临时股东会安排；内容与存储景气与盈利缺少业务传导，未提供存储价格、库存周转和综合毛利率，不能支持当前判断。</x:v>
      </x:c>
      <x:c r="Q174" s="41" t="str">
        <x:v>B-CODEX-FIN-01</x:v>
      </x:c>
      <x:c r="R174" s="80" t="inlineStr">
        <x:is>
          <x:t>2026-08-30T13:30:00+08:00</x:t>
        </x:is>
      </x:c>
    </x:row>
    <x:row r="175" ht="72" customHeight="1">
      <x:c r="A175" s="64" t="str">
        <x:v>V6-R-Q018-C05</x:v>
      </x:c>
      <x:c r="B175" s="64" t="str">
        <x:v>V6-E-603986-C05</x:v>
      </x:c>
      <x:c r="C175" s="64" t="str">
        <x:v>V6-Q018</x:v>
      </x:c>
      <x:c r="D175" s="40" t="str">
        <x:v>兆易创新</x:v>
      </x:c>
      <x:c r="E175" s="64" t="str">
        <x:v>603986</x:v>
      </x:c>
      <x:c r="F175" s="87" t="n">
        <x:v>46260.75</x:v>
      </x:c>
      <x:c r="G175" s="51" t="str">
        <x:v>存储产品价格回升能否改善库存周转和综合毛利率</x:v>
      </x:c>
      <x:c r="H175" s="64" t="str">
        <x:v>DOC-EVT-603986-00098</x:v>
      </x:c>
      <x:c r="I175" s="51" t="str">
        <x:v>兆易创新关于2023年年度股东大会增加临时提案的公告</x:v>
      </x:c>
      <x:c r="J175" s="87" t="n">
        <x:v>45406</x:v>
      </x:c>
      <x:c r="K175" s="73" t="str">
        <x:v>http://static.cninfo.com.cn/finalpage/2024-04-24/1219762603.PDF</x:v>
      </x:c>
      <x:c r="L175" s="40" t="str">
        <x:v>第1页</x:v>
      </x:c>
      <x:c r="M175" s="51" t="str">
        <x:v>1 证券代码：603986 证券简称：兆易创新 公告编号：2024-047 兆易创新科技集团股份有限公司 关于 2023 年年度股东大会增加临时提案的公告 本公司董事会及全体董事保证本公告内容不存在任何虚假记载、 误导性陈述 或者重大遗漏，并对其内容的真实性、准确性和完整性承担法律责任。 一、股东大会有关情况 1. 股东大会的类型和届次： 2023 年年度股东大会 2. 股东大会召开日期：2024 年 5 月 14 日 3. 股权登记日 股份类别 股票代码 股票简称 股权登记日 Ａ股 603986 兆易创新 2024/5/7 二、增加临时提案的情况说明 1. 提案人：朱一明 2. 提案程序说明 公司已于 2024 年 4 月 20 日公告了股东大会召开通知，单独持有6.86%股份 的股东朱一明，在 2024 年 4 月 23 日提出临时提案并书面提交股东大会召集人。 股东大会召集人按照《上市公司股东大会规则》有关规定，现予以公告。 3. 临时提案的具体内容 2024 年 4 月 23 日，公司召开第四届董事会第十九次会议审议通过《关于拟 变更部分回购股份用途并注销的议案》，基于对未来发展前景的信心和对公司长 期价值的高度认同，为切实维护广大投资者利益、增强投资者信心、提高长期投 资价值，公司拟变更部分已回购股份的用途，对于公司 2023 年实施回购的其中</x:v>
      </x:c>
      <x:c r="N175" s="41" t="str">
        <x:v>0-无关</x:v>
      </x:c>
      <x:c r="O175" s="41" t="str">
        <x:v>否</x:v>
      </x:c>
      <x:c r="P175" s="57" t="str">
        <x:v>公告涉及变更既有回购股份用途并注销；内容与存储景气与盈利缺少业务传导，未提供存储价格、库存周转和综合毛利率，不能支持当前判断。</x:v>
      </x:c>
      <x:c r="Q175" s="41" t="str">
        <x:v>B-CODEX-FIN-01</x:v>
      </x:c>
      <x:c r="R175" s="80" t="inlineStr">
        <x:is>
          <x:t>2026-08-30T13:30:00+08:00</x:t>
        </x:is>
      </x:c>
    </x:row>
    <x:row r="176" ht="72" customHeight="1">
      <x:c r="A176" s="64" t="str">
        <x:v>V6-R-Q018-C01</x:v>
      </x:c>
      <x:c r="B176" s="64" t="str">
        <x:v>V6-E-603986-C01</x:v>
      </x:c>
      <x:c r="C176" s="64" t="str">
        <x:v>V6-Q018</x:v>
      </x:c>
      <x:c r="D176" s="40" t="str">
        <x:v>兆易创新</x:v>
      </x:c>
      <x:c r="E176" s="64" t="str">
        <x:v>603986</x:v>
      </x:c>
      <x:c r="F176" s="87" t="n">
        <x:v>46260.75</x:v>
      </x:c>
      <x:c r="G176" s="51" t="str">
        <x:v>存储产品价格回升能否改善库存周转和综合毛利率</x:v>
      </x:c>
      <x:c r="H176" s="64" t="str">
        <x:v>DOC-EVT-603986-00248</x:v>
      </x:c>
      <x:c r="I176" s="51" t="str">
        <x:v>兆易创新2024年年度报告</x:v>
      </x:c>
      <x:c r="J176" s="87" t="n">
        <x:v>45773</x:v>
      </x:c>
      <x:c r="K176" s="73" t="str">
        <x:v>http://static.cninfo.com.cn/finalpage/2025-04-26/1223305062.PDF</x:v>
      </x:c>
      <x:c r="L176" s="40" t="str">
        <x:v>第17页</x:v>
      </x:c>
      <x:c r="M176" s="51" t="str">
        <x:v>兆易创新科技集团股份有限公司2024年年度报告 17 /235 2、 收入和成本分析 √适用 □不适用 报告期内，公司实现主营业务收入 73.56亿元，比 2023年同期增长 27.69%。 (1). 主营业务分行业、分产品、分地区、分销售模式情况 单位：元 币种：人民币 主营业务分行业情况 分行业 营业收入 营业成本 毛利率 （%） 营业收入 比上年增 减（%） 营业成本 比上年增 减（%） 毛利率比 上年增减 （%） 集成电路 7,355,627,831.60 4,560,543,165.32 38.00 27.69 20.72 增加 3.58 个百分点 主营业务分产品情况 分产品 营业收入 营业成本 毛利率 （%） 营业收入 比上年增 减（%） 营业成本 比上年增 减（%） 毛利率比 上年增减 （%） 存储芯片 5,194,173,225.67 3,102,673,445.00 40.27 27.39 13.55 增加 7.28 个百分点 MCU及模拟产 品 1,706,014,797.54 1,083,301,851.37 36.50 29.56 44.57 减少 6.60 个百分点 传感器 448,300,100.78 374,503,004.70 16.46 27.20 26.49 增加 0.46 个百分点 技术服务及其 他收入 7,139,707.61 64,864.25 99.09 -48.61 / 减少 0.91 个百分点 主营业务分地区情况 分地区 营业…</x:v>
      </x:c>
      <x:c r="N176" s="41" t="str">
        <x:v>3-直接相关</x:v>
      </x:c>
      <x:c r="O176" s="41" t="str">
        <x:v>是</x:v>
      </x:c>
      <x:c r="P176" s="57" t="str">
        <x:v>年报披露存储、MCU等收入成本和毛利率，存储毛利率提升7.28个百分点；证据直接披露或决定存储价格、库存周转和综合毛利率，可直接用于回答当前查询。</x:v>
      </x:c>
      <x:c r="Q176" s="41" t="str">
        <x:v>B-CODEX-FIN-01</x:v>
      </x:c>
      <x:c r="R176" s="80" t="inlineStr">
        <x:is>
          <x:t>2026-08-30T13:30:00+08:00</x:t>
        </x:is>
      </x:c>
    </x:row>
    <x:row r="177" ht="72" customHeight="1">
      <x:c r="A177" s="64" t="str">
        <x:v>V6-R-Q018-C07</x:v>
      </x:c>
      <x:c r="B177" s="64" t="str">
        <x:v>V6-E-603986-C07</x:v>
      </x:c>
      <x:c r="C177" s="64" t="str">
        <x:v>V6-Q018</x:v>
      </x:c>
      <x:c r="D177" s="40" t="str">
        <x:v>兆易创新</x:v>
      </x:c>
      <x:c r="E177" s="64" t="str">
        <x:v>603986</x:v>
      </x:c>
      <x:c r="F177" s="87" t="n">
        <x:v>46260.75</x:v>
      </x:c>
      <x:c r="G177" s="51" t="str">
        <x:v>存储产品价格回升能否改善库存周转和综合毛利率</x:v>
      </x:c>
      <x:c r="H177" s="64" t="str">
        <x:v>DOC-EVT-603986-00423</x:v>
      </x:c>
      <x:c r="I177" s="51" t="str">
        <x:v>兆易创新关于召开2025年度业绩说明会的公告</x:v>
      </x:c>
      <x:c r="J177" s="87" t="n">
        <x:v>46112</x:v>
      </x:c>
      <x:c r="K177" s="73" t="str">
        <x:v>http://static.cninfo.com.cn/finalpage/2026-03-31/1225061295.PDF</x:v>
      </x:c>
      <x:c r="L177" s="40" t="str">
        <x:v>第1页</x:v>
      </x:c>
      <x:c r="M177" s="51" t="str">
        <x:v>1 证券代码：603986 证券简称：兆易创新 公告编号：2026-028 兆易创新科技集团股份有限公司 关于召开 2025 年年度业绩说明会的公告 本公司董事会及全体董事保证本公告内容不存在任何虚假记载、误导性陈述 或者重大遗漏，并对其内容的真实性、准确性和完整性承担法律责任。 重要内容提示： ● 会议召开时间：2026 年 4 月 15 日（星期三）15:00-16:30 ● 会 议 召 开 地 点 ： 上 海 证 券 交 易 所 上 证 路 演 中 心 （ 网 址 ： https://roadshow.sseinfo.com/） ● 会议召开方式：上证路演中心视频直播和网络互动 ● 投资者可于 2026 年 4 月 8 日（星期三）至 4 月 14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3 月 31 日发布公司 2025 年年度报告，为便于广大投资者更全面深入地了解公司 2025 年年度经营成果、财务状况，公司计划于 2026 年 4 月 15 日15:00-16:30 举行 2025 年年度业绩说明会，就投资者关心的问题进行交流。 一、说明会类型 本次投资者说明会以视频结合网络互动形式召开，公司将针对 2025 年…</x:v>
      </x:c>
      <x:c r="N177" s="41" t="str">
        <x:v>0-无关</x:v>
      </x:c>
      <x:c r="O177" s="41" t="str">
        <x:v>否</x:v>
      </x:c>
      <x:c r="P177" s="57" t="str">
        <x:v>公告仅安排年度业绩说明会；内容与存储景气与盈利缺少业务传导，未提供存储价格、库存周转和综合毛利率，不能支持当前判断。</x:v>
      </x:c>
      <x:c r="Q177" s="41" t="str">
        <x:v>B-CODEX-FIN-01</x:v>
      </x:c>
      <x:c r="R177" s="80" t="inlineStr">
        <x:is>
          <x:t>2026-08-30T13:30:00+08:00</x:t>
        </x:is>
      </x:c>
    </x:row>
    <x:row r="178" ht="72" customHeight="1">
      <x:c r="A178" s="64" t="str">
        <x:v>V6-R-Q018-C06</x:v>
      </x:c>
      <x:c r="B178" s="64" t="str">
        <x:v>V6-E-603986-C06</x:v>
      </x:c>
      <x:c r="C178" s="64" t="str">
        <x:v>V6-Q018</x:v>
      </x:c>
      <x:c r="D178" s="40" t="str">
        <x:v>兆易创新</x:v>
      </x:c>
      <x:c r="E178" s="64" t="str">
        <x:v>603986</x:v>
      </x:c>
      <x:c r="F178" s="87" t="n">
        <x:v>46260.75</x:v>
      </x:c>
      <x:c r="G178" s="51" t="str">
        <x:v>存储产品价格回升能否改善库存周转和综合毛利率</x:v>
      </x:c>
      <x:c r="H178" s="64" t="str">
        <x:v>DOC-EVT-603986-00243</x:v>
      </x:c>
      <x:c r="I178" s="51" t="str">
        <x:v>兆易创新关于2025年度开展外汇衍生品交易业务的可行性分析报告</x:v>
      </x:c>
      <x:c r="J178" s="87" t="n">
        <x:v>45773</x:v>
      </x:c>
      <x:c r="K178" s="73" t="str">
        <x:v>http://static.cninfo.com.cn/finalpage/2025-04-26/1223305096.PDF</x:v>
      </x:c>
      <x:c r="L178" s="40" t="str">
        <x:v>第1页</x:v>
      </x:c>
      <x:c r="M178" s="51" t="str">
        <x:v>1 兆易创新科技集团股份有限公司 关于2025 年度开展外汇衍生品交易业务的可行性分 析报告 一、开展外汇衍生品交易业务的背景 为规避外汇市场风险，防范汇率大幅波动带来的不良影响，公司及纳入合并 报表范围的下属子公司根据实际需要，拟与银行等金融机构开展总额不超过 3 亿美元或其他等值外币的外汇衍生品交易业务。 二、开展外汇衍生品交易业务的基本情况 （一）交易目的 公司境外销售业务占比较大，外销业务主要采用美元结算，当汇率出现大幅 波动时，汇兑损益对公司的经营业绩会造成一定影响。为规避公司所面临的汇率 风险，防范汇率大幅波动对公司造成不良影响，增强公司财务稳健性，公司及下 属子公司拟开展外汇衍生品交易业务。 公司外汇衍生品交易均以生产经营为基础，以套期保值为目的开展，不进行 单纯以盈利为目的的投机和套利交易，不会影响公司主营业务发展。 （二）交易金额 2025年度，公司及子公司拟进行外汇衍生品交易业务的交易金额累计不超过 3亿美元或其他等值外币，自公司第五届董事会第二次会议审议通过之日起12个 月内有效，开展期限内任一时点的交易金额（含使用前述交易的收益进行交易的 相关金额）不应超过已审议额度。预计2025年度任一交易日持有的最高合约价值 不超过3亿美元或其他等值外币。 （三）资金来源 公司自有资金，不存在使用募集资金开展外汇衍生品交易的情形。</x:v>
      </x:c>
      <x:c r="N178" s="41" t="str">
        <x:v>1-弱相关</x:v>
      </x:c>
      <x:c r="O178" s="41" t="str">
        <x:v>否</x:v>
      </x:c>
      <x:c r="P178" s="57" t="str">
        <x:v>报告披露境外销售、汇率风险及3亿美元套保安排；虽与存储景气与盈利主题相近，但未提供存储价格、库存周转和综合毛利率，不足以建立可靠传导链。</x:v>
      </x:c>
      <x:c r="Q178" s="41" t="str">
        <x:v>B-CODEX-FIN-01</x:v>
      </x:c>
      <x:c r="R178" s="80" t="inlineStr">
        <x:is>
          <x:t>2026-08-30T13:30:00+08:00</x:t>
        </x:is>
      </x:c>
    </x:row>
    <x:row r="179" ht="72" customHeight="1">
      <x:c r="A179" s="64" t="str">
        <x:v>V6-R-Q018-C02</x:v>
      </x:c>
      <x:c r="B179" s="64" t="str">
        <x:v>V6-E-603986-C02</x:v>
      </x:c>
      <x:c r="C179" s="64" t="str">
        <x:v>V6-Q018</x:v>
      </x:c>
      <x:c r="D179" s="40" t="str">
        <x:v>兆易创新</x:v>
      </x:c>
      <x:c r="E179" s="64" t="str">
        <x:v>603986</x:v>
      </x:c>
      <x:c r="F179" s="87" t="n">
        <x:v>46260.75</x:v>
      </x:c>
      <x:c r="G179" s="51" t="str">
        <x:v>存储产品价格回升能否改善库存周转和综合毛利率</x:v>
      </x:c>
      <x:c r="H179" s="64" t="str">
        <x:v>DOC-EVT-603986-00256</x:v>
      </x:c>
      <x:c r="I179" s="51" t="str">
        <x:v>兆易创新2025年第一季度报告</x:v>
      </x:c>
      <x:c r="J179" s="87" t="n">
        <x:v>45773</x:v>
      </x:c>
      <x:c r="K179" s="73" t="str">
        <x:v>http://static.cninfo.com.cn/finalpage/2025-04-26/1223305114.PDF</x:v>
      </x:c>
      <x:c r="L179" s="40" t="str">
        <x:v>第7页</x:v>
      </x:c>
      <x:c r="M179" s="51" t="str">
        <x:v>兆易创新科技集团股份有限公司2025 年第一季度报告 7 / 11 流动负债合计 2,264,230,735.65 2,330,507,205.07 非流动负债： 保险合同准备金 长期借款 应付债券 其中：优先股 永续债 租赁负债 60,994,726.72 48,022,892.87 长期应付款 长期应付职工薪酬 预计负债 递延收益 52,886,833.76 49,732,416.95 递延所得税负债 104,109,604.29 119,791,412.46 其他非流动负债 2,000,000.00 2,000,000.00 非流动负债合计 219,991,164.77 219,546,722.28 负债合计 2,484,221,900.42 2,550,053,927.35 所有者权益（或股东权益）： 实收资本（或股本） 664,059,190.00 664,124,105.00 其他权益工具 其中：优先股 永续债 资本公积 8,362,345,974.50 8,321,828,404.11 减：库存股 239,389,922.02 244,847,690.59 其他综合收益 597,743,223.72 627,257,556.21 专项储备 盈余公积 333,733,551.00 333,733,551.00 一般风险准备 未分配利润 7,077,643,228.65 6,796,411,913.24 归属于母公司所有者权益（或股 东权益）合计 16,796,1…</x:v>
      </x:c>
      <x:c r="N179" s="41" t="str">
        <x:v>1-弱相关</x:v>
      </x:c>
      <x:c r="O179" s="41" t="str">
        <x:v>否</x:v>
      </x:c>
      <x:c r="P179" s="57" t="str">
        <x:v>一季报披露负债、权益、留存利润和现金相关资产负债数据；虽与存储景气与盈利主题相近，但未提供存储价格、库存周转和综合毛利率，不足以建立可靠传导链。</x:v>
      </x:c>
      <x:c r="Q179" s="41" t="str">
        <x:v>B-CODEX-FIN-01</x:v>
      </x:c>
      <x:c r="R179" s="80" t="inlineStr">
        <x:is>
          <x:t>2026-08-30T13:30:00+08:00</x:t>
        </x:is>
      </x:c>
    </x:row>
    <x:row r="180" ht="72" customHeight="1">
      <x:c r="A180" s="64" t="str">
        <x:v>V6-R-Q018-C04</x:v>
      </x:c>
      <x:c r="B180" s="64" t="str">
        <x:v>V6-E-603986-C04</x:v>
      </x:c>
      <x:c r="C180" s="64" t="str">
        <x:v>V6-Q018</x:v>
      </x:c>
      <x:c r="D180" s="40" t="str">
        <x:v>兆易创新</x:v>
      </x:c>
      <x:c r="E180" s="64" t="str">
        <x:v>603986</x:v>
      </x:c>
      <x:c r="F180" s="87" t="n">
        <x:v>46260.75</x:v>
      </x:c>
      <x:c r="G180" s="51" t="str">
        <x:v>存储产品价格回升能否改善库存周转和综合毛利率</x:v>
      </x:c>
      <x:c r="H180" s="64" t="str">
        <x:v>DOC-EVT-603986-00324</x:v>
      </x:c>
      <x:c r="I180" s="51" t="str">
        <x:v>兆易创新独立董事工作制度</x:v>
      </x:c>
      <x:c r="J180" s="87" t="n">
        <x:v>45798</x:v>
      </x:c>
      <x:c r="K180" s="73" t="str">
        <x:v>http://static.cninfo.com.cn/finalpage/2025-05-21/1223606646.PDF</x:v>
      </x:c>
      <x:c r="L180" s="40" t="str">
        <x:v>第1页</x:v>
      </x:c>
      <x:c r="M180" s="51" t="str">
        <x:v>1 兆易创新科技集团股份有限公司 独立董事工作制度 第一条 为进一步完善公司的法人治理结构及公司董事会结构，强化对内部董事及经理层的 约束和激励机制，保护中小股东及利益相关者的利益，促进公司的规范运作，根据 《中华人民共和国公司法》《上市公司独立董事管理办法》《上海证券交易所上市 公司自律监管指引第1号——规范运作》以及《兆易创新科技集团股份有限公司章 程》（下称《公司章程》）及其他有关法律法规及规范性文件的规定，制定本工作 制度（下称本制度）。 第二条 公司独立董事是指不在公司担任除董事外的其他职务，并与公司及主要股东、实际 控制人不存在直接或者间接利害关系，或者其他可能影响其进行独立客观判断关系 的董事。 第三条 独立董事对公司及全体股东负有诚信与勤勉义务。独立董事应当按照相关法律法 规、中国证监会、证券交易所、《公司章程》和本制度的要求，认真履行职责，在 董事会中发挥参与决策、监督制衡、专业咨询作用，维护公司整体利益，尤其要关 注中小股东的合法权益不受损害。 第四条 独立董事应当独立履行职责，不受公司主要股东、实际控制人或者其他与公司存在 利害关系的单位或个人的影响。 第五条 独立董事原则上最多在3家境内上市公司兼任独立董事，并确保有足够的时间和精 力有效地履行独立董事的职责。 第六条 公司董事会成员中独立董事占董事会成员的比例不得低于三分之一，独立董事中至 少包括一名会计专业人士。 公司董事会下设薪酬与考核、审计、提名和战略与可持续发展委员会，独立董事应 当在审计委…</x:v>
      </x:c>
      <x:c r="N180" s="41" t="str">
        <x:v>0-无关</x:v>
      </x:c>
      <x:c r="O180" s="41" t="str">
        <x:v>否</x:v>
      </x:c>
      <x:c r="P180" s="57" t="str">
        <x:v>文件仅规定独立董事治理和履职机制；内容与存储景气与盈利缺少业务传导，未提供存储价格、库存周转和综合毛利率，不能支持当前判断。</x:v>
      </x:c>
      <x:c r="Q180" s="41" t="str">
        <x:v>B-CODEX-FIN-01</x:v>
      </x:c>
      <x:c r="R180" s="80" t="inlineStr">
        <x:is>
          <x:t>2026-08-30T13:30:00+08:00</x:t>
        </x:is>
      </x:c>
    </x:row>
    <x:row r="181" ht="72" customHeight="1">
      <x:c r="A181" s="64" t="str">
        <x:v>V6-R-Q018-C08</x:v>
      </x:c>
      <x:c r="B181" s="64" t="str">
        <x:v>V6-E-603986-C08</x:v>
      </x:c>
      <x:c r="C181" s="64" t="str">
        <x:v>V6-Q018</x:v>
      </x:c>
      <x:c r="D181" s="40" t="str">
        <x:v>兆易创新</x:v>
      </x:c>
      <x:c r="E181" s="64" t="str">
        <x:v>603986</x:v>
      </x:c>
      <x:c r="F181" s="87" t="n">
        <x:v>46260.75</x:v>
      </x:c>
      <x:c r="G181" s="51" t="str">
        <x:v>存储产品价格回升能否改善库存周转和综合毛利率</x:v>
      </x:c>
      <x:c r="H181" s="64" t="str">
        <x:v>DOC-EVT-603986-00170</x:v>
      </x:c>
      <x:c r="I181" s="51" t="str">
        <x:v>兆易创新关于召开2024年第三季度业绩说明会的公告</x:v>
      </x:c>
      <x:c r="J181" s="87" t="n">
        <x:v>45591</x:v>
      </x:c>
      <x:c r="K181" s="73" t="str">
        <x:v>http://static.cninfo.com.cn/finalpage/2024-10-26/1221525469.PDF</x:v>
      </x:c>
      <x:c r="L181" s="40" t="str">
        <x:v>第1页</x:v>
      </x:c>
      <x:c r="M181" s="51" t="str">
        <x:v>证券代码：603986 证券简称：兆易创新 公告编号：2024-098 兆易创新科技集团股份有限公司 关于召开 2024 年第三季度业绩说明会的公告 本公司董事会及全体董事保证本公告内容不存在任何虚假记载、 误导性陈述 或者重大遗漏，并对其内容的真实性、准确性和完整性承担法律责任。 重要内容提示： ● 会议召开时间：2024 年 11 月 6 日(星期三) 下午 13:00-14:00 ● 会 议 召 开 地 点： 上 海 证 券 交 易 所 上 证 路 演 中 心（ 网址 ： https://roadshow.sseinfo.com/） ● 会议召开方式：上证路演中心网络互动 ● 投资者可于 2024 年 10 月 30 日(星期三) 至 11 月 5 日(星期二)16:00 前登录上 证 路 演 中 心 网 站 首 页 点 击“ 提 问 预 征 集” 栏 目 或 通 过 公 司 邮 箱 investor@gigadevice.com 进行提问。公司将在说明会上对投资者普遍关注的问题 进行回答。 兆易创新科技集团股份有限公司（以下简称“公司”） 已于2024 年 10 月 26 日发布公司 2024 年第三季度报告，为便于广大投资者更全面深入地了解公司 2024 年第三季度经营成果、财务状况，公司计划于2024 年 11 月 6 日下午 13:00- 14:00 举行 2024 年第三季度业绩说明会，就投资者关心的问题进行交流。 一、说明会类型 本次投资者说明会以网络互动…</x:v>
      </x:c>
      <x:c r="N181" s="41" t="str">
        <x:v>0-无关</x:v>
      </x:c>
      <x:c r="O181" s="41" t="str">
        <x:v>否</x:v>
      </x:c>
      <x:c r="P181" s="57" t="str">
        <x:v>公告仅安排季度业绩说明会；内容与存储景气与盈利缺少业务传导，未提供存储价格、库存周转和综合毛利率，不能支持当前判断。</x:v>
      </x:c>
      <x:c r="Q181" s="41" t="str">
        <x:v>B-CODEX-FIN-01</x:v>
      </x:c>
      <x:c r="R181" s="80" t="inlineStr">
        <x:is>
          <x:t>2026-08-30T13:30:00+08:00</x:t>
        </x:is>
      </x:c>
    </x:row>
    <x:row r="182" ht="72" customHeight="1">
      <x:c r="A182" s="64" t="str">
        <x:v>V6-R-Q019-C05</x:v>
      </x:c>
      <x:c r="B182" s="64" t="str">
        <x:v>V6-E-603986-C05</x:v>
      </x:c>
      <x:c r="C182" s="64" t="str">
        <x:v>V6-Q019</x:v>
      </x:c>
      <x:c r="D182" s="40" t="str">
        <x:v>兆易创新</x:v>
      </x:c>
      <x:c r="E182" s="64" t="str">
        <x:v>603986</x:v>
      </x:c>
      <x:c r="F182" s="87" t="n">
        <x:v>46260.75</x:v>
      </x:c>
      <x:c r="G182" s="51" t="str">
        <x:v>高强度研发投入能否扩大MCU与存储产品的收入协同</x:v>
      </x:c>
      <x:c r="H182" s="64" t="str">
        <x:v>DOC-EVT-603986-00098</x:v>
      </x:c>
      <x:c r="I182" s="51" t="str">
        <x:v>兆易创新关于2023年年度股东大会增加临时提案的公告</x:v>
      </x:c>
      <x:c r="J182" s="87" t="n">
        <x:v>45406</x:v>
      </x:c>
      <x:c r="K182" s="73" t="str">
        <x:v>http://static.cninfo.com.cn/finalpage/2024-04-24/1219762603.PDF</x:v>
      </x:c>
      <x:c r="L182" s="40" t="str">
        <x:v>第1页</x:v>
      </x:c>
      <x:c r="M182" s="51" t="str">
        <x:v>1 证券代码：603986 证券简称：兆易创新 公告编号：2024-047 兆易创新科技集团股份有限公司 关于 2023 年年度股东大会增加临时提案的公告 本公司董事会及全体董事保证本公告内容不存在任何虚假记载、 误导性陈述 或者重大遗漏，并对其内容的真实性、准确性和完整性承担法律责任。 一、股东大会有关情况 1. 股东大会的类型和届次： 2023 年年度股东大会 2. 股东大会召开日期：2024 年 5 月 14 日 3. 股权登记日 股份类别 股票代码 股票简称 股权登记日 Ａ股 603986 兆易创新 2024/5/7 二、增加临时提案的情况说明 1. 提案人：朱一明 2. 提案程序说明 公司已于 2024 年 4 月 20 日公告了股东大会召开通知，单独持有6.86%股份 的股东朱一明，在 2024 年 4 月 23 日提出临时提案并书面提交股东大会召集人。 股东大会召集人按照《上市公司股东大会规则》有关规定，现予以公告。 3. 临时提案的具体内容 2024 年 4 月 23 日，公司召开第四届董事会第十九次会议审议通过《关于拟 变更部分回购股份用途并注销的议案》，基于对未来发展前景的信心和对公司长 期价值的高度认同，为切实维护广大投资者利益、增强投资者信心、提高长期投 资价值，公司拟变更部分已回购股份的用途，对于公司 2023 年实施回购的其中</x:v>
      </x:c>
      <x:c r="N182" s="41" t="str">
        <x:v>0-无关</x:v>
      </x:c>
      <x:c r="O182" s="41" t="str">
        <x:v>否</x:v>
      </x:c>
      <x:c r="P182" s="57" t="str">
        <x:v>公告涉及变更既有回购股份用途并注销；内容与研发投入和产品协同缺少业务传导，未提供研发投入与MCU、存储产品交叉销售和收入协同，不能支持当前判断。</x:v>
      </x:c>
      <x:c r="Q182" s="41" t="str">
        <x:v>B-CODEX-FIN-01</x:v>
      </x:c>
      <x:c r="R182" s="80" t="inlineStr">
        <x:is>
          <x:t>2026-08-30T13:30:00+08:00</x:t>
        </x:is>
      </x:c>
    </x:row>
    <x:row r="183" ht="72" customHeight="1">
      <x:c r="A183" s="64" t="str">
        <x:v>V6-R-Q019-C08</x:v>
      </x:c>
      <x:c r="B183" s="64" t="str">
        <x:v>V6-E-603986-C08</x:v>
      </x:c>
      <x:c r="C183" s="64" t="str">
        <x:v>V6-Q019</x:v>
      </x:c>
      <x:c r="D183" s="40" t="str">
        <x:v>兆易创新</x:v>
      </x:c>
      <x:c r="E183" s="64" t="str">
        <x:v>603986</x:v>
      </x:c>
      <x:c r="F183" s="87" t="n">
        <x:v>46260.75</x:v>
      </x:c>
      <x:c r="G183" s="51" t="str">
        <x:v>高强度研发投入能否扩大MCU与存储产品的收入协同</x:v>
      </x:c>
      <x:c r="H183" s="64" t="str">
        <x:v>DOC-EVT-603986-00170</x:v>
      </x:c>
      <x:c r="I183" s="51" t="str">
        <x:v>兆易创新关于召开2024年第三季度业绩说明会的公告</x:v>
      </x:c>
      <x:c r="J183" s="87" t="n">
        <x:v>45591</x:v>
      </x:c>
      <x:c r="K183" s="73" t="str">
        <x:v>http://static.cninfo.com.cn/finalpage/2024-10-26/1221525469.PDF</x:v>
      </x:c>
      <x:c r="L183" s="40" t="str">
        <x:v>第1页</x:v>
      </x:c>
      <x:c r="M183" s="51" t="str">
        <x:v>证券代码：603986 证券简称：兆易创新 公告编号：2024-098 兆易创新科技集团股份有限公司 关于召开 2024 年第三季度业绩说明会的公告 本公司董事会及全体董事保证本公告内容不存在任何虚假记载、 误导性陈述 或者重大遗漏，并对其内容的真实性、准确性和完整性承担法律责任。 重要内容提示： ● 会议召开时间：2024 年 11 月 6 日(星期三) 下午 13:00-14:00 ● 会 议 召 开 地 点： 上 海 证 券 交 易 所 上 证 路 演 中 心（ 网址 ： https://roadshow.sseinfo.com/） ● 会议召开方式：上证路演中心网络互动 ● 投资者可于 2024 年 10 月 30 日(星期三) 至 11 月 5 日(星期二)16:00 前登录上 证 路 演 中 心 网 站 首 页 点 击“ 提 问 预 征 集” 栏 目 或 通 过 公 司 邮 箱 investor@gigadevice.com 进行提问。公司将在说明会上对投资者普遍关注的问题 进行回答。 兆易创新科技集团股份有限公司（以下简称“公司”） 已于2024 年 10 月 26 日发布公司 2024 年第三季度报告，为便于广大投资者更全面深入地了解公司 2024 年第三季度经营成果、财务状况，公司计划于2024 年 11 月 6 日下午 13:00- 14:00 举行 2024 年第三季度业绩说明会，就投资者关心的问题进行交流。 一、说明会类型 本次投资者说明会以网络互动…</x:v>
      </x:c>
      <x:c r="N183" s="41" t="str">
        <x:v>0-无关</x:v>
      </x:c>
      <x:c r="O183" s="41" t="str">
        <x:v>否</x:v>
      </x:c>
      <x:c r="P183" s="57" t="str">
        <x:v>公告仅安排季度业绩说明会；内容与研发投入和产品协同缺少业务传导，未提供研发投入与MCU、存储产品交叉销售和收入协同，不能支持当前判断。</x:v>
      </x:c>
      <x:c r="Q183" s="41" t="str">
        <x:v>B-CODEX-FIN-01</x:v>
      </x:c>
      <x:c r="R183" s="80" t="inlineStr">
        <x:is>
          <x:t>2026-08-30T13:30:00+08:00</x:t>
        </x:is>
      </x:c>
    </x:row>
    <x:row r="184" ht="72" customHeight="1">
      <x:c r="A184" s="64" t="str">
        <x:v>V6-R-Q019-C10</x:v>
      </x:c>
      <x:c r="B184" s="64" t="str">
        <x:v>V6-E-603986-C10</x:v>
      </x:c>
      <x:c r="C184" s="64" t="str">
        <x:v>V6-Q019</x:v>
      </x:c>
      <x:c r="D184" s="40" t="str">
        <x:v>兆易创新</x:v>
      </x:c>
      <x:c r="E184" s="64" t="str">
        <x:v>603986</x:v>
      </x:c>
      <x:c r="F184" s="87" t="n">
        <x:v>46260.75</x:v>
      </x:c>
      <x:c r="G184" s="51" t="str">
        <x:v>高强度研发投入能否扩大MCU与存储产品的收入协同</x:v>
      </x:c>
      <x:c r="H184" s="64" t="str">
        <x:v>DOC-EVT-603986-00508</x:v>
      </x:c>
      <x:c r="I184" s="51" t="str">
        <x:v>兆易创新第五届董事会第十四次会议决议公告</x:v>
      </x:c>
      <x:c r="J184" s="87" t="n">
        <x:v>46235</x:v>
      </x:c>
      <x:c r="K184" s="73" t="str">
        <x:v>http://static.cninfo.com.cn/finalpage/2026-08-01/1225450991.PDF</x:v>
      </x:c>
      <x:c r="L184" s="40" t="str">
        <x:v>第1页</x:v>
      </x:c>
      <x:c r="M184" s="51" t="str">
        <x:v>1 证券代码：603986 证券简称：兆易创新 公告编号：2026-066 兆易创新科技集团股份有限公司 第五届董事会第十四次会议决议公告 本公司董事会及全体董事保证本公告内容不存在任何虚假记载、误导性陈 述或者重大遗漏，并对其内容的真实性、准确性和完整性承担法律责任。 兆易创新科技集团股份有限公司（以下简称“公司”）第五届董事会第十四次会 议于 2026 年 7 月 31 日以现场结合通讯方式召开。本次会议由董事长朱一明先生主 持，会议应出席董事 9 名，实际出席董事 9 名；公司全体高级管理人员列席了本次 会议。本次会议的召集和召开程序符合《中华人民共和国公司法》等有关法律、行 政法规、部门规章、规范性文件及《公司章程》的相关规定。 经与会董事认真审议，以记名投票表决方式一致通过以下议案： 一、关于以集中竞价交易方式回购公司 A 股股份方案的议案 本议案具体内容请详见同日刊登在《上海证券报》《证券时报》及上海证券交易 所网站（http://www.sse.com.cn）上的《兆易创新关于以集中竞价交易方式回购公司 A股股份方案的公告》（公告编号：2026-067）。 表决结果：9票同意、0票反对、0票弃权。 本议案尚需提交公司股东会审议。 二、关于召开 2026 年第二次临时股东会的议案 公司董事会同意于2026年8月20日召开公司2026年第二次临时股东会，将本次会 议审议通过的议案一提交公司股东会审议。本议案具体内容请详见公司后续另行发 出的股东会通知。 表决结果：…</x:v>
      </x:c>
      <x:c r="N184" s="41" t="str">
        <x:v>0-无关</x:v>
      </x:c>
      <x:c r="O184" s="41" t="str">
        <x:v>否</x:v>
      </x:c>
      <x:c r="P184" s="57" t="str">
        <x:v>董事会决议通过股份回购方案并提交股东会；内容与研发投入和产品协同缺少业务传导，未提供研发投入与MCU、存储产品交叉销售和收入协同，不能支持当前判断。</x:v>
      </x:c>
      <x:c r="Q184" s="41" t="str">
        <x:v>B-CODEX-FIN-01</x:v>
      </x:c>
      <x:c r="R184" s="80" t="inlineStr">
        <x:is>
          <x:t>2026-08-30T13:30:00+08:00</x:t>
        </x:is>
      </x:c>
    </x:row>
    <x:row r="185" ht="72" customHeight="1">
      <x:c r="A185" s="64" t="str">
        <x:v>V6-R-Q019-C07</x:v>
      </x:c>
      <x:c r="B185" s="64" t="str">
        <x:v>V6-E-603986-C07</x:v>
      </x:c>
      <x:c r="C185" s="64" t="str">
        <x:v>V6-Q019</x:v>
      </x:c>
      <x:c r="D185" s="40" t="str">
        <x:v>兆易创新</x:v>
      </x:c>
      <x:c r="E185" s="64" t="str">
        <x:v>603986</x:v>
      </x:c>
      <x:c r="F185" s="87" t="n">
        <x:v>46260.75</x:v>
      </x:c>
      <x:c r="G185" s="51" t="str">
        <x:v>高强度研发投入能否扩大MCU与存储产品的收入协同</x:v>
      </x:c>
      <x:c r="H185" s="64" t="str">
        <x:v>DOC-EVT-603986-00423</x:v>
      </x:c>
      <x:c r="I185" s="51" t="str">
        <x:v>兆易创新关于召开2025年度业绩说明会的公告</x:v>
      </x:c>
      <x:c r="J185" s="87" t="n">
        <x:v>46112</x:v>
      </x:c>
      <x:c r="K185" s="73" t="str">
        <x:v>http://static.cninfo.com.cn/finalpage/2026-03-31/1225061295.PDF</x:v>
      </x:c>
      <x:c r="L185" s="40" t="str">
        <x:v>第1页</x:v>
      </x:c>
      <x:c r="M185" s="51" t="str">
        <x:v>1 证券代码：603986 证券简称：兆易创新 公告编号：2026-028 兆易创新科技集团股份有限公司 关于召开 2025 年年度业绩说明会的公告 本公司董事会及全体董事保证本公告内容不存在任何虚假记载、误导性陈述 或者重大遗漏，并对其内容的真实性、准确性和完整性承担法律责任。 重要内容提示： ● 会议召开时间：2026 年 4 月 15 日（星期三）15:00-16:30 ● 会 议 召 开 地 点 ： 上 海 证 券 交 易 所 上 证 路 演 中 心 （ 网 址 ： https://roadshow.sseinfo.com/） ● 会议召开方式：上证路演中心视频直播和网络互动 ● 投资者可于 2026 年 4 月 8 日（星期三）至 4 月 14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3 月 31 日发布公司 2025 年年度报告，为便于广大投资者更全面深入地了解公司 2025 年年度经营成果、财务状况，公司计划于 2026 年 4 月 15 日15:00-16:30 举行 2025 年年度业绩说明会，就投资者关心的问题进行交流。 一、说明会类型 本次投资者说明会以视频结合网络互动形式召开，公司将针对 2025 年…</x:v>
      </x:c>
      <x:c r="N185" s="41" t="str">
        <x:v>0-无关</x:v>
      </x:c>
      <x:c r="O185" s="41" t="str">
        <x:v>否</x:v>
      </x:c>
      <x:c r="P185" s="57" t="str">
        <x:v>公告仅安排年度业绩说明会；内容与研发投入和产品协同缺少业务传导，未提供研发投入与MCU、存储产品交叉销售和收入协同，不能支持当前判断。</x:v>
      </x:c>
      <x:c r="Q185" s="41" t="str">
        <x:v>B-CODEX-FIN-01</x:v>
      </x:c>
      <x:c r="R185" s="80" t="inlineStr">
        <x:is>
          <x:t>2026-08-30T13:30:00+08:00</x:t>
        </x:is>
      </x:c>
    </x:row>
    <x:row r="186" ht="72" customHeight="1">
      <x:c r="A186" s="64" t="str">
        <x:v>V6-R-Q019-C04</x:v>
      </x:c>
      <x:c r="B186" s="64" t="str">
        <x:v>V6-E-603986-C04</x:v>
      </x:c>
      <x:c r="C186" s="64" t="str">
        <x:v>V6-Q019</x:v>
      </x:c>
      <x:c r="D186" s="40" t="str">
        <x:v>兆易创新</x:v>
      </x:c>
      <x:c r="E186" s="64" t="str">
        <x:v>603986</x:v>
      </x:c>
      <x:c r="F186" s="87" t="n">
        <x:v>46260.75</x:v>
      </x:c>
      <x:c r="G186" s="51" t="str">
        <x:v>高强度研发投入能否扩大MCU与存储产品的收入协同</x:v>
      </x:c>
      <x:c r="H186" s="64" t="str">
        <x:v>DOC-EVT-603986-00324</x:v>
      </x:c>
      <x:c r="I186" s="51" t="str">
        <x:v>兆易创新独立董事工作制度</x:v>
      </x:c>
      <x:c r="J186" s="87" t="n">
        <x:v>45798</x:v>
      </x:c>
      <x:c r="K186" s="73" t="str">
        <x:v>http://static.cninfo.com.cn/finalpage/2025-05-21/1223606646.PDF</x:v>
      </x:c>
      <x:c r="L186" s="40" t="str">
        <x:v>第1页</x:v>
      </x:c>
      <x:c r="M186" s="51" t="str">
        <x:v>1 兆易创新科技集团股份有限公司 独立董事工作制度 第一条 为进一步完善公司的法人治理结构及公司董事会结构，强化对内部董事及经理层的 约束和激励机制，保护中小股东及利益相关者的利益，促进公司的规范运作，根据 《中华人民共和国公司法》《上市公司独立董事管理办法》《上海证券交易所上市 公司自律监管指引第1号——规范运作》以及《兆易创新科技集团股份有限公司章 程》（下称《公司章程》）及其他有关法律法规及规范性文件的规定，制定本工作 制度（下称本制度）。 第二条 公司独立董事是指不在公司担任除董事外的其他职务，并与公司及主要股东、实际 控制人不存在直接或者间接利害关系，或者其他可能影响其进行独立客观判断关系 的董事。 第三条 独立董事对公司及全体股东负有诚信与勤勉义务。独立董事应当按照相关法律法 规、中国证监会、证券交易所、《公司章程》和本制度的要求，认真履行职责，在 董事会中发挥参与决策、监督制衡、专业咨询作用，维护公司整体利益，尤其要关 注中小股东的合法权益不受损害。 第四条 独立董事应当独立履行职责，不受公司主要股东、实际控制人或者其他与公司存在 利害关系的单位或个人的影响。 第五条 独立董事原则上最多在3家境内上市公司兼任独立董事，并确保有足够的时间和精 力有效地履行独立董事的职责。 第六条 公司董事会成员中独立董事占董事会成员的比例不得低于三分之一，独立董事中至 少包括一名会计专业人士。 公司董事会下设薪酬与考核、审计、提名和战略与可持续发展委员会，独立董事应 当在审计委…</x:v>
      </x:c>
      <x:c r="N186" s="41" t="str">
        <x:v>0-无关</x:v>
      </x:c>
      <x:c r="O186" s="41" t="str">
        <x:v>否</x:v>
      </x:c>
      <x:c r="P186" s="57" t="str">
        <x:v>文件仅规定独立董事治理和履职机制；内容与研发投入和产品协同缺少业务传导，未提供研发投入与MCU、存储产品交叉销售和收入协同，不能支持当前判断。</x:v>
      </x:c>
      <x:c r="Q186" s="41" t="str">
        <x:v>B-CODEX-FIN-01</x:v>
      </x:c>
      <x:c r="R186" s="80" t="inlineStr">
        <x:is>
          <x:t>2026-08-30T13:30:00+08:00</x:t>
        </x:is>
      </x:c>
    </x:row>
    <x:row r="187" ht="72" customHeight="1">
      <x:c r="A187" s="64" t="str">
        <x:v>V6-R-Q019-C06</x:v>
      </x:c>
      <x:c r="B187" s="64" t="str">
        <x:v>V6-E-603986-C06</x:v>
      </x:c>
      <x:c r="C187" s="64" t="str">
        <x:v>V6-Q019</x:v>
      </x:c>
      <x:c r="D187" s="40" t="str">
        <x:v>兆易创新</x:v>
      </x:c>
      <x:c r="E187" s="64" t="str">
        <x:v>603986</x:v>
      </x:c>
      <x:c r="F187" s="87" t="n">
        <x:v>46260.75</x:v>
      </x:c>
      <x:c r="G187" s="51" t="str">
        <x:v>高强度研发投入能否扩大MCU与存储产品的收入协同</x:v>
      </x:c>
      <x:c r="H187" s="64" t="str">
        <x:v>DOC-EVT-603986-00243</x:v>
      </x:c>
      <x:c r="I187" s="51" t="str">
        <x:v>兆易创新关于2025年度开展外汇衍生品交易业务的可行性分析报告</x:v>
      </x:c>
      <x:c r="J187" s="87" t="n">
        <x:v>45773</x:v>
      </x:c>
      <x:c r="K187" s="73" t="str">
        <x:v>http://static.cninfo.com.cn/finalpage/2025-04-26/1223305096.PDF</x:v>
      </x:c>
      <x:c r="L187" s="40" t="str">
        <x:v>第1页</x:v>
      </x:c>
      <x:c r="M187" s="51" t="str">
        <x:v>1 兆易创新科技集团股份有限公司 关于2025 年度开展外汇衍生品交易业务的可行性分 析报告 一、开展外汇衍生品交易业务的背景 为规避外汇市场风险，防范汇率大幅波动带来的不良影响，公司及纳入合并 报表范围的下属子公司根据实际需要，拟与银行等金融机构开展总额不超过 3 亿美元或其他等值外币的外汇衍生品交易业务。 二、开展外汇衍生品交易业务的基本情况 （一）交易目的 公司境外销售业务占比较大，外销业务主要采用美元结算，当汇率出现大幅 波动时，汇兑损益对公司的经营业绩会造成一定影响。为规避公司所面临的汇率 风险，防范汇率大幅波动对公司造成不良影响，增强公司财务稳健性，公司及下 属子公司拟开展外汇衍生品交易业务。 公司外汇衍生品交易均以生产经营为基础，以套期保值为目的开展，不进行 单纯以盈利为目的的投机和套利交易，不会影响公司主营业务发展。 （二）交易金额 2025年度，公司及子公司拟进行外汇衍生品交易业务的交易金额累计不超过 3亿美元或其他等值外币，自公司第五届董事会第二次会议审议通过之日起12个 月内有效，开展期限内任一时点的交易金额（含使用前述交易的收益进行交易的 相关金额）不应超过已审议额度。预计2025年度任一交易日持有的最高合约价值 不超过3亿美元或其他等值外币。 （三）资金来源 公司自有资金，不存在使用募集资金开展外汇衍生品交易的情形。</x:v>
      </x:c>
      <x:c r="N187" s="41" t="str">
        <x:v>0-无关</x:v>
      </x:c>
      <x:c r="O187" s="41" t="str">
        <x:v>否</x:v>
      </x:c>
      <x:c r="P187" s="57" t="str">
        <x:v>报告披露境外销售、汇率风险及3亿美元套保安排；内容与研发投入和产品协同缺少业务传导，未提供研发投入与MCU、存储产品交叉销售和收入协同，不能支持当前判断。</x:v>
      </x:c>
      <x:c r="Q187" s="41" t="str">
        <x:v>B-CODEX-FIN-01</x:v>
      </x:c>
      <x:c r="R187" s="80" t="inlineStr">
        <x:is>
          <x:t>2026-08-30T13:30:00+08:00</x:t>
        </x:is>
      </x:c>
    </x:row>
    <x:row r="188" ht="72" customHeight="1">
      <x:c r="A188" s="64" t="str">
        <x:v>V6-R-Q019-C09</x:v>
      </x:c>
      <x:c r="B188" s="64" t="str">
        <x:v>V6-E-603986-C09</x:v>
      </x:c>
      <x:c r="C188" s="64" t="str">
        <x:v>V6-Q019</x:v>
      </x:c>
      <x:c r="D188" s="40" t="str">
        <x:v>兆易创新</x:v>
      </x:c>
      <x:c r="E188" s="64" t="str">
        <x:v>603986</x:v>
      </x:c>
      <x:c r="F188" s="87" t="n">
        <x:v>46260.75</x:v>
      </x:c>
      <x:c r="G188" s="51" t="str">
        <x:v>高强度研发投入能否扩大MCU与存储产品的收入协同</x:v>
      </x:c>
      <x:c r="H188" s="64" t="str">
        <x:v>DOC-EVT-603986-00513</x:v>
      </x:c>
      <x:c r="I188" s="51" t="str">
        <x:v>兆易创新关于召开2026年第二次临时股东会的通知</x:v>
      </x:c>
      <x:c r="J188" s="87" t="n">
        <x:v>46237</x:v>
      </x:c>
      <x:c r="K188" s="73" t="str">
        <x:v>http://static.cninfo.com.cn/finalpage/2026-08-03/1225452823.PDF</x:v>
      </x:c>
      <x:c r="L188" s="40" t="str">
        <x:v>第1页</x:v>
      </x:c>
      <x:c r="M188" s="51" t="str">
        <x:v>1 证券代码：603986 证券简称：兆易创新 公告编号：2026-069 兆易创新科技集团股份有限公司 关于召开2026年第二次临时股东会的通知 本公司董事会及全体董事保证本公告内容不存在任何虚假记载、误导性陈述 或者重大遗漏，并对其内容的真实性、准确性和完整性承担法律责任。 重要内容提示：  股东会召开日期：2026年8月20日  本次股东会采用的网络投票系统：上海证券交易所股东会网络投票系统 一、 召开会议的基本情况 (一) 股东会类型和届次 2026年第二次临时股东会 (二) 股东会召集人：董事会 (三) 投票方式：本次股东会所采用的表决方式是现场投票和网络投票相结合的 方式 (四) 现场会议召开的日期、时间和地点 召开的日期时间：2026 年 8 月 20 日 14 点 30 分 召开地点：北京市朝阳区安定路 5 号城奥大厦 6 层会议室 (五) 网络投票的系统、起止日期和投票时间。 网络投票系统：上海证券交易所股东会网络投票系统 网络投票起止时间：自2026 年 8 月 20 日 至2026 年 8 月 20 日 采用上海证券交易所网络投票系统，通过交易系统投票平台的投票时间为股 东会召开当日的交易时间段，即 9:15-9:25，9:30-11:30，13:00-15:00；通过互联 网投票平台的投票时间为股东会召开当日的 9:15-15:00。</x:v>
      </x:c>
      <x:c r="N188" s="41" t="str">
        <x:v>0-无关</x:v>
      </x:c>
      <x:c r="O188" s="41" t="str">
        <x:v>否</x:v>
      </x:c>
      <x:c r="P188" s="57" t="str">
        <x:v>公告仅说明临时股东会安排；内容与研发投入和产品协同缺少业务传导，未提供研发投入与MCU、存储产品交叉销售和收入协同，不能支持当前判断。</x:v>
      </x:c>
      <x:c r="Q188" s="41" t="str">
        <x:v>B-CODEX-FIN-01</x:v>
      </x:c>
      <x:c r="R188" s="80" t="inlineStr">
        <x:is>
          <x:t>2026-08-30T13:30:00+08:00</x:t>
        </x:is>
      </x:c>
    </x:row>
    <x:row r="189" ht="72" customHeight="1">
      <x:c r="A189" s="64" t="str">
        <x:v>V6-R-Q019-C03</x:v>
      </x:c>
      <x:c r="B189" s="64" t="str">
        <x:v>V6-E-603986-C03</x:v>
      </x:c>
      <x:c r="C189" s="64" t="str">
        <x:v>V6-Q019</x:v>
      </x:c>
      <x:c r="D189" s="40" t="str">
        <x:v>兆易创新</x:v>
      </x:c>
      <x:c r="E189" s="64" t="str">
        <x:v>603986</x:v>
      </x:c>
      <x:c r="F189" s="87" t="n">
        <x:v>46260.75</x:v>
      </x:c>
      <x:c r="G189" s="51" t="str">
        <x:v>高强度研发投入能否扩大MCU与存储产品的收入协同</x:v>
      </x:c>
      <x:c r="H189" s="64" t="str">
        <x:v>DOC-EVT-603986-00511</x:v>
      </x:c>
      <x:c r="I189" s="51" t="str">
        <x:v>兆易创新关于以集中竞价交易方式回购公司A股股份方案的公告</x:v>
      </x:c>
      <x:c r="J189" s="87" t="n">
        <x:v>46235</x:v>
      </x:c>
      <x:c r="K189" s="73" t="str">
        <x:v>http://static.cninfo.com.cn/finalpage/2026-08-01/1225450998.PDF</x:v>
      </x:c>
      <x:c r="L189" s="40" t="str">
        <x:v>第1页</x:v>
      </x:c>
      <x:c r="M189" s="51" t="str">
        <x:v>1 证券代码：603986 证券简称：兆易创新 公告编号：2026-067 兆易创新科技集团股份有限公司 关于以集中竞价交易方式回购公司 A 股股份方案的公告 本公司董事会及全体董事保证本公告内容不存在任何虚假记载、误导性陈述或 者重大遗漏，并对其内容的真实性、准确性和完整性依法承担法律责任。 重要内容提示： ● 回购股份金额：不低于人民币 10 亿元（含），不超过人民币 20 亿元（含）； ● 回购股份资金来源：公司自有资金及/或自筹资金； ● 回购股份用途：回购股份将全部用于注销并减少注册资本； ● 回购股份价格：不超过人民币750 元/股（含），该回购价格不超过公司董事会通过本 次回购方案决议前30 个交易日公司股票交易均价的150%； ● 回购股份方式：集中竞价交易方式； ● 回购股份期限：自股东会审议通过本次回购股份方案之日起 6 个月内； ● 相关股东是否存在减持计划：截至本公告披露日，公司控股股东及其一致行动人， 以及公司董事、高级管理人员在未来 3 个月、未来 6 个月内均不存在减持公司股份 计划。如未来有减持公司股份计划的，公司将遵守中国证监会和上海证券交易所关 于股份减持的相关规定，及时履行信息披露义务。 ● 相关风险提示： 1. 本次回购股份方案尚需提交公司股东会审议，如果股东会未能审议通过本方 案，将导致本次回购股份方案无法实施； 2. 存在公司股票价格持续超出回购方案披露的价格上限，导致回购方案无法实 施或者只能部分实施的风险； 3. 本次回购股份…</x:v>
      </x:c>
      <x:c r="N189" s="41" t="str">
        <x:v>0-无关</x:v>
      </x:c>
      <x:c r="O189" s="41" t="str">
        <x:v>否</x:v>
      </x:c>
      <x:c r="P189" s="57" t="str">
        <x:v>回购方案拟以自有或自筹资金投入10亿至20亿元并注销股份；内容与研发投入和产品协同缺少业务传导，未提供研发投入与MCU、存储产品交叉销售和收入协同，不能支持当前判断。</x:v>
      </x:c>
      <x:c r="Q189" s="41" t="str">
        <x:v>B-CODEX-FIN-01</x:v>
      </x:c>
      <x:c r="R189" s="80" t="inlineStr">
        <x:is>
          <x:t>2026-08-30T13:30:00+08:00</x:t>
        </x:is>
      </x:c>
    </x:row>
    <x:row r="190" ht="72" customHeight="1">
      <x:c r="A190" s="64" t="str">
        <x:v>V6-R-Q019-C01</x:v>
      </x:c>
      <x:c r="B190" s="64" t="str">
        <x:v>V6-E-603986-C01</x:v>
      </x:c>
      <x:c r="C190" s="64" t="str">
        <x:v>V6-Q019</x:v>
      </x:c>
      <x:c r="D190" s="40" t="str">
        <x:v>兆易创新</x:v>
      </x:c>
      <x:c r="E190" s="64" t="str">
        <x:v>603986</x:v>
      </x:c>
      <x:c r="F190" s="87" t="n">
        <x:v>46260.75</x:v>
      </x:c>
      <x:c r="G190" s="51" t="str">
        <x:v>高强度研发投入能否扩大MCU与存储产品的收入协同</x:v>
      </x:c>
      <x:c r="H190" s="64" t="str">
        <x:v>DOC-EVT-603986-00248</x:v>
      </x:c>
      <x:c r="I190" s="51" t="str">
        <x:v>兆易创新2024年年度报告</x:v>
      </x:c>
      <x:c r="J190" s="87" t="n">
        <x:v>45773</x:v>
      </x:c>
      <x:c r="K190" s="73" t="str">
        <x:v>http://static.cninfo.com.cn/finalpage/2025-04-26/1223305062.PDF</x:v>
      </x:c>
      <x:c r="L190" s="40" t="str">
        <x:v>第10页</x:v>
      </x:c>
      <x:c r="M190" s="51" t="str">
        <x:v>兆易创新科技集团股份有限公司2024年年度报告 10 /235 第三节 管理层讨论与分析 一、经营情况讨论与分析 2024年，公司继续保持以市场占有率为中心的策略，持续进行研发投入和产品迭代，不断优 化产品成本，丰富产品矩阵，公司多条产品线竞争力不断增强。经历 2023年市场需求低迷和库存 逐步去化后，2024年行业下游市场需求有所回暖，客户增加备货，公司产品在消费、网通、计算 等多个领域均实现收入和销量大幅增长。报告期内，公司经营情况显著改善，同期，相关资产减 值损失同比 2023年大幅下降。2024年，公司实现营业收入 73.56亿元，同比增长 27.69%；归属 于上市公司股东的净利润 11.03亿元，同比增长 584.21%；归属于上市公司股东的扣除非经常性 损益的净利润为 10.30亿元，同比增长 3,660.79%。 现将 2024年公司经营情况总结如下： （一）以市占率为中心，积极开拓市场 2024年度，公司积极寻求市场需求机会，产品出货量创出新高，达到 43.62亿颗，同比增长 39.72%，从而实现营业收入较好增长。 闪存产品方面，公司 NORFlash产品继续在消费、网通、计算、汽车等领域实现增长，带动 该产品线整体出货量和营收均实现同比良好增长，总体出货容量创历史新高。SLC NANDFlash 产品亦实现了营收和出货量的同比良好增长。 2024年，公司自有品牌 DRAM产品市场拓展效果明显，市场份额持续提升。公司 DDR3L和 DDR4产品的出货量进…</x:v>
      </x:c>
      <x:c r="N190" s="41" t="str">
        <x:v>3-直接相关</x:v>
      </x:c>
      <x:c r="O190" s="41" t="str">
        <x:v>是</x:v>
      </x:c>
      <x:c r="P190" s="57" t="str">
        <x:v>年报披露存储、MCU等收入成本和毛利率，存储毛利率提升7.28个百分点；证据直接披露或决定研发投入与MCU、存储产品交叉销售和收入协同，可直接用于回答当前查询。</x:v>
      </x:c>
      <x:c r="Q190" s="41" t="str">
        <x:v>B-CODEX-FIN-01</x:v>
      </x:c>
      <x:c r="R190" s="80" t="inlineStr">
        <x:is>
          <x:t>2026-08-30T13:30:00+08:00</x:t>
        </x:is>
      </x:c>
    </x:row>
    <x:row r="191" ht="72" customHeight="1">
      <x:c r="A191" s="64" t="str">
        <x:v>V6-R-Q019-C02</x:v>
      </x:c>
      <x:c r="B191" s="64" t="str">
        <x:v>V6-E-603986-C02</x:v>
      </x:c>
      <x:c r="C191" s="64" t="str">
        <x:v>V6-Q019</x:v>
      </x:c>
      <x:c r="D191" s="40" t="str">
        <x:v>兆易创新</x:v>
      </x:c>
      <x:c r="E191" s="64" t="str">
        <x:v>603986</x:v>
      </x:c>
      <x:c r="F191" s="87" t="n">
        <x:v>46260.75</x:v>
      </x:c>
      <x:c r="G191" s="51" t="str">
        <x:v>高强度研发投入能否扩大MCU与存储产品的收入协同</x:v>
      </x:c>
      <x:c r="H191" s="64" t="str">
        <x:v>DOC-EVT-603986-00256</x:v>
      </x:c>
      <x:c r="I191" s="51" t="str">
        <x:v>兆易创新2025年第一季度报告</x:v>
      </x:c>
      <x:c r="J191" s="87" t="n">
        <x:v>45773</x:v>
      </x:c>
      <x:c r="K191" s="73" t="str">
        <x:v>http://static.cninfo.com.cn/finalpage/2025-04-26/1223305114.PDF</x:v>
      </x:c>
      <x:c r="L191" s="40" t="str">
        <x:v>第2页</x:v>
      </x:c>
      <x:c r="M191" s="51" t="str">
        <x:v>兆易创新科技集团股份有限公司2025 年第一季度报告 2 / 11 归属于上市公司股东的所有者权益 16,796,135,245.85 16,498,507,838.97 1.80 非经常性损益项目和金额 √适用 □不适用 单位:元 币种:人民币 非经常性损益项目 本期金额 说明 非流动性资产处置损益，包括已计提资产减值 准备的冲销部分 -3,034.06 计入当期损益的政府补助，但与公司正常经营 业务密切相关、符合国家政策规定、按照确定 的标准享有、对公司损益产生持续影响的政府 补助除外 4,819,252.10 包括以前年度取得的政府 补助在本期分摊确认的收 入，以及当期取得的政府补 助且当期确认的收入 除同公司正常经营业务相关的有效套期保值业 务外，非金融企业持有金融资产和金融负债产 生的公允价值变动损益以及处置金融资产和金 融负债产生的损益 6,261,930.57 银行理财收益 除上述各项之外的其他营业外收入和支出 1,770,868.00 减：所得税影响额 1,460,206.48 少数股东权益影响额（税后） 615,317.62 合计 10,773,492.51 对公司将《公开发行证券的公司信息披露解释性公告第 1号——非经常性损益》未列举的项目认 定为非经常性损益项目且金额重大的，以及将《公开发行证券的公司信息披露解释性公告第 1 号 ——非经常性损益》中列举的非经常性损益项目界定为经常性损益的项目，应说明原因。 □适用 √不适用 主要会计数据、财务指标发生…</x:v>
      </x:c>
      <x:c r="N191" s="41" t="str">
        <x:v>1-弱相关</x:v>
      </x:c>
      <x:c r="O191" s="41" t="str">
        <x:v>否</x:v>
      </x:c>
      <x:c r="P191" s="57" t="str">
        <x:v>一季报披露负债、权益、留存利润和现金相关资产负债数据；虽与研发投入和产品协同主题相近，但未提供研发投入与MCU、存储产品交叉销售和收入协同，不足以建立可靠传导链。</x:v>
      </x:c>
      <x:c r="Q191" s="41" t="str">
        <x:v>B-CODEX-FIN-01</x:v>
      </x:c>
      <x:c r="R191" s="80" t="inlineStr">
        <x:is>
          <x:t>2026-08-30T13:30:00+08:00</x:t>
        </x:is>
      </x:c>
    </x:row>
    <x:row r="192" ht="72" customHeight="1">
      <x:c r="A192" s="64" t="str">
        <x:v>V6-R-Q020-C10</x:v>
      </x:c>
      <x:c r="B192" s="64" t="str">
        <x:v>V6-E-603986-C10</x:v>
      </x:c>
      <x:c r="C192" s="64" t="str">
        <x:v>V6-Q020</x:v>
      </x:c>
      <x:c r="D192" s="40" t="str">
        <x:v>兆易创新</x:v>
      </x:c>
      <x:c r="E192" s="64" t="str">
        <x:v>603986</x:v>
      </x:c>
      <x:c r="F192" s="87" t="n">
        <x:v>46260.75</x:v>
      </x:c>
      <x:c r="G192" s="51" t="str">
        <x:v>外延投资与项目整合是否会增加商誉和现金流风险</x:v>
      </x:c>
      <x:c r="H192" s="64" t="str">
        <x:v>DOC-EVT-603986-00508</x:v>
      </x:c>
      <x:c r="I192" s="51" t="str">
        <x:v>兆易创新第五届董事会第十四次会议决议公告</x:v>
      </x:c>
      <x:c r="J192" s="87" t="n">
        <x:v>46235</x:v>
      </x:c>
      <x:c r="K192" s="73" t="str">
        <x:v>http://static.cninfo.com.cn/finalpage/2026-08-01/1225450991.PDF</x:v>
      </x:c>
      <x:c r="L192" s="40" t="str">
        <x:v>第1页</x:v>
      </x:c>
      <x:c r="M192" s="51" t="str">
        <x:v>1 证券代码：603986 证券简称：兆易创新 公告编号：2026-066 兆易创新科技集团股份有限公司 第五届董事会第十四次会议决议公告 本公司董事会及全体董事保证本公告内容不存在任何虚假记载、误导性陈 述或者重大遗漏，并对其内容的真实性、准确性和完整性承担法律责任。 兆易创新科技集团股份有限公司（以下简称“公司”）第五届董事会第十四次会 议于 2026 年 7 月 31 日以现场结合通讯方式召开。本次会议由董事长朱一明先生主 持，会议应出席董事 9 名，实际出席董事 9 名；公司全体高级管理人员列席了本次 会议。本次会议的召集和召开程序符合《中华人民共和国公司法》等有关法律、行 政法规、部门规章、规范性文件及《公司章程》的相关规定。 经与会董事认真审议，以记名投票表决方式一致通过以下议案： 一、关于以集中竞价交易方式回购公司 A 股股份方案的议案 本议案具体内容请详见同日刊登在《上海证券报》《证券时报》及上海证券交易 所网站（http://www.sse.com.cn）上的《兆易创新关于以集中竞价交易方式回购公司 A股股份方案的公告》（公告编号：2026-067）。 表决结果：9票同意、0票反对、0票弃权。 本议案尚需提交公司股东会审议。 二、关于召开 2026 年第二次临时股东会的议案 公司董事会同意于2026年8月20日召开公司2026年第二次临时股东会，将本次会 议审议通过的议案一提交公司股东会审议。本议案具体内容请详见公司后续另行发 出的股东会通知。 表决结果：…</x:v>
      </x:c>
      <x:c r="N192" s="41" t="str">
        <x:v>1-弱相关</x:v>
      </x:c>
      <x:c r="O192" s="41" t="str">
        <x:v>否</x:v>
      </x:c>
      <x:c r="P192" s="57" t="str">
        <x:v>董事会决议通过股份回购方案并提交股东会；虽与外延投资和现金安全主题相近，但未提供外延投资、项目整合、商誉和现金流风险，不足以建立可靠传导链。</x:v>
      </x:c>
      <x:c r="Q192" s="41" t="str">
        <x:v>B-CODEX-FIN-01</x:v>
      </x:c>
      <x:c r="R192" s="80" t="inlineStr">
        <x:is>
          <x:t>2026-08-30T13:30:00+08:00</x:t>
        </x:is>
      </x:c>
    </x:row>
    <x:row r="193" ht="72" customHeight="1">
      <x:c r="A193" s="64" t="str">
        <x:v>V6-R-Q020-C01</x:v>
      </x:c>
      <x:c r="B193" s="64" t="str">
        <x:v>V6-E-603986-C01</x:v>
      </x:c>
      <x:c r="C193" s="64" t="str">
        <x:v>V6-Q020</x:v>
      </x:c>
      <x:c r="D193" s="40" t="str">
        <x:v>兆易创新</x:v>
      </x:c>
      <x:c r="E193" s="64" t="str">
        <x:v>603986</x:v>
      </x:c>
      <x:c r="F193" s="87" t="n">
        <x:v>46260.75</x:v>
      </x:c>
      <x:c r="G193" s="51" t="str">
        <x:v>外延投资与项目整合是否会增加商誉和现金流风险</x:v>
      </x:c>
      <x:c r="H193" s="64" t="str">
        <x:v>DOC-EVT-603986-00248</x:v>
      </x:c>
      <x:c r="I193" s="51" t="str">
        <x:v>兆易创新2024年年度报告</x:v>
      </x:c>
      <x:c r="J193" s="87" t="n">
        <x:v>45773</x:v>
      </x:c>
      <x:c r="K193" s="73" t="str">
        <x:v>http://static.cninfo.com.cn/finalpage/2025-04-26/1223305062.PDF</x:v>
      </x:c>
      <x:c r="L193" s="40" t="str">
        <x:v>第232页</x:v>
      </x:c>
      <x:c r="M193" s="51" t="str">
        <x:v>兆易创新科技集团股份有限公司2024年年度报告 232 /235 (3).长期股权投资的减值测试情况 □适用 √不适用 其他说明： 无 可收回金额按公允价值减去处置费用后的净额确定 □适用 √不适用 可收回金额按预计未来现金流量的现值确定 □适用 √不适用 前述信息与以前年度减值测试采用的信息或外部信息明显不一致的差异原因 □适用 √不适用 公司以前年度减值测试采用信息与当年实际情况明显不一致的差异原因 □适用 √不适用 其他说明： 不适用 4、 营业收入和营业成本 (1). 营业收入和营业成本情况 √适用 □不适用 单位：元 币种：人民币 项目 本期发生额 上期发生额 收入 成本 收入 成本 主营业务 3,430,634,385.16 2,144,896,473.47 3,058,948,194.46 1,940,407,028.90 其他业务 57,634,832.41 19,869,097.40 42,511,243.13 11,427,307.97 合计 3,488,269,217.57 2,164,765,570.87 3,101,459,437.59 1,951,834,336.87 (2). 营业收入、营业成本的分解信息 √适用 □不适用 单位：元 币种：人民币 合同分类 集成电路业务 合计 营业收入 营业成本 营业收入 营业成本 商品类型 存储器 2,857,481,182.13 1,727,008,194.88 2,857,481,182.13 1,727…</x:v>
      </x:c>
      <x:c r="N193" s="41" t="str">
        <x:v>1-弱相关</x:v>
      </x:c>
      <x:c r="O193" s="41" t="str">
        <x:v>否</x:v>
      </x:c>
      <x:c r="P193" s="57" t="str">
        <x:v>年报披露存储、MCU等收入成本和毛利率，存储毛利率提升7.28个百分点；虽与外延投资和现金安全主题相近，但未提供外延投资、项目整合、商誉和现金流风险，不足以建立可靠传导链。</x:v>
      </x:c>
      <x:c r="Q193" s="41" t="str">
        <x:v>B-CODEX-FIN-01</x:v>
      </x:c>
      <x:c r="R193" s="80" t="inlineStr">
        <x:is>
          <x:t>2026-08-30T13:30:00+08:00</x:t>
        </x:is>
      </x:c>
    </x:row>
    <x:row r="194" ht="72" customHeight="1">
      <x:c r="A194" s="64" t="str">
        <x:v>V6-R-Q020-C09</x:v>
      </x:c>
      <x:c r="B194" s="64" t="str">
        <x:v>V6-E-603986-C09</x:v>
      </x:c>
      <x:c r="C194" s="64" t="str">
        <x:v>V6-Q020</x:v>
      </x:c>
      <x:c r="D194" s="40" t="str">
        <x:v>兆易创新</x:v>
      </x:c>
      <x:c r="E194" s="64" t="str">
        <x:v>603986</x:v>
      </x:c>
      <x:c r="F194" s="87" t="n">
        <x:v>46260.75</x:v>
      </x:c>
      <x:c r="G194" s="51" t="str">
        <x:v>外延投资与项目整合是否会增加商誉和现金流风险</x:v>
      </x:c>
      <x:c r="H194" s="64" t="str">
        <x:v>DOC-EVT-603986-00513</x:v>
      </x:c>
      <x:c r="I194" s="51" t="str">
        <x:v>兆易创新关于召开2026年第二次临时股东会的通知</x:v>
      </x:c>
      <x:c r="J194" s="87" t="n">
        <x:v>46237</x:v>
      </x:c>
      <x:c r="K194" s="73" t="str">
        <x:v>http://static.cninfo.com.cn/finalpage/2026-08-03/1225452823.PDF</x:v>
      </x:c>
      <x:c r="L194" s="40" t="str">
        <x:v>第1页</x:v>
      </x:c>
      <x:c r="M194" s="51" t="str">
        <x:v>1 证券代码：603986 证券简称：兆易创新 公告编号：2026-069 兆易创新科技集团股份有限公司 关于召开2026年第二次临时股东会的通知 本公司董事会及全体董事保证本公告内容不存在任何虚假记载、误导性陈述 或者重大遗漏，并对其内容的真实性、准确性和完整性承担法律责任。 重要内容提示：  股东会召开日期：2026年8月20日  本次股东会采用的网络投票系统：上海证券交易所股东会网络投票系统 一、 召开会议的基本情况 (一) 股东会类型和届次 2026年第二次临时股东会 (二) 股东会召集人：董事会 (三) 投票方式：本次股东会所采用的表决方式是现场投票和网络投票相结合的 方式 (四) 现场会议召开的日期、时间和地点 召开的日期时间：2026 年 8 月 20 日 14 点 30 分 召开地点：北京市朝阳区安定路 5 号城奥大厦 6 层会议室 (五) 网络投票的系统、起止日期和投票时间。 网络投票系统：上海证券交易所股东会网络投票系统 网络投票起止时间：自2026 年 8 月 20 日 至2026 年 8 月 20 日 采用上海证券交易所网络投票系统，通过交易系统投票平台的投票时间为股 东会召开当日的交易时间段，即 9:15-9:25，9:30-11:30，13:00-15:00；通过互联 网投票平台的投票时间为股东会召开当日的 9:15-15:00。</x:v>
      </x:c>
      <x:c r="N194" s="41" t="str">
        <x:v>0-无关</x:v>
      </x:c>
      <x:c r="O194" s="41" t="str">
        <x:v>否</x:v>
      </x:c>
      <x:c r="P194" s="57" t="str">
        <x:v>公告仅说明临时股东会安排；内容与外延投资和现金安全缺少业务传导，未提供外延投资、项目整合、商誉和现金流风险，不能支持当前判断。</x:v>
      </x:c>
      <x:c r="Q194" s="41" t="str">
        <x:v>B-CODEX-FIN-01</x:v>
      </x:c>
      <x:c r="R194" s="80" t="inlineStr">
        <x:is>
          <x:t>2026-08-30T13:30:00+08:00</x:t>
        </x:is>
      </x:c>
    </x:row>
    <x:row r="195" ht="72" customHeight="1">
      <x:c r="A195" s="64" t="str">
        <x:v>V6-R-Q020-C05</x:v>
      </x:c>
      <x:c r="B195" s="64" t="str">
        <x:v>V6-E-603986-C05</x:v>
      </x:c>
      <x:c r="C195" s="64" t="str">
        <x:v>V6-Q020</x:v>
      </x:c>
      <x:c r="D195" s="40" t="str">
        <x:v>兆易创新</x:v>
      </x:c>
      <x:c r="E195" s="64" t="str">
        <x:v>603986</x:v>
      </x:c>
      <x:c r="F195" s="87" t="n">
        <x:v>46260.75</x:v>
      </x:c>
      <x:c r="G195" s="51" t="str">
        <x:v>外延投资与项目整合是否会增加商誉和现金流风险</x:v>
      </x:c>
      <x:c r="H195" s="64" t="str">
        <x:v>DOC-EVT-603986-00098</x:v>
      </x:c>
      <x:c r="I195" s="51" t="str">
        <x:v>兆易创新关于2023年年度股东大会增加临时提案的公告</x:v>
      </x:c>
      <x:c r="J195" s="87" t="n">
        <x:v>45406</x:v>
      </x:c>
      <x:c r="K195" s="73" t="str">
        <x:v>http://static.cninfo.com.cn/finalpage/2024-04-24/1219762603.PDF</x:v>
      </x:c>
      <x:c r="L195" s="40" t="str">
        <x:v>第1页</x:v>
      </x:c>
      <x:c r="M195" s="51" t="str">
        <x:v>1 证券代码：603986 证券简称：兆易创新 公告编号：2024-047 兆易创新科技集团股份有限公司 关于 2023 年年度股东大会增加临时提案的公告 本公司董事会及全体董事保证本公告内容不存在任何虚假记载、 误导性陈述 或者重大遗漏，并对其内容的真实性、准确性和完整性承担法律责任。 一、股东大会有关情况 1. 股东大会的类型和届次： 2023 年年度股东大会 2. 股东大会召开日期：2024 年 5 月 14 日 3. 股权登记日 股份类别 股票代码 股票简称 股权登记日 Ａ股 603986 兆易创新 2024/5/7 二、增加临时提案的情况说明 1. 提案人：朱一明 2. 提案程序说明 公司已于 2024 年 4 月 20 日公告了股东大会召开通知，单独持有6.86%股份 的股东朱一明，在 2024 年 4 月 23 日提出临时提案并书面提交股东大会召集人。 股东大会召集人按照《上市公司股东大会规则》有关规定，现予以公告。 3. 临时提案的具体内容 2024 年 4 月 23 日，公司召开第四届董事会第十九次会议审议通过《关于拟 变更部分回购股份用途并注销的议案》，基于对未来发展前景的信心和对公司长 期价值的高度认同，为切实维护广大投资者利益、增强投资者信心、提高长期投 资价值，公司拟变更部分已回购股份的用途，对于公司 2023 年实施回购的其中</x:v>
      </x:c>
      <x:c r="N195" s="41" t="str">
        <x:v>1-弱相关</x:v>
      </x:c>
      <x:c r="O195" s="41" t="str">
        <x:v>否</x:v>
      </x:c>
      <x:c r="P195" s="57" t="str">
        <x:v>公告涉及变更既有回购股份用途并注销；虽与外延投资和现金安全主题相近，但未提供外延投资、项目整合、商誉和现金流风险，不足以建立可靠传导链。</x:v>
      </x:c>
      <x:c r="Q195" s="41" t="str">
        <x:v>B-CODEX-FIN-01</x:v>
      </x:c>
      <x:c r="R195" s="80" t="inlineStr">
        <x:is>
          <x:t>2026-08-30T13:30:00+08:00</x:t>
        </x:is>
      </x:c>
    </x:row>
    <x:row r="196" ht="72" customHeight="1">
      <x:c r="A196" s="64" t="str">
        <x:v>V6-R-Q020-C08</x:v>
      </x:c>
      <x:c r="B196" s="64" t="str">
        <x:v>V6-E-603986-C08</x:v>
      </x:c>
      <x:c r="C196" s="64" t="str">
        <x:v>V6-Q020</x:v>
      </x:c>
      <x:c r="D196" s="40" t="str">
        <x:v>兆易创新</x:v>
      </x:c>
      <x:c r="E196" s="64" t="str">
        <x:v>603986</x:v>
      </x:c>
      <x:c r="F196" s="87" t="n">
        <x:v>46260.75</x:v>
      </x:c>
      <x:c r="G196" s="51" t="str">
        <x:v>外延投资与项目整合是否会增加商誉和现金流风险</x:v>
      </x:c>
      <x:c r="H196" s="64" t="str">
        <x:v>DOC-EVT-603986-00170</x:v>
      </x:c>
      <x:c r="I196" s="51" t="str">
        <x:v>兆易创新关于召开2024年第三季度业绩说明会的公告</x:v>
      </x:c>
      <x:c r="J196" s="87" t="n">
        <x:v>45591</x:v>
      </x:c>
      <x:c r="K196" s="73" t="str">
        <x:v>http://static.cninfo.com.cn/finalpage/2024-10-26/1221525469.PDF</x:v>
      </x:c>
      <x:c r="L196" s="40" t="str">
        <x:v>第1页</x:v>
      </x:c>
      <x:c r="M196" s="51" t="str">
        <x:v>证券代码：603986 证券简称：兆易创新 公告编号：2024-098 兆易创新科技集团股份有限公司 关于召开 2024 年第三季度业绩说明会的公告 本公司董事会及全体董事保证本公告内容不存在任何虚假记载、 误导性陈述 或者重大遗漏，并对其内容的真实性、准确性和完整性承担法律责任。 重要内容提示： ● 会议召开时间：2024 年 11 月 6 日(星期三) 下午 13:00-14:00 ● 会 议 召 开 地 点： 上 海 证 券 交 易 所 上 证 路 演 中 心（ 网址 ： https://roadshow.sseinfo.com/） ● 会议召开方式：上证路演中心网络互动 ● 投资者可于 2024 年 10 月 30 日(星期三) 至 11 月 5 日(星期二)16:00 前登录上 证 路 演 中 心 网 站 首 页 点 击“ 提 问 预 征 集” 栏 目 或 通 过 公 司 邮 箱 investor@gigadevice.com 进行提问。公司将在说明会上对投资者普遍关注的问题 进行回答。 兆易创新科技集团股份有限公司（以下简称“公司”） 已于2024 年 10 月 26 日发布公司 2024 年第三季度报告，为便于广大投资者更全面深入地了解公司 2024 年第三季度经营成果、财务状况，公司计划于2024 年 11 月 6 日下午 13:00- 14:00 举行 2024 年第三季度业绩说明会，就投资者关心的问题进行交流。 一、说明会类型 本次投资者说明会以网络互动…</x:v>
      </x:c>
      <x:c r="N196" s="41" t="str">
        <x:v>0-无关</x:v>
      </x:c>
      <x:c r="O196" s="41" t="str">
        <x:v>否</x:v>
      </x:c>
      <x:c r="P196" s="57" t="str">
        <x:v>公告仅安排季度业绩说明会；内容与外延投资和现金安全缺少业务传导，未提供外延投资、项目整合、商誉和现金流风险，不能支持当前判断。</x:v>
      </x:c>
      <x:c r="Q196" s="41" t="str">
        <x:v>B-CODEX-FIN-01</x:v>
      </x:c>
      <x:c r="R196" s="80" t="inlineStr">
        <x:is>
          <x:t>2026-08-30T13:30:00+08:00</x:t>
        </x:is>
      </x:c>
    </x:row>
    <x:row r="197" ht="72" customHeight="1">
      <x:c r="A197" s="64" t="str">
        <x:v>V6-R-Q020-C07</x:v>
      </x:c>
      <x:c r="B197" s="64" t="str">
        <x:v>V6-E-603986-C07</x:v>
      </x:c>
      <x:c r="C197" s="64" t="str">
        <x:v>V6-Q020</x:v>
      </x:c>
      <x:c r="D197" s="40" t="str">
        <x:v>兆易创新</x:v>
      </x:c>
      <x:c r="E197" s="64" t="str">
        <x:v>603986</x:v>
      </x:c>
      <x:c r="F197" s="87" t="n">
        <x:v>46260.75</x:v>
      </x:c>
      <x:c r="G197" s="51" t="str">
        <x:v>外延投资与项目整合是否会增加商誉和现金流风险</x:v>
      </x:c>
      <x:c r="H197" s="64" t="str">
        <x:v>DOC-EVT-603986-00423</x:v>
      </x:c>
      <x:c r="I197" s="51" t="str">
        <x:v>兆易创新关于召开2025年度业绩说明会的公告</x:v>
      </x:c>
      <x:c r="J197" s="87" t="n">
        <x:v>46112</x:v>
      </x:c>
      <x:c r="K197" s="73" t="str">
        <x:v>http://static.cninfo.com.cn/finalpage/2026-03-31/1225061295.PDF</x:v>
      </x:c>
      <x:c r="L197" s="40" t="str">
        <x:v>第1页</x:v>
      </x:c>
      <x:c r="M197" s="51" t="str">
        <x:v>1 证券代码：603986 证券简称：兆易创新 公告编号：2026-028 兆易创新科技集团股份有限公司 关于召开 2025 年年度业绩说明会的公告 本公司董事会及全体董事保证本公告内容不存在任何虚假记载、误导性陈述 或者重大遗漏，并对其内容的真实性、准确性和完整性承担法律责任。 重要内容提示： ● 会议召开时间：2026 年 4 月 15 日（星期三）15:00-16:30 ● 会 议 召 开 地 点 ： 上 海 证 券 交 易 所 上 证 路 演 中 心 （ 网 址 ： https://roadshow.sseinfo.com/） ● 会议召开方式：上证路演中心视频直播和网络互动 ● 投资者可于 2026 年 4 月 8 日（星期三）至 4 月 14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3 月 31 日发布公司 2025 年年度报告，为便于广大投资者更全面深入地了解公司 2025 年年度经营成果、财务状况，公司计划于 2026 年 4 月 15 日15:00-16:30 举行 2025 年年度业绩说明会，就投资者关心的问题进行交流。 一、说明会类型 本次投资者说明会以视频结合网络互动形式召开，公司将针对 2025 年…</x:v>
      </x:c>
      <x:c r="N197" s="41" t="str">
        <x:v>0-无关</x:v>
      </x:c>
      <x:c r="O197" s="41" t="str">
        <x:v>否</x:v>
      </x:c>
      <x:c r="P197" s="57" t="str">
        <x:v>公告仅安排年度业绩说明会；内容与外延投资和现金安全缺少业务传导，未提供外延投资、项目整合、商誉和现金流风险，不能支持当前判断。</x:v>
      </x:c>
      <x:c r="Q197" s="41" t="str">
        <x:v>B-CODEX-FIN-01</x:v>
      </x:c>
      <x:c r="R197" s="80" t="inlineStr">
        <x:is>
          <x:t>2026-08-30T13:30:00+08:00</x:t>
        </x:is>
      </x:c>
    </x:row>
    <x:row r="198" ht="72" customHeight="1">
      <x:c r="A198" s="64" t="str">
        <x:v>V6-R-Q020-C03</x:v>
      </x:c>
      <x:c r="B198" s="64" t="str">
        <x:v>V6-E-603986-C03</x:v>
      </x:c>
      <x:c r="C198" s="64" t="str">
        <x:v>V6-Q020</x:v>
      </x:c>
      <x:c r="D198" s="40" t="str">
        <x:v>兆易创新</x:v>
      </x:c>
      <x:c r="E198" s="64" t="str">
        <x:v>603986</x:v>
      </x:c>
      <x:c r="F198" s="87" t="n">
        <x:v>46260.75</x:v>
      </x:c>
      <x:c r="G198" s="51" t="str">
        <x:v>外延投资与项目整合是否会增加商誉和现金流风险</x:v>
      </x:c>
      <x:c r="H198" s="64" t="str">
        <x:v>DOC-EVT-603986-00511</x:v>
      </x:c>
      <x:c r="I198" s="51" t="str">
        <x:v>兆易创新关于以集中竞价交易方式回购公司A股股份方案的公告</x:v>
      </x:c>
      <x:c r="J198" s="87" t="n">
        <x:v>46235</x:v>
      </x:c>
      <x:c r="K198" s="73" t="str">
        <x:v>http://static.cninfo.com.cn/finalpage/2026-08-01/1225450998.PDF</x:v>
      </x:c>
      <x:c r="L198" s="40" t="str">
        <x:v>第1页</x:v>
      </x:c>
      <x:c r="M198" s="51" t="str">
        <x:v>1 证券代码：603986 证券简称：兆易创新 公告编号：2026-067 兆易创新科技集团股份有限公司 关于以集中竞价交易方式回购公司 A 股股份方案的公告 本公司董事会及全体董事保证本公告内容不存在任何虚假记载、误导性陈述或 者重大遗漏，并对其内容的真实性、准确性和完整性依法承担法律责任。 重要内容提示： ● 回购股份金额：不低于人民币 10 亿元（含），不超过人民币 20 亿元（含）； ● 回购股份资金来源：公司自有资金及/或自筹资金； ● 回购股份用途：回购股份将全部用于注销并减少注册资本； ● 回购股份价格：不超过人民币750 元/股（含），该回购价格不超过公司董事会通过本 次回购方案决议前30 个交易日公司股票交易均价的150%； ● 回购股份方式：集中竞价交易方式； ● 回购股份期限：自股东会审议通过本次回购股份方案之日起 6 个月内； ● 相关股东是否存在减持计划：截至本公告披露日，公司控股股东及其一致行动人， 以及公司董事、高级管理人员在未来 3 个月、未来 6 个月内均不存在减持公司股份 计划。如未来有减持公司股份计划的，公司将遵守中国证监会和上海证券交易所关 于股份减持的相关规定，及时履行信息披露义务。 ● 相关风险提示： 1. 本次回购股份方案尚需提交公司股东会审议，如果股东会未能审议通过本方 案，将导致本次回购股份方案无法实施； 2. 存在公司股票价格持续超出回购方案披露的价格上限，导致回购方案无法实 施或者只能部分实施的风险； 3. 本次回购股份…</x:v>
      </x:c>
      <x:c r="N198" s="41" t="str">
        <x:v>2-间接相关</x:v>
      </x:c>
      <x:c r="O198" s="41" t="str">
        <x:v>是</x:v>
      </x:c>
      <x:c r="P198" s="57" t="str">
        <x:v>回购方案拟以自有或自筹资金投入10亿至20亿元并注销股份；该事实可通过资本配置或资产负债变化向项目现金风险传导，间接验证外延投资、项目整合、商誉和现金流风险，关系清晰且可复核。</x:v>
      </x:c>
      <x:c r="Q198" s="41" t="str">
        <x:v>B-CODEX-FIN-01</x:v>
      </x:c>
      <x:c r="R198" s="80" t="inlineStr">
        <x:is>
          <x:t>2026-08-30T13:30:00+08:00</x:t>
        </x:is>
      </x:c>
    </x:row>
    <x:row r="199" ht="72" customHeight="1">
      <x:c r="A199" s="64" t="str">
        <x:v>V6-R-Q020-C02</x:v>
      </x:c>
      <x:c r="B199" s="64" t="str">
        <x:v>V6-E-603986-C02</x:v>
      </x:c>
      <x:c r="C199" s="64" t="str">
        <x:v>V6-Q020</x:v>
      </x:c>
      <x:c r="D199" s="40" t="str">
        <x:v>兆易创新</x:v>
      </x:c>
      <x:c r="E199" s="64" t="str">
        <x:v>603986</x:v>
      </x:c>
      <x:c r="F199" s="87" t="n">
        <x:v>46260.75</x:v>
      </x:c>
      <x:c r="G199" s="51" t="str">
        <x:v>外延投资与项目整合是否会增加商誉和现金流风险</x:v>
      </x:c>
      <x:c r="H199" s="64" t="str">
        <x:v>DOC-EVT-603986-00256</x:v>
      </x:c>
      <x:c r="I199" s="51" t="str">
        <x:v>兆易创新2025年第一季度报告</x:v>
      </x:c>
      <x:c r="J199" s="87" t="n">
        <x:v>45773</x:v>
      </x:c>
      <x:c r="K199" s="73" t="str">
        <x:v>http://static.cninfo.com.cn/finalpage/2025-04-26/1223305114.PDF</x:v>
      </x:c>
      <x:c r="L199" s="40" t="str">
        <x:v>第10页</x:v>
      </x:c>
      <x:c r="M199" s="51" t="str">
        <x:v>兆易创新科技集团股份有限公司2025 年第一季度报告 10 / 11 编制单位：兆易创新科技集团股份有限公司 单位：元 币种：人民币 审计类型：未经审计 项目 2025年第一季度 2024年第一季度 一、经营活动产生的现金流量： 销售商品、提供劳务收到的现金 1,925,457,337.01 1,576,751,415.85 客户存款和同业存放款项净增加额 向中央银行借款净增加额 向其他金融机构拆入资金净增加额 收到原保险合同保费取得的现金 收到再保业务现金净额 保户储金及投资款净增加额 收取利息、手续费及佣金的现金 拆入资金净增加额 回购业务资金净增加额 代理买卖证券收到的现金净额 收到的税费返还 101,122,429.30 84,812,040.34 收到其他与经营活动有关的现金 82,415,145.49 147,737,677.21 经营活动现金流入小计 2,108,994,911.80 1,809,301,133.40 购买商品、接受劳务支付的现金 1,145,332,026.34 740,236,397.66 客户贷款及垫款净增加额 存放中央银行和同业款项净增加额 支付原保险合同赔付款项的现金 拆出资金净增加额 支付利息、手续费及佣金的现金 支付保单红利的现金 支付给职工及为职工支付的现金 521,943,513.20 306,743,067.15 支付的各项税费 40,196,547.00 8,825,051.34 支付其他与经营活动有关的现金 65,673…</x:v>
      </x:c>
      <x:c r="N199" s="41" t="str">
        <x:v>2-间接相关</x:v>
      </x:c>
      <x:c r="O199" s="41" t="str">
        <x:v>是</x:v>
      </x:c>
      <x:c r="P199" s="57" t="str">
        <x:v>一季报披露负债、权益、留存利润和现金相关资产负债数据；该事实可通过资本配置或资产负债变化向项目现金风险传导，间接验证外延投资、项目整合、商誉和现金流风险，关系清晰且可复核。</x:v>
      </x:c>
      <x:c r="Q199" s="41" t="str">
        <x:v>B-CODEX-FIN-01</x:v>
      </x:c>
      <x:c r="R199" s="80" t="inlineStr">
        <x:is>
          <x:t>2026-08-30T13:30:00+08:00</x:t>
        </x:is>
      </x:c>
    </x:row>
    <x:row r="200" ht="72" customHeight="1">
      <x:c r="A200" s="64" t="str">
        <x:v>V6-R-Q020-C06</x:v>
      </x:c>
      <x:c r="B200" s="64" t="str">
        <x:v>V6-E-603986-C06</x:v>
      </x:c>
      <x:c r="C200" s="64" t="str">
        <x:v>V6-Q020</x:v>
      </x:c>
      <x:c r="D200" s="40" t="str">
        <x:v>兆易创新</x:v>
      </x:c>
      <x:c r="E200" s="64" t="str">
        <x:v>603986</x:v>
      </x:c>
      <x:c r="F200" s="87" t="n">
        <x:v>46260.75</x:v>
      </x:c>
      <x:c r="G200" s="51" t="str">
        <x:v>外延投资与项目整合是否会增加商誉和现金流风险</x:v>
      </x:c>
      <x:c r="H200" s="64" t="str">
        <x:v>DOC-EVT-603986-00243</x:v>
      </x:c>
      <x:c r="I200" s="51" t="str">
        <x:v>兆易创新关于2025年度开展外汇衍生品交易业务的可行性分析报告</x:v>
      </x:c>
      <x:c r="J200" s="87" t="n">
        <x:v>45773</x:v>
      </x:c>
      <x:c r="K200" s="73" t="str">
        <x:v>http://static.cninfo.com.cn/finalpage/2025-04-26/1223305096.PDF</x:v>
      </x:c>
      <x:c r="L200" s="40" t="str">
        <x:v>第1页</x:v>
      </x:c>
      <x:c r="M200" s="51" t="str">
        <x:v>1 兆易创新科技集团股份有限公司 关于2025 年度开展外汇衍生品交易业务的可行性分 析报告 一、开展外汇衍生品交易业务的背景 为规避外汇市场风险，防范汇率大幅波动带来的不良影响，公司及纳入合并 报表范围的下属子公司根据实际需要，拟与银行等金融机构开展总额不超过 3 亿美元或其他等值外币的外汇衍生品交易业务。 二、开展外汇衍生品交易业务的基本情况 （一）交易目的 公司境外销售业务占比较大，外销业务主要采用美元结算，当汇率出现大幅 波动时，汇兑损益对公司的经营业绩会造成一定影响。为规避公司所面临的汇率 风险，防范汇率大幅波动对公司造成不良影响，增强公司财务稳健性，公司及下 属子公司拟开展外汇衍生品交易业务。 公司外汇衍生品交易均以生产经营为基础，以套期保值为目的开展，不进行 单纯以盈利为目的的投机和套利交易，不会影响公司主营业务发展。 （二）交易金额 2025年度，公司及子公司拟进行外汇衍生品交易业务的交易金额累计不超过 3亿美元或其他等值外币，自公司第五届董事会第二次会议审议通过之日起12个 月内有效，开展期限内任一时点的交易金额（含使用前述交易的收益进行交易的 相关金额）不应超过已审议额度。预计2025年度任一交易日持有的最高合约价值 不超过3亿美元或其他等值外币。 （三）资金来源 公司自有资金，不存在使用募集资金开展外汇衍生品交易的情形。</x:v>
      </x:c>
      <x:c r="N200" s="41" t="str">
        <x:v>1-弱相关</x:v>
      </x:c>
      <x:c r="O200" s="41" t="str">
        <x:v>否</x:v>
      </x:c>
      <x:c r="P200" s="57" t="str">
        <x:v>报告披露境外销售、汇率风险及3亿美元套保安排；虽与外延投资和现金安全主题相近，但未提供外延投资、项目整合、商誉和现金流风险，不足以建立可靠传导链。</x:v>
      </x:c>
      <x:c r="Q200" s="41" t="str">
        <x:v>B-CODEX-FIN-01</x:v>
      </x:c>
      <x:c r="R200" s="80" t="inlineStr">
        <x:is>
          <x:t>2026-08-30T13:30:00+08:00</x:t>
        </x:is>
      </x:c>
    </x:row>
    <x:row r="201" ht="72" customHeight="1">
      <x:c r="A201" s="64" t="str">
        <x:v>V6-R-Q020-C04</x:v>
      </x:c>
      <x:c r="B201" s="64" t="str">
        <x:v>V6-E-603986-C04</x:v>
      </x:c>
      <x:c r="C201" s="64" t="str">
        <x:v>V6-Q020</x:v>
      </x:c>
      <x:c r="D201" s="40" t="str">
        <x:v>兆易创新</x:v>
      </x:c>
      <x:c r="E201" s="64" t="str">
        <x:v>603986</x:v>
      </x:c>
      <x:c r="F201" s="87" t="n">
        <x:v>46260.75</x:v>
      </x:c>
      <x:c r="G201" s="51" t="str">
        <x:v>外延投资与项目整合是否会增加商誉和现金流风险</x:v>
      </x:c>
      <x:c r="H201" s="64" t="str">
        <x:v>DOC-EVT-603986-00324</x:v>
      </x:c>
      <x:c r="I201" s="51" t="str">
        <x:v>兆易创新独立董事工作制度</x:v>
      </x:c>
      <x:c r="J201" s="87" t="n">
        <x:v>45798</x:v>
      </x:c>
      <x:c r="K201" s="73" t="str">
        <x:v>http://static.cninfo.com.cn/finalpage/2025-05-21/1223606646.PDF</x:v>
      </x:c>
      <x:c r="L201" s="40" t="str">
        <x:v>第1页</x:v>
      </x:c>
      <x:c r="M201" s="51" t="str">
        <x:v>1 兆易创新科技集团股份有限公司 独立董事工作制度 第一条 为进一步完善公司的法人治理结构及公司董事会结构，强化对内部董事及经理层的 约束和激励机制，保护中小股东及利益相关者的利益，促进公司的规范运作，根据 《中华人民共和国公司法》《上市公司独立董事管理办法》《上海证券交易所上市 公司自律监管指引第1号——规范运作》以及《兆易创新科技集团股份有限公司章 程》（下称《公司章程》）及其他有关法律法规及规范性文件的规定，制定本工作 制度（下称本制度）。 第二条 公司独立董事是指不在公司担任除董事外的其他职务，并与公司及主要股东、实际 控制人不存在直接或者间接利害关系，或者其他可能影响其进行独立客观判断关系 的董事。 第三条 独立董事对公司及全体股东负有诚信与勤勉义务。独立董事应当按照相关法律法 规、中国证监会、证券交易所、《公司章程》和本制度的要求，认真履行职责，在 董事会中发挥参与决策、监督制衡、专业咨询作用，维护公司整体利益，尤其要关 注中小股东的合法权益不受损害。 第四条 独立董事应当独立履行职责，不受公司主要股东、实际控制人或者其他与公司存在 利害关系的单位或个人的影响。 第五条 独立董事原则上最多在3家境内上市公司兼任独立董事，并确保有足够的时间和精 力有效地履行独立董事的职责。 第六条 公司董事会成员中独立董事占董事会成员的比例不得低于三分之一，独立董事中至 少包括一名会计专业人士。 公司董事会下设薪酬与考核、审计、提名和战略与可持续发展委员会，独立董事应 当在审计委…</x:v>
      </x:c>
      <x:c r="N201" s="41" t="str">
        <x:v>0-无关</x:v>
      </x:c>
      <x:c r="O201" s="41" t="str">
        <x:v>否</x:v>
      </x:c>
      <x:c r="P201" s="57" t="str">
        <x:v>文件仅规定独立董事治理和履职机制；内容与外延投资和现金安全缺少业务传导，未提供外延投资、项目整合、商誉和现金流风险，不能支持当前判断。</x:v>
      </x:c>
      <x:c r="Q201" s="41" t="str">
        <x:v>B-CODEX-FIN-01</x:v>
      </x:c>
      <x:c r="R201" s="80" t="inlineStr">
        <x:is>
          <x:t>2026-08-30T13:30:00+08:00</x:t>
        </x:is>
      </x:c>
    </x:row>
    <x:row r="202" ht="72" customHeight="1">
      <x:c r="A202" s="64" t="str">
        <x:v>V6-R-Q021-C09</x:v>
      </x:c>
      <x:c r="B202" s="64" t="str">
        <x:v>V6-E-600276-C09</x:v>
      </x:c>
      <x:c r="C202" s="64" t="str">
        <x:v>V6-Q021</x:v>
      </x:c>
      <x:c r="D202" s="40" t="str">
        <x:v>恒瑞医药</x:v>
      </x:c>
      <x:c r="E202" s="64" t="str">
        <x:v>600276</x:v>
      </x:c>
      <x:c r="F202" s="87" t="n">
        <x:v>46260.75</x:v>
      </x:c>
      <x:c r="G202" s="51" t="str">
        <x:v>对外许可首付款确认是否会造成收入与利润阶段性波动</x:v>
      </x:c>
      <x:c r="H202" s="64" t="str">
        <x:v>DOC-EVT-600276-00595</x:v>
      </x:c>
      <x:c r="I202" s="51" t="str">
        <x:v>恒瑞医药2025年度利润分配方案及提请股东会授权董事会制定2026年中期分红方案的公告</x:v>
      </x:c>
      <x:c r="J202" s="87" t="n">
        <x:v>46107</x:v>
      </x:c>
      <x:c r="K202" s="73" t="str">
        <x:v>http://static.cninfo.com.cn/finalpage/2026-03-26/1225032581.PDF</x:v>
      </x:c>
      <x:c r="L202" s="40" t="str">
        <x:v>第1页</x:v>
      </x:c>
      <x:c r="M202"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02" s="41" t="str">
        <x:v>0-无关</x:v>
      </x:c>
      <x:c r="O202" s="41" t="str">
        <x:v>否</x:v>
      </x:c>
      <x:c r="P202" s="57" t="str">
        <x:v>分红公告说明海外临床、创新药研发和扩建项目需要大量资金；内容与许可收入和阶段性波动缺少业务传导，未提供对外许可首付款的确认金额、时点及利润影响，不能支持当前判断。</x:v>
      </x:c>
      <x:c r="Q202" s="41" t="str">
        <x:v>B-CODEX-FIN-01</x:v>
      </x:c>
      <x:c r="R202" s="80" t="inlineStr">
        <x:is>
          <x:t>2026-08-30T13:30:00+08:00</x:t>
        </x:is>
      </x:c>
    </x:row>
    <x:row r="203" ht="72" customHeight="1">
      <x:c r="A203" s="64" t="str">
        <x:v>V6-R-Q021-C06</x:v>
      </x:c>
      <x:c r="B203" s="64" t="str">
        <x:v>V6-E-600276-C06</x:v>
      </x:c>
      <x:c r="C203" s="64" t="str">
        <x:v>V6-Q021</x:v>
      </x:c>
      <x:c r="D203" s="40" t="str">
        <x:v>恒瑞医药</x:v>
      </x:c>
      <x:c r="E203" s="64" t="str">
        <x:v>600276</x:v>
      </x:c>
      <x:c r="F203" s="87" t="n">
        <x:v>46260.75</x:v>
      </x:c>
      <x:c r="G203" s="51" t="str">
        <x:v>对外许可首付款确认是否会造成收入与利润阶段性波动</x:v>
      </x:c>
      <x:c r="H203" s="64" t="str">
        <x:v>DOC-EVT-600276-00648</x:v>
      </x:c>
      <x:c r="I203" s="51" t="str">
        <x:v>H股公告-证券变动月报表</x:v>
      </x:c>
      <x:c r="J203" s="87" t="n">
        <x:v>46176</x:v>
      </x:c>
      <x:c r="K203" s="73" t="str">
        <x:v>http://static.cninfo.com.cn/finalpage/2026-06-03/1225345823.PDF</x:v>
      </x:c>
      <x:c r="L203" s="40" t="str">
        <x:v>第1页</x:v>
      </x:c>
      <x:c r="M203"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03" s="41" t="str">
        <x:v>0-无关</x:v>
      </x:c>
      <x:c r="O203" s="41" t="str">
        <x:v>否</x:v>
      </x:c>
      <x:c r="P203" s="57" t="str">
        <x:v>月报仅披露A股和H股证券变动数据；内容与许可收入和阶段性波动缺少业务传导，未提供对外许可首付款的确认金额、时点及利润影响，不能支持当前判断。</x:v>
      </x:c>
      <x:c r="Q203" s="41" t="str">
        <x:v>B-CODEX-FIN-01</x:v>
      </x:c>
      <x:c r="R203" s="80" t="inlineStr">
        <x:is>
          <x:t>2026-08-30T13:30:00+08:00</x:t>
        </x:is>
      </x:c>
    </x:row>
    <x:row r="204" ht="72" customHeight="1">
      <x:c r="A204" s="64" t="str">
        <x:v>V6-R-Q021-C05</x:v>
      </x:c>
      <x:c r="B204" s="64" t="str">
        <x:v>V6-E-600276-C05</x:v>
      </x:c>
      <x:c r="C204" s="64" t="str">
        <x:v>V6-Q021</x:v>
      </x:c>
      <x:c r="D204" s="40" t="str">
        <x:v>恒瑞医药</x:v>
      </x:c>
      <x:c r="E204" s="64" t="str">
        <x:v>600276</x:v>
      </x:c>
      <x:c r="F204" s="87" t="n">
        <x:v>46260.75</x:v>
      </x:c>
      <x:c r="G204" s="51" t="str">
        <x:v>对外许可首付款确认是否会造成收入与利润阶段性波动</x:v>
      </x:c>
      <x:c r="H204" s="64" t="str">
        <x:v>DOC-EVT-600276-00227</x:v>
      </x:c>
      <x:c r="I204" s="51" t="str">
        <x:v>恒瑞医药关于与IDEAYA Biosciences签署SHR-4849项目授权许可协议的公告</x:v>
      </x:c>
      <x:c r="J204" s="87" t="n">
        <x:v>45656</x:v>
      </x:c>
      <x:c r="K204" s="73" t="str">
        <x:v>http://static.cninfo.com.cn/finalpage/2024-12-30/1222173783.PDF</x:v>
      </x:c>
      <x:c r="L204" s="40" t="str">
        <x:v>第1页</x:v>
      </x:c>
      <x:c r="M204"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04" s="41" t="str">
        <x:v>3-直接相关</x:v>
      </x:c>
      <x:c r="O204" s="41" t="str">
        <x:v>是</x:v>
      </x:c>
      <x:c r="P204" s="57" t="str">
        <x:v>公告披露自主ADC项目向海外公司有偿许可；证据直接披露或决定对外许可首付款的确认金额、时点及利润影响，可直接用于回答当前查询。</x:v>
      </x:c>
      <x:c r="Q204" s="41" t="str">
        <x:v>B-CODEX-FIN-01</x:v>
      </x:c>
      <x:c r="R204" s="80" t="inlineStr">
        <x:is>
          <x:t>2026-08-30T13:30:00+08:00</x:t>
        </x:is>
      </x:c>
    </x:row>
    <x:row r="205" ht="72" customHeight="1">
      <x:c r="A205" s="64" t="str">
        <x:v>V6-R-Q021-C02</x:v>
      </x:c>
      <x:c r="B205" s="64" t="str">
        <x:v>V6-E-600276-C02</x:v>
      </x:c>
      <x:c r="C205" s="64" t="str">
        <x:v>V6-Q021</x:v>
      </x:c>
      <x:c r="D205" s="40" t="str">
        <x:v>恒瑞医药</x:v>
      </x:c>
      <x:c r="E205" s="64" t="str">
        <x:v>600276</x:v>
      </x:c>
      <x:c r="F205" s="87" t="n">
        <x:v>46260.75</x:v>
      </x:c>
      <x:c r="G205" s="51" t="str">
        <x:v>对外许可首付款确认是否会造成收入与利润阶段性波动</x:v>
      </x:c>
      <x:c r="H205" s="64" t="str">
        <x:v>DOC-EVT-600276-00376</x:v>
      </x:c>
      <x:c r="I205" s="51" t="str">
        <x:v>恒瑞医药2025年半年度报告</x:v>
      </x:c>
      <x:c r="J205" s="87" t="n">
        <x:v>45890</x:v>
      </x:c>
      <x:c r="K205" s="73" t="str">
        <x:v>http://static.cninfo.com.cn/finalpage/2025-08-21/1224526675.PDF</x:v>
      </x:c>
      <x:c r="L205" s="40" t="str">
        <x:v>第15页</x:v>
      </x:c>
      <x:c r="M205" s="51" t="str">
        <x:v>江苏恒瑞医药股份有限公司2025 年半年度报告 15 / 147 中国创新药资产的全球影响力显著提升。公司坚持科技创新与国际化双轮驱动发展战略，创新转 型成效持续释放，业绩表现稳健向好。 （一）公司经营业绩及影响因素 2025年上半年，公司实现营业收入 157.61亿元，同比增长 15.88%；归属于上市公司股东的 净利润 44.50亿元，同比增长 29.67%；归属于上市公司股东的扣除非经常性损益的净利润 42.73 亿元，同比增长 22.43%。公司持续加大创新力度，维持较高的研发投入，报告期内公司累计研发 投入 38.71亿元，其中费用化研发投入 32.28亿元。 1.创新成果转化高效赋能，创新药销售引领业绩增长 2025 年上半年公司创新药销售及许可收入 95.61 亿元，占公司营业收入比重 60.66%，其中创 新药销售收入 75.70 亿元。瑞维鲁胺、达尔西利、恒格列净等医保内创新药精准定位未被满足的 临床需求，优异的临床数据在实践中得到广泛验证，临床价值获得医生及患者的持续认可，收入 继续保持快速增长。艾瑞昔布、瑞马唑仑、吡咯替尼及氟唑帕利等上市较早的创新药，随着上市 后研究循证医学证据的逐步积累及新适应症的持续获批，应用范围不断扩大，持续为公司销售收 入贡献增量。阿帕替尼、硫培非格司亭、海曲泊帕等创新产品在报告期内亦取得一定增长。此外， 公司部分创新产品因上市时间较短、未纳入医保等原因，销售潜力还远未释放，公司将坚持以医 学、市场为引领，推动新产品普及使用，…</x:v>
      </x:c>
      <x:c r="N205" s="41" t="str">
        <x:v>3-直接相关</x:v>
      </x:c>
      <x:c r="O205" s="41" t="str">
        <x:v>是</x:v>
      </x:c>
      <x:c r="P205" s="57" t="str">
        <x:v>半年报披露创新药销售及许可收入95.61亿元、研发投入38.71亿元和新品增长；证据直接披露或决定对外许可首付款的确认金额、时点及利润影响，可直接用于回答当前查询。</x:v>
      </x:c>
      <x:c r="Q205" s="41" t="str">
        <x:v>B-CODEX-FIN-01</x:v>
      </x:c>
      <x:c r="R205" s="80" t="inlineStr">
        <x:is>
          <x:t>2026-08-30T13:30:00+08:00</x:t>
        </x:is>
      </x:c>
    </x:row>
    <x:row r="206" ht="72" customHeight="1">
      <x:c r="A206" s="64" t="str">
        <x:v>V6-R-Q021-C04</x:v>
      </x:c>
      <x:c r="B206" s="64" t="str">
        <x:v>V6-E-600276-C04</x:v>
      </x:c>
      <x:c r="C206" s="64" t="str">
        <x:v>V6-Q021</x:v>
      </x:c>
      <x:c r="D206" s="40" t="str">
        <x:v>恒瑞医药</x:v>
      </x:c>
      <x:c r="E206" s="64" t="str">
        <x:v>600276</x:v>
      </x:c>
      <x:c r="F206" s="87" t="n">
        <x:v>46260.75</x:v>
      </x:c>
      <x:c r="G206" s="51" t="str">
        <x:v>对外许可首付款确认是否会造成收入与利润阶段性波动</x:v>
      </x:c>
      <x:c r="H206" s="64" t="str">
        <x:v>DOC-EVT-600276-00381</x:v>
      </x:c>
      <x:c r="I206" s="51" t="str">
        <x:v>恒瑞医药2025年半年度报告摘要</x:v>
      </x:c>
      <x:c r="J206" s="87" t="n">
        <x:v>45890</x:v>
      </x:c>
      <x:c r="K206" s="73" t="str">
        <x:v>http://static.cninfo.com.cn/finalpage/2025-08-21/1224526674.PDF</x:v>
      </x:c>
      <x:c r="L206" s="40" t="str">
        <x:v>第2页</x:v>
      </x:c>
      <x:c r="M206"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06" s="41" t="str">
        <x:v>2-间接相关</x:v>
      </x:c>
      <x:c r="O206" s="41" t="str">
        <x:v>是</x:v>
      </x:c>
      <x:c r="P206" s="57" t="str">
        <x:v>半年报摘要披露资产、权益等总体财务数据；该事实可通过许可交易或许可收入确认向当期收入利润传导，间接验证对外许可首付款的确认金额、时点及利润影响，关系清晰且可复核。</x:v>
      </x:c>
      <x:c r="Q206" s="41" t="str">
        <x:v>B-CODEX-FIN-01</x:v>
      </x:c>
      <x:c r="R206" s="80" t="inlineStr">
        <x:is>
          <x:t>2026-08-30T13:30:00+08:00</x:t>
        </x:is>
      </x:c>
    </x:row>
    <x:row r="207" ht="72" customHeight="1">
      <x:c r="A207" s="64" t="str">
        <x:v>V6-R-Q021-C08</x:v>
      </x:c>
      <x:c r="B207" s="64" t="str">
        <x:v>V6-E-600276-C08</x:v>
      </x:c>
      <x:c r="C207" s="64" t="str">
        <x:v>V6-Q021</x:v>
      </x:c>
      <x:c r="D207" s="40" t="str">
        <x:v>恒瑞医药</x:v>
      </x:c>
      <x:c r="E207" s="64" t="str">
        <x:v>600276</x:v>
      </x:c>
      <x:c r="F207" s="87" t="n">
        <x:v>46260.75</x:v>
      </x:c>
      <x:c r="G207" s="51" t="str">
        <x:v>对外许可首付款确认是否会造成收入与利润阶段性波动</x:v>
      </x:c>
      <x:c r="H207" s="64" t="str">
        <x:v>DOC-EVT-600276-00448</x:v>
      </x:c>
      <x:c r="I207" s="51" t="str">
        <x:v>恒瑞医药关于召开2025年第三季度业绩说明会的公告</x:v>
      </x:c>
      <x:c r="J207" s="87" t="n">
        <x:v>45958</x:v>
      </x:c>
      <x:c r="K207" s="73" t="str">
        <x:v>http://static.cninfo.com.cn/finalpage/2025-10-28/1224743062.PDF</x:v>
      </x:c>
      <x:c r="L207" s="40" t="str">
        <x:v>第1页</x:v>
      </x:c>
      <x:c r="M207"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07" s="41" t="str">
        <x:v>0-无关</x:v>
      </x:c>
      <x:c r="O207" s="41" t="str">
        <x:v>否</x:v>
      </x:c>
      <x:c r="P207" s="57" t="str">
        <x:v>公告仅安排季度业绩说明会；内容与许可收入和阶段性波动缺少业务传导，未提供对外许可首付款的确认金额、时点及利润影响，不能支持当前判断。</x:v>
      </x:c>
      <x:c r="Q207" s="41" t="str">
        <x:v>B-CODEX-FIN-01</x:v>
      </x:c>
      <x:c r="R207" s="80" t="inlineStr">
        <x:is>
          <x:t>2026-08-30T13:30:00+08:00</x:t>
        </x:is>
      </x:c>
    </x:row>
    <x:row r="208" ht="72" customHeight="1">
      <x:c r="A208" s="64" t="str">
        <x:v>V6-R-Q021-C10</x:v>
      </x:c>
      <x:c r="B208" s="64" t="str">
        <x:v>V6-E-600276-C10</x:v>
      </x:c>
      <x:c r="C208" s="64" t="str">
        <x:v>V6-Q021</x:v>
      </x:c>
      <x:c r="D208" s="40" t="str">
        <x:v>恒瑞医药</x:v>
      </x:c>
      <x:c r="E208" s="64" t="str">
        <x:v>600276</x:v>
      </x:c>
      <x:c r="F208" s="87" t="n">
        <x:v>46260.75</x:v>
      </x:c>
      <x:c r="G208" s="51" t="str">
        <x:v>对外许可首付款确认是否会造成收入与利润阶段性波动</x:v>
      </x:c>
      <x:c r="H208" s="64" t="str">
        <x:v>DOC-EVT-600276-00692</x:v>
      </x:c>
      <x:c r="I208" s="51" t="str">
        <x:v>恒瑞医药关于获得药品注册批准的公告</x:v>
      </x:c>
      <x:c r="J208" s="87" t="n">
        <x:v>46241</x:v>
      </x:c>
      <x:c r="K208" s="73" t="str">
        <x:v>http://static.cninfo.com.cn/finalpage/2026-08-07/1225462406.PDF</x:v>
      </x:c>
      <x:c r="L208" s="40" t="str">
        <x:v>第1页</x:v>
      </x:c>
      <x:c r="M208"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08" s="41" t="str">
        <x:v>0-无关</x:v>
      </x:c>
      <x:c r="O208" s="41" t="str">
        <x:v>否</x:v>
      </x:c>
      <x:c r="P208" s="57" t="str">
        <x:v>公告披露创新药第三项适应症获批上市；内容与许可收入和阶段性波动缺少业务传导，未提供对外许可首付款的确认金额、时点及利润影响，不能支持当前判断。</x:v>
      </x:c>
      <x:c r="Q208" s="41" t="str">
        <x:v>B-CODEX-FIN-01</x:v>
      </x:c>
      <x:c r="R208" s="80" t="inlineStr">
        <x:is>
          <x:t>2026-08-30T13:30:00+08:00</x:t>
        </x:is>
      </x:c>
    </x:row>
    <x:row r="209" ht="72" customHeight="1">
      <x:c r="A209" s="64" t="str">
        <x:v>V6-R-Q021-C03</x:v>
      </x:c>
      <x:c r="B209" s="64" t="str">
        <x:v>V6-E-600276-C03</x:v>
      </x:c>
      <x:c r="C209" s="64" t="str">
        <x:v>V6-Q021</x:v>
      </x:c>
      <x:c r="D209" s="40" t="str">
        <x:v>恒瑞医药</x:v>
      </x:c>
      <x:c r="E209" s="64" t="str">
        <x:v>600276</x:v>
      </x:c>
      <x:c r="F209" s="87" t="n">
        <x:v>46260.75</x:v>
      </x:c>
      <x:c r="G209" s="51" t="str">
        <x:v>对外许可首付款确认是否会造成收入与利润阶段性波动</x:v>
      </x:c>
      <x:c r="H209" s="64" t="str">
        <x:v>DOC-EVT-600276-00404</x:v>
      </x:c>
      <x:c r="I209" s="51" t="str">
        <x:v>恒瑞医药关于与Braveheart Bio签署HRS-1893项目授权许可协议的公告</x:v>
      </x:c>
      <x:c r="J209" s="87" t="n">
        <x:v>45905</x:v>
      </x:c>
      <x:c r="K209" s="73" t="str">
        <x:v>http://static.cninfo.com.cn/finalpage/2025-09-05/1224640180.PDF</x:v>
      </x:c>
      <x:c r="L209" s="40" t="str">
        <x:v>第1页</x:v>
      </x:c>
      <x:c r="M209"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09" s="41" t="str">
        <x:v>3-直接相关</x:v>
      </x:c>
      <x:c r="O209" s="41" t="str">
        <x:v>是</x:v>
      </x:c>
      <x:c r="P209" s="57" t="str">
        <x:v>公告披露处于III期的创新药向美国公司有偿许可；证据直接披露或决定对外许可首付款的确认金额、时点及利润影响，可直接用于回答当前查询。</x:v>
      </x:c>
      <x:c r="Q209" s="41" t="str">
        <x:v>B-CODEX-FIN-01</x:v>
      </x:c>
      <x:c r="R209" s="80" t="inlineStr">
        <x:is>
          <x:t>2026-08-30T13:30:00+08:00</x:t>
        </x:is>
      </x:c>
    </x:row>
    <x:row r="210" ht="72" customHeight="1">
      <x:c r="A210" s="64" t="str">
        <x:v>V6-R-Q021-C07</x:v>
      </x:c>
      <x:c r="B210" s="64" t="str">
        <x:v>V6-E-600276-C07</x:v>
      </x:c>
      <x:c r="C210" s="64" t="str">
        <x:v>V6-Q021</x:v>
      </x:c>
      <x:c r="D210" s="40" t="str">
        <x:v>恒瑞医药</x:v>
      </x:c>
      <x:c r="E210" s="64" t="str">
        <x:v>600276</x:v>
      </x:c>
      <x:c r="F210" s="87" t="n">
        <x:v>46260.75</x:v>
      </x:c>
      <x:c r="G210" s="51" t="str">
        <x:v>对外许可首付款确认是否会造成收入与利润阶段性波动</x:v>
      </x:c>
      <x:c r="H210" s="64" t="str">
        <x:v>DOC-EVT-600276-00047</x:v>
      </x:c>
      <x:c r="I210" s="51" t="str">
        <x:v>恒瑞医药2023年年度报告</x:v>
      </x:c>
      <x:c r="J210" s="87" t="n">
        <x:v>45400</x:v>
      </x:c>
      <x:c r="K210" s="73" t="str">
        <x:v>http://static.cninfo.com.cn/finalpage/2024-04-18/1219650115.PDF</x:v>
      </x:c>
      <x:c r="L210" s="40" t="str">
        <x:v>第6页</x:v>
      </x:c>
      <x:c r="M210" s="51" t="str">
        <x:v>2023 年年度报告 6 / 246 四、 信息披露及备置地点 公司披露年度报告的媒体名称及网址 《中国证券报》（http://www.cs.com.cn） 《上海证券报》（http://www.cnstock.com） 公司披露年度报告的证券交易所网址 http://www.sse.com.cn 公司年度报告备置地点 恒瑞医药证券事务部、上海证券交易所 五、 公司股票简况 公司股票简况 股票种类 股票上市交易所 股票简称 股票代码 A股 上海证券交易所 恒瑞医药 600276 六、 其他相关资料 公司聘请的会计师事务所 （境内） 名称 苏亚金诚会计师事务所（特殊普通合伙） 办公地址 江苏省南京市建邺区泰山路159 号正太中 心大厦A 座14-16 层 签字会计师姓名 周琼 陈莉 七、 近三年主要会计数据和财务指标 (一) 主要会计数据 单位：元 币种：人民币 主要会计数据 2023年 2022年 本期比上 年同期增 减(%) 2021年 营业收入 22,819,784,741.31 21,275,270,681.52 7.26 25,905,526,375.80 归属于上市公司股 东的净利润 4,302,435,930.05 3,906,375,067.36 10.14 4,530,217,550.47 归属于上市公司股 东的扣除非经常性 损益的净利润 4,141,262,764.05 3,409,628,644.01 21.46 4,200,699,248.35 经营活…</x:v>
      </x:c>
      <x:c r="N210" s="41" t="str">
        <x:v>1-弱相关</x:v>
      </x:c>
      <x:c r="O210" s="41" t="str">
        <x:v>否</x:v>
      </x:c>
      <x:c r="P210" s="57" t="str">
        <x:v>年报披露历史收入、净利润、扣非利润和经营现金流；虽与许可收入和阶段性波动主题相近，但未提供对外许可首付款的确认金额、时点及利润影响，不足以建立可靠传导链。</x:v>
      </x:c>
      <x:c r="Q210" s="41" t="str">
        <x:v>B-CODEX-FIN-01</x:v>
      </x:c>
      <x:c r="R210" s="80" t="inlineStr">
        <x:is>
          <x:t>2026-08-30T13:30:00+08:00</x:t>
        </x:is>
      </x:c>
    </x:row>
    <x:row r="211" ht="72" customHeight="1">
      <x:c r="A211" s="64" t="str">
        <x:v>V6-R-Q021-C01</x:v>
      </x:c>
      <x:c r="B211" s="64" t="str">
        <x:v>V6-E-600276-C01</x:v>
      </x:c>
      <x:c r="C211" s="64" t="str">
        <x:v>V6-Q021</x:v>
      </x:c>
      <x:c r="D211" s="40" t="str">
        <x:v>恒瑞医药</x:v>
      </x:c>
      <x:c r="E211" s="64" t="str">
        <x:v>600276</x:v>
      </x:c>
      <x:c r="F211" s="87" t="n">
        <x:v>46260.75</x:v>
      </x:c>
      <x:c r="G211" s="51" t="str">
        <x:v>对外许可首付款确认是否会造成收入与利润阶段性波动</x:v>
      </x:c>
      <x:c r="H211" s="64" t="str">
        <x:v>DOC-EVT-600276-00684</x:v>
      </x:c>
      <x:c r="I211" s="51" t="str">
        <x:v>恒瑞医药关于药品上市许可申请获受理的提示性公告</x:v>
      </x:c>
      <x:c r="J211" s="87" t="n">
        <x:v>46233</x:v>
      </x:c>
      <x:c r="K211" s="73" t="str">
        <x:v>http://static.cninfo.com.cn/finalpage/2026-07-30/1225446618.PDF</x:v>
      </x:c>
      <x:c r="L211" s="40" t="str">
        <x:v>第1页</x:v>
      </x:c>
      <x:c r="M211"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11" s="41" t="str">
        <x:v>0-无关</x:v>
      </x:c>
      <x:c r="O211" s="41" t="str">
        <x:v>否</x:v>
      </x:c>
      <x:c r="P211" s="57" t="str">
        <x:v>公告披露基于498例III期试验的药品上市申请获受理；内容与许可收入和阶段性波动缺少业务传导，未提供对外许可首付款的确认金额、时点及利润影响，不能支持当前判断。</x:v>
      </x:c>
      <x:c r="Q211" s="41" t="str">
        <x:v>B-CODEX-FIN-01</x:v>
      </x:c>
      <x:c r="R211" s="80" t="inlineStr">
        <x:is>
          <x:t>2026-08-30T13:30:00+08:00</x:t>
        </x:is>
      </x:c>
    </x:row>
    <x:row r="212" ht="72" customHeight="1">
      <x:c r="A212" s="64" t="str">
        <x:v>V6-R-Q022-C05</x:v>
      </x:c>
      <x:c r="B212" s="64" t="str">
        <x:v>V6-E-600276-C05</x:v>
      </x:c>
      <x:c r="C212" s="64" t="str">
        <x:v>V6-Q022</x:v>
      </x:c>
      <x:c r="D212" s="40" t="str">
        <x:v>恒瑞医药</x:v>
      </x:c>
      <x:c r="E212" s="64" t="str">
        <x:v>600276</x:v>
      </x:c>
      <x:c r="F212" s="87" t="n">
        <x:v>46260.75</x:v>
      </x:c>
      <x:c r="G212" s="51" t="str">
        <x:v>后期临床项目占比提升能否提高管线上市兑现率</x:v>
      </x:c>
      <x:c r="H212" s="64" t="str">
        <x:v>DOC-EVT-600276-00227</x:v>
      </x:c>
      <x:c r="I212" s="51" t="str">
        <x:v>恒瑞医药关于与IDEAYA Biosciences签署SHR-4849项目授权许可协议的公告</x:v>
      </x:c>
      <x:c r="J212" s="87" t="n">
        <x:v>45656</x:v>
      </x:c>
      <x:c r="K212" s="73" t="str">
        <x:v>http://static.cninfo.com.cn/finalpage/2024-12-30/1222173783.PDF</x:v>
      </x:c>
      <x:c r="L212" s="40" t="str">
        <x:v>第1页</x:v>
      </x:c>
      <x:c r="M212"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12" s="41" t="str">
        <x:v>1-弱相关</x:v>
      </x:c>
      <x:c r="O212" s="41" t="str">
        <x:v>否</x:v>
      </x:c>
      <x:c r="P212" s="57" t="str">
        <x:v>公告披露自主ADC项目向海外公司有偿许可；虽与临床后期管线和上市主题相近，但未提供后期临床项目占比及上市兑现率，不足以建立可靠传导链。</x:v>
      </x:c>
      <x:c r="Q212" s="41" t="str">
        <x:v>B-CODEX-FIN-01</x:v>
      </x:c>
      <x:c r="R212" s="80" t="inlineStr">
        <x:is>
          <x:t>2026-08-30T13:30:00+08:00</x:t>
        </x:is>
      </x:c>
    </x:row>
    <x:row r="213" ht="72" customHeight="1">
      <x:c r="A213" s="64" t="str">
        <x:v>V6-R-Q022-C06</x:v>
      </x:c>
      <x:c r="B213" s="64" t="str">
        <x:v>V6-E-600276-C06</x:v>
      </x:c>
      <x:c r="C213" s="64" t="str">
        <x:v>V6-Q022</x:v>
      </x:c>
      <x:c r="D213" s="40" t="str">
        <x:v>恒瑞医药</x:v>
      </x:c>
      <x:c r="E213" s="64" t="str">
        <x:v>600276</x:v>
      </x:c>
      <x:c r="F213" s="87" t="n">
        <x:v>46260.75</x:v>
      </x:c>
      <x:c r="G213" s="51" t="str">
        <x:v>后期临床项目占比提升能否提高管线上市兑现率</x:v>
      </x:c>
      <x:c r="H213" s="64" t="str">
        <x:v>DOC-EVT-600276-00648</x:v>
      </x:c>
      <x:c r="I213" s="51" t="str">
        <x:v>H股公告-证券变动月报表</x:v>
      </x:c>
      <x:c r="J213" s="87" t="n">
        <x:v>46176</x:v>
      </x:c>
      <x:c r="K213" s="73" t="str">
        <x:v>http://static.cninfo.com.cn/finalpage/2026-06-03/1225345823.PDF</x:v>
      </x:c>
      <x:c r="L213" s="40" t="str">
        <x:v>第1页</x:v>
      </x:c>
      <x:c r="M213"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13" s="41" t="str">
        <x:v>0-无关</x:v>
      </x:c>
      <x:c r="O213" s="41" t="str">
        <x:v>否</x:v>
      </x:c>
      <x:c r="P213" s="57" t="str">
        <x:v>月报仅披露A股和H股证券变动数据；内容与临床后期管线和上市缺少业务传导，未提供后期临床项目占比及上市兑现率，不能支持当前判断。</x:v>
      </x:c>
      <x:c r="Q213" s="41" t="str">
        <x:v>B-CODEX-FIN-01</x:v>
      </x:c>
      <x:c r="R213" s="80" t="inlineStr">
        <x:is>
          <x:t>2026-08-30T13:30:00+08:00</x:t>
        </x:is>
      </x:c>
    </x:row>
    <x:row r="214" ht="72" customHeight="1">
      <x:c r="A214" s="64" t="str">
        <x:v>V6-R-Q022-C07</x:v>
      </x:c>
      <x:c r="B214" s="64" t="str">
        <x:v>V6-E-600276-C07</x:v>
      </x:c>
      <x:c r="C214" s="64" t="str">
        <x:v>V6-Q022</x:v>
      </x:c>
      <x:c r="D214" s="40" t="str">
        <x:v>恒瑞医药</x:v>
      </x:c>
      <x:c r="E214" s="64" t="str">
        <x:v>600276</x:v>
      </x:c>
      <x:c r="F214" s="87" t="n">
        <x:v>46260.75</x:v>
      </x:c>
      <x:c r="G214" s="51" t="str">
        <x:v>后期临床项目占比提升能否提高管线上市兑现率</x:v>
      </x:c>
      <x:c r="H214" s="64" t="str">
        <x:v>DOC-EVT-600276-00047</x:v>
      </x:c>
      <x:c r="I214" s="51" t="str">
        <x:v>恒瑞医药2023年年度报告</x:v>
      </x:c>
      <x:c r="J214" s="87" t="n">
        <x:v>45400</x:v>
      </x:c>
      <x:c r="K214" s="73" t="str">
        <x:v>http://static.cninfo.com.cn/finalpage/2024-04-18/1219650115.PDF</x:v>
      </x:c>
      <x:c r="L214" s="40" t="str">
        <x:v>第37页</x:v>
      </x:c>
      <x:c r="M214" s="51" t="str">
        <x:v>2023 年年度报告 37 / 246 21、HR20031 作用类别/适应症 SGLT2i + DPP4i + MET 三药复方/2 型糖尿病 创新机制  HR20031 片是恒瑞医药自主研发的钠-葡萄糖协同转运体 2（SGLT2）抑制剂恒格列净、二肽基肽酶-4（dipeptidyl peptidase-4，DPP- 4）抑制剂磷酸瑞格列汀和二甲双胍的固定剂量复方缓释制剂，通过三种不同作用机制达到降血糖作用，拟每日一次口服用于治疗经 二甲双胍治疗后血糖仍控制不佳的 2 型糖尿病，以改善此类患者的血糖控制。同时，本品为缓释制剂，通过减少用药次数简化降糖 疗法，预期能够提高患者的治疗依从性。 注册进展  2023 年11 月成人 2 型糖尿病适应症上市申请获 CDE 受理 22、SHR-1701 作用类别/适应症 PD-L1 &amp; TGF-β 双抗/抗肿瘤 创新机制  SHR-1701 是公司自主研发的靶向 PD-L1 和 TGF-β 双靶点的双特异性抗体。TGF-β 除了可以促进肿瘤细胞的迁移、浸润，进而促进 癌症的进展和转移之外，还能进一步上调抗原递呈细胞（APC）上的 PD-L1，而 APC 细胞可以释放可溶性的 PD-L1 到肿瘤微环境 中，通过 PD-L1 与其受体的相互作用直接抑制细胞毒性 T 淋巴细胞。因此，在抑制 PD-1/PD-L1 通路的基础上，靶向中和肿瘤微环 境中的 TGF-β 可以进一步使 T 细胞恢复活性，增强免疫应答。 临床进展  Ⅲ期临床…</x:v>
      </x:c>
      <x:c r="N214" s="41" t="str">
        <x:v>1-弱相关</x:v>
      </x:c>
      <x:c r="O214" s="41" t="str">
        <x:v>否</x:v>
      </x:c>
      <x:c r="P214" s="57" t="str">
        <x:v>年报披露历史收入、净利润、扣非利润和经营现金流；虽与临床后期管线和上市主题相近，但未提供后期临床项目占比及上市兑现率，不足以建立可靠传导链。</x:v>
      </x:c>
      <x:c r="Q214" s="41" t="str">
        <x:v>B-CODEX-FIN-01</x:v>
      </x:c>
      <x:c r="R214" s="80" t="inlineStr">
        <x:is>
          <x:t>2026-08-30T13:30:00+08:00</x:t>
        </x:is>
      </x:c>
    </x:row>
    <x:row r="215" ht="72" customHeight="1">
      <x:c r="A215" s="64" t="str">
        <x:v>V6-R-Q022-C09</x:v>
      </x:c>
      <x:c r="B215" s="64" t="str">
        <x:v>V6-E-600276-C09</x:v>
      </x:c>
      <x:c r="C215" s="64" t="str">
        <x:v>V6-Q022</x:v>
      </x:c>
      <x:c r="D215" s="40" t="str">
        <x:v>恒瑞医药</x:v>
      </x:c>
      <x:c r="E215" s="64" t="str">
        <x:v>600276</x:v>
      </x:c>
      <x:c r="F215" s="87" t="n">
        <x:v>46260.75</x:v>
      </x:c>
      <x:c r="G215" s="51" t="str">
        <x:v>后期临床项目占比提升能否提高管线上市兑现率</x:v>
      </x:c>
      <x:c r="H215" s="64" t="str">
        <x:v>DOC-EVT-600276-00595</x:v>
      </x:c>
      <x:c r="I215" s="51" t="str">
        <x:v>恒瑞医药2025年度利润分配方案及提请股东会授权董事会制定2026年中期分红方案的公告</x:v>
      </x:c>
      <x:c r="J215" s="87" t="n">
        <x:v>46107</x:v>
      </x:c>
      <x:c r="K215" s="73" t="str">
        <x:v>http://static.cninfo.com.cn/finalpage/2026-03-26/1225032581.PDF</x:v>
      </x:c>
      <x:c r="L215" s="40" t="str">
        <x:v>第1页</x:v>
      </x:c>
      <x:c r="M215"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15" s="41" t="str">
        <x:v>2-间接相关</x:v>
      </x:c>
      <x:c r="O215" s="41" t="str">
        <x:v>是</x:v>
      </x:c>
      <x:c r="P215" s="57" t="str">
        <x:v>分红公告说明海外临床、创新药研发和扩建项目需要大量资金；该事实可通过III期、申报或获批进展向上市兑现率传导，间接验证后期临床项目占比及上市兑现率，关系清晰且可复核。</x:v>
      </x:c>
      <x:c r="Q215" s="41" t="str">
        <x:v>B-CODEX-FIN-01</x:v>
      </x:c>
      <x:c r="R215" s="80" t="inlineStr">
        <x:is>
          <x:t>2026-08-30T13:30:00+08:00</x:t>
        </x:is>
      </x:c>
    </x:row>
    <x:row r="216" ht="72" customHeight="1">
      <x:c r="A216" s="64" t="str">
        <x:v>V6-R-Q022-C04</x:v>
      </x:c>
      <x:c r="B216" s="64" t="str">
        <x:v>V6-E-600276-C04</x:v>
      </x:c>
      <x:c r="C216" s="64" t="str">
        <x:v>V6-Q022</x:v>
      </x:c>
      <x:c r="D216" s="40" t="str">
        <x:v>恒瑞医药</x:v>
      </x:c>
      <x:c r="E216" s="64" t="str">
        <x:v>600276</x:v>
      </x:c>
      <x:c r="F216" s="87" t="n">
        <x:v>46260.75</x:v>
      </x:c>
      <x:c r="G216" s="51" t="str">
        <x:v>后期临床项目占比提升能否提高管线上市兑现率</x:v>
      </x:c>
      <x:c r="H216" s="64" t="str">
        <x:v>DOC-EVT-600276-00381</x:v>
      </x:c>
      <x:c r="I216" s="51" t="str">
        <x:v>恒瑞医药2025年半年度报告摘要</x:v>
      </x:c>
      <x:c r="J216" s="87" t="n">
        <x:v>45890</x:v>
      </x:c>
      <x:c r="K216" s="73" t="str">
        <x:v>http://static.cninfo.com.cn/finalpage/2025-08-21/1224526674.PDF</x:v>
      </x:c>
      <x:c r="L216" s="40" t="str">
        <x:v>第2页</x:v>
      </x:c>
      <x:c r="M216"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16" s="41" t="str">
        <x:v>1-弱相关</x:v>
      </x:c>
      <x:c r="O216" s="41" t="str">
        <x:v>否</x:v>
      </x:c>
      <x:c r="P216" s="57" t="str">
        <x:v>半年报摘要披露资产、权益等总体财务数据；虽与临床后期管线和上市主题相近，但未提供后期临床项目占比及上市兑现率，不足以建立可靠传导链。</x:v>
      </x:c>
      <x:c r="Q216" s="41" t="str">
        <x:v>B-CODEX-FIN-01</x:v>
      </x:c>
      <x:c r="R216" s="80" t="inlineStr">
        <x:is>
          <x:t>2026-08-30T13:30:00+08:00</x:t>
        </x:is>
      </x:c>
    </x:row>
    <x:row r="217" ht="72" customHeight="1">
      <x:c r="A217" s="64" t="str">
        <x:v>V6-R-Q022-C08</x:v>
      </x:c>
      <x:c r="B217" s="64" t="str">
        <x:v>V6-E-600276-C08</x:v>
      </x:c>
      <x:c r="C217" s="64" t="str">
        <x:v>V6-Q022</x:v>
      </x:c>
      <x:c r="D217" s="40" t="str">
        <x:v>恒瑞医药</x:v>
      </x:c>
      <x:c r="E217" s="64" t="str">
        <x:v>600276</x:v>
      </x:c>
      <x:c r="F217" s="87" t="n">
        <x:v>46260.75</x:v>
      </x:c>
      <x:c r="G217" s="51" t="str">
        <x:v>后期临床项目占比提升能否提高管线上市兑现率</x:v>
      </x:c>
      <x:c r="H217" s="64" t="str">
        <x:v>DOC-EVT-600276-00448</x:v>
      </x:c>
      <x:c r="I217" s="51" t="str">
        <x:v>恒瑞医药关于召开2025年第三季度业绩说明会的公告</x:v>
      </x:c>
      <x:c r="J217" s="87" t="n">
        <x:v>45958</x:v>
      </x:c>
      <x:c r="K217" s="73" t="str">
        <x:v>http://static.cninfo.com.cn/finalpage/2025-10-28/1224743062.PDF</x:v>
      </x:c>
      <x:c r="L217" s="40" t="str">
        <x:v>第1页</x:v>
      </x:c>
      <x:c r="M217"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17" s="41" t="str">
        <x:v>0-无关</x:v>
      </x:c>
      <x:c r="O217" s="41" t="str">
        <x:v>否</x:v>
      </x:c>
      <x:c r="P217" s="57" t="str">
        <x:v>公告仅安排季度业绩说明会；内容与临床后期管线和上市缺少业务传导，未提供后期临床项目占比及上市兑现率，不能支持当前判断。</x:v>
      </x:c>
      <x:c r="Q217" s="41" t="str">
        <x:v>B-CODEX-FIN-01</x:v>
      </x:c>
      <x:c r="R217" s="80" t="inlineStr">
        <x:is>
          <x:t>2026-08-30T13:30:00+08:00</x:t>
        </x:is>
      </x:c>
    </x:row>
    <x:row r="218" ht="72" customHeight="1">
      <x:c r="A218" s="64" t="str">
        <x:v>V6-R-Q022-C01</x:v>
      </x:c>
      <x:c r="B218" s="64" t="str">
        <x:v>V6-E-600276-C01</x:v>
      </x:c>
      <x:c r="C218" s="64" t="str">
        <x:v>V6-Q022</x:v>
      </x:c>
      <x:c r="D218" s="40" t="str">
        <x:v>恒瑞医药</x:v>
      </x:c>
      <x:c r="E218" s="64" t="str">
        <x:v>600276</x:v>
      </x:c>
      <x:c r="F218" s="87" t="n">
        <x:v>46260.75</x:v>
      </x:c>
      <x:c r="G218" s="51" t="str">
        <x:v>后期临床项目占比提升能否提高管线上市兑现率</x:v>
      </x:c>
      <x:c r="H218" s="64" t="str">
        <x:v>DOC-EVT-600276-00684</x:v>
      </x:c>
      <x:c r="I218" s="51" t="str">
        <x:v>恒瑞医药关于药品上市许可申请获受理的提示性公告</x:v>
      </x:c>
      <x:c r="J218" s="87" t="n">
        <x:v>46233</x:v>
      </x:c>
      <x:c r="K218" s="73" t="str">
        <x:v>http://static.cninfo.com.cn/finalpage/2026-07-30/1225446618.PDF</x:v>
      </x:c>
      <x:c r="L218" s="40" t="str">
        <x:v>第1页</x:v>
      </x:c>
      <x:c r="M218"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18" s="41" t="str">
        <x:v>3-直接相关</x:v>
      </x:c>
      <x:c r="O218" s="41" t="str">
        <x:v>是</x:v>
      </x:c>
      <x:c r="P218" s="57" t="str">
        <x:v>公告披露基于498例III期试验的药品上市申请获受理；证据直接披露或决定后期临床项目占比及上市兑现率，可直接用于回答当前查询。</x:v>
      </x:c>
      <x:c r="Q218" s="41" t="str">
        <x:v>B-CODEX-FIN-01</x:v>
      </x:c>
      <x:c r="R218" s="80" t="inlineStr">
        <x:is>
          <x:t>2026-08-30T13:30:00+08:00</x:t>
        </x:is>
      </x:c>
    </x:row>
    <x:row r="219" ht="72" customHeight="1">
      <x:c r="A219" s="64" t="str">
        <x:v>V6-R-Q022-C03</x:v>
      </x:c>
      <x:c r="B219" s="64" t="str">
        <x:v>V6-E-600276-C03</x:v>
      </x:c>
      <x:c r="C219" s="64" t="str">
        <x:v>V6-Q022</x:v>
      </x:c>
      <x:c r="D219" s="40" t="str">
        <x:v>恒瑞医药</x:v>
      </x:c>
      <x:c r="E219" s="64" t="str">
        <x:v>600276</x:v>
      </x:c>
      <x:c r="F219" s="87" t="n">
        <x:v>46260.75</x:v>
      </x:c>
      <x:c r="G219" s="51" t="str">
        <x:v>后期临床项目占比提升能否提高管线上市兑现率</x:v>
      </x:c>
      <x:c r="H219" s="64" t="str">
        <x:v>DOC-EVT-600276-00404</x:v>
      </x:c>
      <x:c r="I219" s="51" t="str">
        <x:v>恒瑞医药关于与Braveheart Bio签署HRS-1893项目授权许可协议的公告</x:v>
      </x:c>
      <x:c r="J219" s="87" t="n">
        <x:v>45905</x:v>
      </x:c>
      <x:c r="K219" s="73" t="str">
        <x:v>http://static.cninfo.com.cn/finalpage/2025-09-05/1224640180.PDF</x:v>
      </x:c>
      <x:c r="L219" s="40" t="str">
        <x:v>第1页</x:v>
      </x:c>
      <x:c r="M219"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19" s="41" t="str">
        <x:v>3-直接相关</x:v>
      </x:c>
      <x:c r="O219" s="41" t="str">
        <x:v>是</x:v>
      </x:c>
      <x:c r="P219" s="57" t="str">
        <x:v>公告披露处于III期的创新药向美国公司有偿许可；证据直接披露或决定后期临床项目占比及上市兑现率，可直接用于回答当前查询。</x:v>
      </x:c>
      <x:c r="Q219" s="41" t="str">
        <x:v>B-CODEX-FIN-01</x:v>
      </x:c>
      <x:c r="R219" s="80" t="inlineStr">
        <x:is>
          <x:t>2026-08-30T13:30:00+08:00</x:t>
        </x:is>
      </x:c>
    </x:row>
    <x:row r="220" ht="72" customHeight="1">
      <x:c r="A220" s="64" t="str">
        <x:v>V6-R-Q022-C02</x:v>
      </x:c>
      <x:c r="B220" s="64" t="str">
        <x:v>V6-E-600276-C02</x:v>
      </x:c>
      <x:c r="C220" s="64" t="str">
        <x:v>V6-Q022</x:v>
      </x:c>
      <x:c r="D220" s="40" t="str">
        <x:v>恒瑞医药</x:v>
      </x:c>
      <x:c r="E220" s="64" t="str">
        <x:v>600276</x:v>
      </x:c>
      <x:c r="F220" s="87" t="n">
        <x:v>46260.75</x:v>
      </x:c>
      <x:c r="G220" s="51" t="str">
        <x:v>后期临床项目占比提升能否提高管线上市兑现率</x:v>
      </x:c>
      <x:c r="H220" s="64" t="str">
        <x:v>DOC-EVT-600276-00376</x:v>
      </x:c>
      <x:c r="I220" s="51" t="str">
        <x:v>恒瑞医药2025年半年度报告</x:v>
      </x:c>
      <x:c r="J220" s="87" t="n">
        <x:v>45890</x:v>
      </x:c>
      <x:c r="K220" s="73" t="str">
        <x:v>http://static.cninfo.com.cn/finalpage/2025-08-21/1224526675.PDF</x:v>
      </x:c>
      <x:c r="L220" s="40" t="str">
        <x:v>第17页</x:v>
      </x:c>
      <x:c r="M220" s="51" t="str">
        <x:v>江苏恒瑞医药股份有限公司2025 年半年度报告 17 / 147 年鉴》，发表时影响因子达 56.7 分，这是目前首个在 HER2 阳性乳腺癌患者中探索 ADC 新辅助治 疗效果和安全性的临床研究，预示着ADC 药物在乳腺癌新辅助治疗中的潜力和应用前景。此外， GLP-1/GIP 双重受体激动剂 HRS9531 注射液治疗中国肥胖或超重受试者的Ⅲ期临床试验 （HRS9531-301）获得积极顶线结果，与安慰剂相比，HRS9531 所有剂量组（2mg、4mg、6mg）在 共同主要终点及全部关键次要终点上均达到优效性，Ⅲ期临床试验的完整结果即将发布。 2.推进研发体系与平台建设，临床转化效率显著提升 （1）加快推进早期研发与转化医学建设。在早期立项阶段，转化医学团队从疾病生物学出发， 围绕公司战略目标和关注的重点疾病领域，持续开展新靶点收集和评估，及时对基础研究、国际 会议披露的最新进展及行业内的研究热点展开深度调研，并借助内部丰富的实验平台对有潜力的 新靶点、新组合、新平台展开预研验证，以确定其开发潜力，根据内部管线发现探索多个适应症； 完善生物信息平台，整合并构建内部多组学数据库，利用 AI技术建立智能化靶点发现平台，用高 质量的内部数据为公司早期开发策略选择提供支持；引进结构生物学平台，为化学药药物发现和 生物药研发项目研究提供支持，该平台拥有最先进的高通量蛋白质晶体学管道，能够精确地识别 蛋白-配体和抗原-抗体复合物结合晶体结构，深入了解分子相互作用，为更好地设计分子、…</x:v>
      </x:c>
      <x:c r="N220" s="41" t="str">
        <x:v>2-间接相关</x:v>
      </x:c>
      <x:c r="O220" s="41" t="str">
        <x:v>是</x:v>
      </x:c>
      <x:c r="P220" s="57" t="str">
        <x:v>半年报披露创新药销售及许可收入95.61亿元、研发投入38.71亿元和新品增长；该事实可通过III期、申报或获批进展向上市兑现率传导，间接验证后期临床项目占比及上市兑现率，关系清晰且可复核。</x:v>
      </x:c>
      <x:c r="Q220" s="41" t="str">
        <x:v>B-CODEX-FIN-01</x:v>
      </x:c>
      <x:c r="R220" s="80" t="inlineStr">
        <x:is>
          <x:t>2026-08-30T13:30:00+08:00</x:t>
        </x:is>
      </x:c>
    </x:row>
    <x:row r="221" ht="72" customHeight="1">
      <x:c r="A221" s="64" t="str">
        <x:v>V6-R-Q022-C10</x:v>
      </x:c>
      <x:c r="B221" s="64" t="str">
        <x:v>V6-E-600276-C10</x:v>
      </x:c>
      <x:c r="C221" s="64" t="str">
        <x:v>V6-Q022</x:v>
      </x:c>
      <x:c r="D221" s="40" t="str">
        <x:v>恒瑞医药</x:v>
      </x:c>
      <x:c r="E221" s="64" t="str">
        <x:v>600276</x:v>
      </x:c>
      <x:c r="F221" s="87" t="n">
        <x:v>46260.75</x:v>
      </x:c>
      <x:c r="G221" s="51" t="str">
        <x:v>后期临床项目占比提升能否提高管线上市兑现率</x:v>
      </x:c>
      <x:c r="H221" s="64" t="str">
        <x:v>DOC-EVT-600276-00692</x:v>
      </x:c>
      <x:c r="I221" s="51" t="str">
        <x:v>恒瑞医药关于获得药品注册批准的公告</x:v>
      </x:c>
      <x:c r="J221" s="87" t="n">
        <x:v>46241</x:v>
      </x:c>
      <x:c r="K221" s="73" t="str">
        <x:v>http://static.cninfo.com.cn/finalpage/2026-08-07/1225462406.PDF</x:v>
      </x:c>
      <x:c r="L221" s="40" t="str">
        <x:v>第1页</x:v>
      </x:c>
      <x:c r="M221"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21" s="41" t="str">
        <x:v>3-直接相关</x:v>
      </x:c>
      <x:c r="O221" s="41" t="str">
        <x:v>是</x:v>
      </x:c>
      <x:c r="P221" s="57" t="str">
        <x:v>公告披露创新药第三项适应症获批上市；证据直接披露或决定后期临床项目占比及上市兑现率，可直接用于回答当前查询。</x:v>
      </x:c>
      <x:c r="Q221" s="41" t="str">
        <x:v>B-CODEX-FIN-01</x:v>
      </x:c>
      <x:c r="R221" s="80" t="inlineStr">
        <x:is>
          <x:t>2026-08-30T13:30:00+08:00</x:t>
        </x:is>
      </x:c>
    </x:row>
    <x:row r="222" ht="72" customHeight="1">
      <x:c r="A222" s="64" t="str">
        <x:v>V6-R-Q023-C10</x:v>
      </x:c>
      <x:c r="B222" s="64" t="str">
        <x:v>V6-E-600276-C10</x:v>
      </x:c>
      <x:c r="C222" s="64" t="str">
        <x:v>V6-Q023</x:v>
      </x:c>
      <x:c r="D222" s="40" t="str">
        <x:v>恒瑞医药</x:v>
      </x:c>
      <x:c r="E222" s="64" t="str">
        <x:v>600276</x:v>
      </x:c>
      <x:c r="F222" s="87" t="n">
        <x:v>46260.75</x:v>
      </x:c>
      <x:c r="G222" s="51" t="str">
        <x:v>海外临床与商业化投入能否被国际收入增长覆盖</x:v>
      </x:c>
      <x:c r="H222" s="64" t="str">
        <x:v>DOC-EVT-600276-00692</x:v>
      </x:c>
      <x:c r="I222" s="51" t="str">
        <x:v>恒瑞医药关于获得药品注册批准的公告</x:v>
      </x:c>
      <x:c r="J222" s="87" t="n">
        <x:v>46241</x:v>
      </x:c>
      <x:c r="K222" s="73" t="str">
        <x:v>http://static.cninfo.com.cn/finalpage/2026-08-07/1225462406.PDF</x:v>
      </x:c>
      <x:c r="L222" s="40" t="str">
        <x:v>第1页</x:v>
      </x:c>
      <x:c r="M222"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22" s="41" t="str">
        <x:v>1-弱相关</x:v>
      </x:c>
      <x:c r="O222" s="41" t="str">
        <x:v>否</x:v>
      </x:c>
      <x:c r="P222" s="57" t="str">
        <x:v>公告披露创新药第三项适应症获批上市；虽与国际化投入和收入主题相近，但未提供海外临床商业化投入与国际收入的覆盖关系，不足以建立可靠传导链。</x:v>
      </x:c>
      <x:c r="Q222" s="41" t="str">
        <x:v>B-CODEX-FIN-01</x:v>
      </x:c>
      <x:c r="R222" s="80" t="inlineStr">
        <x:is>
          <x:t>2026-08-30T13:30:00+08:00</x:t>
        </x:is>
      </x:c>
    </x:row>
    <x:row r="223" ht="72" customHeight="1">
      <x:c r="A223" s="64" t="str">
        <x:v>V6-R-Q023-C07</x:v>
      </x:c>
      <x:c r="B223" s="64" t="str">
        <x:v>V6-E-600276-C07</x:v>
      </x:c>
      <x:c r="C223" s="64" t="str">
        <x:v>V6-Q023</x:v>
      </x:c>
      <x:c r="D223" s="40" t="str">
        <x:v>恒瑞医药</x:v>
      </x:c>
      <x:c r="E223" s="64" t="str">
        <x:v>600276</x:v>
      </x:c>
      <x:c r="F223" s="87" t="n">
        <x:v>46260.75</x:v>
      </x:c>
      <x:c r="G223" s="51" t="str">
        <x:v>海外临床与商业化投入能否被国际收入增长覆盖</x:v>
      </x:c>
      <x:c r="H223" s="64" t="str">
        <x:v>DOC-EVT-600276-00047</x:v>
      </x:c>
      <x:c r="I223" s="51" t="str">
        <x:v>恒瑞医药2023年年度报告</x:v>
      </x:c>
      <x:c r="J223" s="87" t="n">
        <x:v>45400</x:v>
      </x:c>
      <x:c r="K223" s="73" t="str">
        <x:v>http://static.cninfo.com.cn/finalpage/2024-04-18/1219650115.PDF</x:v>
      </x:c>
      <x:c r="L223" s="40" t="str">
        <x:v>第4页</x:v>
      </x:c>
      <x:c r="M223" s="51" t="str">
        <x:v>2023 年年度报告 4 / 246 第一节 释义 一、 释义 在本报告书中，除非文义另有所指，下列词语具有如下含义： 常用词语释义 恒瑞医药、母公司、公司 指 江苏恒瑞医药股份有限公司 报告期 指 2023年1月1日至 2023年12月 31日 中国证监会 指 中国证券监督管理委员会 上交所 指 上海证券交易所 国家药监局、NMPA 指 国家药品监督管理局 CDE 指 国家药品监督管理局药品审评中心 FDA 指 美国食品药品监督管理局 孤儿药资格 指 美国食品药品监督管理局给予的孤儿药认定 医保药品目录、 国家医保目录 指 《国家基本医疗保险、工伤保险和生育保险药品目录》 一致性评价 指 仿制药质量和疗效一致性评价 集采 指 国家组织的药品集中带量采购 DTP药房 指 直接面向患者提供更有价值的专业服务的药房 GMP 指 药品生产质量管理规范 PCC 指 临床前候选化合物 First-in-class 指 同类首创 Best-in-class 指 同类最优 PCT 指 《专利合作条约》 IND 指 新药研究申请 BLA 指 生物制品许可申请 NDA 指 新药上市申请 mOS 指 中位总生存期 ORR 指 客观缓解率 PFS 指 无进展生存期 QC 指 质量控制 mRNA 指 信使RNA PROTAC 指 蛋白质水解靶向嵌合体 核药 指 放射性药物 IHC平台 指 免疫组织化学平台 TCR平台 指 T细胞受体平台 CADD 指 计算机辅助药物设计 AIDD 指 人工智能药物…</x:v>
      </x:c>
      <x:c r="N223" s="41" t="str">
        <x:v>1-弱相关</x:v>
      </x:c>
      <x:c r="O223" s="41" t="str">
        <x:v>否</x:v>
      </x:c>
      <x:c r="P223" s="57" t="str">
        <x:v>年报披露历史收入、净利润、扣非利润和经营现金流；虽与国际化投入和收入主题相近，但未提供海外临床商业化投入与国际收入的覆盖关系，不足以建立可靠传导链。</x:v>
      </x:c>
      <x:c r="Q223" s="41" t="str">
        <x:v>B-CODEX-FIN-01</x:v>
      </x:c>
      <x:c r="R223" s="80" t="inlineStr">
        <x:is>
          <x:t>2026-08-30T13:30:00+08:00</x:t>
        </x:is>
      </x:c>
    </x:row>
    <x:row r="224" ht="72" customHeight="1">
      <x:c r="A224" s="64" t="str">
        <x:v>V6-R-Q023-C02</x:v>
      </x:c>
      <x:c r="B224" s="64" t="str">
        <x:v>V6-E-600276-C02</x:v>
      </x:c>
      <x:c r="C224" s="64" t="str">
        <x:v>V6-Q023</x:v>
      </x:c>
      <x:c r="D224" s="40" t="str">
        <x:v>恒瑞医药</x:v>
      </x:c>
      <x:c r="E224" s="64" t="str">
        <x:v>600276</x:v>
      </x:c>
      <x:c r="F224" s="87" t="n">
        <x:v>46260.75</x:v>
      </x:c>
      <x:c r="G224" s="51" t="str">
        <x:v>海外临床与商业化投入能否被国际收入增长覆盖</x:v>
      </x:c>
      <x:c r="H224" s="64" t="str">
        <x:v>DOC-EVT-600276-00376</x:v>
      </x:c>
      <x:c r="I224" s="51" t="str">
        <x:v>恒瑞医药2025年半年度报告</x:v>
      </x:c>
      <x:c r="J224" s="87" t="n">
        <x:v>45890</x:v>
      </x:c>
      <x:c r="K224" s="73" t="str">
        <x:v>http://static.cninfo.com.cn/finalpage/2025-08-21/1224526675.PDF</x:v>
      </x:c>
      <x:c r="L224" s="40" t="str">
        <x:v>第15页</x:v>
      </x:c>
      <x:c r="M224" s="51" t="str">
        <x:v>江苏恒瑞医药股份有限公司2025 年半年度报告 15 / 147 中国创新药资产的全球影响力显著提升。公司坚持科技创新与国际化双轮驱动发展战略，创新转 型成效持续释放，业绩表现稳健向好。 （一）公司经营业绩及影响因素 2025年上半年，公司实现营业收入 157.61亿元，同比增长 15.88%；归属于上市公司股东的 净利润 44.50亿元，同比增长 29.67%；归属于上市公司股东的扣除非经常性损益的净利润 42.73 亿元，同比增长 22.43%。公司持续加大创新力度，维持较高的研发投入，报告期内公司累计研发 投入 38.71亿元，其中费用化研发投入 32.28亿元。 1.创新成果转化高效赋能，创新药销售引领业绩增长 2025 年上半年公司创新药销售及许可收入 95.61 亿元，占公司营业收入比重 60.66%，其中创 新药销售收入 75.70 亿元。瑞维鲁胺、达尔西利、恒格列净等医保内创新药精准定位未被满足的 临床需求，优异的临床数据在实践中得到广泛验证，临床价值获得医生及患者的持续认可，收入 继续保持快速增长。艾瑞昔布、瑞马唑仑、吡咯替尼及氟唑帕利等上市较早的创新药，随着上市 后研究循证医学证据的逐步积累及新适应症的持续获批，应用范围不断扩大，持续为公司销售收 入贡献增量。阿帕替尼、硫培非格司亭、海曲泊帕等创新产品在报告期内亦取得一定增长。此外， 公司部分创新产品因上市时间较短、未纳入医保等原因，销售潜力还远未释放，公司将坚持以医 学、市场为引领，推动新产品普及使用，…</x:v>
      </x:c>
      <x:c r="N224" s="41" t="str">
        <x:v>3-直接相关</x:v>
      </x:c>
      <x:c r="O224" s="41" t="str">
        <x:v>是</x:v>
      </x:c>
      <x:c r="P224" s="57" t="str">
        <x:v>半年报披露创新药销售及许可收入95.61亿元、研发投入38.71亿元和新品增长；证据直接披露或决定海外临床商业化投入与国际收入的覆盖关系，可直接用于回答当前查询。</x:v>
      </x:c>
      <x:c r="Q224" s="41" t="str">
        <x:v>B-CODEX-FIN-01</x:v>
      </x:c>
      <x:c r="R224" s="80" t="inlineStr">
        <x:is>
          <x:t>2026-08-30T13:30:00+08:00</x:t>
        </x:is>
      </x:c>
    </x:row>
    <x:row r="225" ht="72" customHeight="1">
      <x:c r="A225" s="64" t="str">
        <x:v>V6-R-Q023-C08</x:v>
      </x:c>
      <x:c r="B225" s="64" t="str">
        <x:v>V6-E-600276-C08</x:v>
      </x:c>
      <x:c r="C225" s="64" t="str">
        <x:v>V6-Q023</x:v>
      </x:c>
      <x:c r="D225" s="40" t="str">
        <x:v>恒瑞医药</x:v>
      </x:c>
      <x:c r="E225" s="64" t="str">
        <x:v>600276</x:v>
      </x:c>
      <x:c r="F225" s="87" t="n">
        <x:v>46260.75</x:v>
      </x:c>
      <x:c r="G225" s="51" t="str">
        <x:v>海外临床与商业化投入能否被国际收入增长覆盖</x:v>
      </x:c>
      <x:c r="H225" s="64" t="str">
        <x:v>DOC-EVT-600276-00448</x:v>
      </x:c>
      <x:c r="I225" s="51" t="str">
        <x:v>恒瑞医药关于召开2025年第三季度业绩说明会的公告</x:v>
      </x:c>
      <x:c r="J225" s="87" t="n">
        <x:v>45958</x:v>
      </x:c>
      <x:c r="K225" s="73" t="str">
        <x:v>http://static.cninfo.com.cn/finalpage/2025-10-28/1224743062.PDF</x:v>
      </x:c>
      <x:c r="L225" s="40" t="str">
        <x:v>第1页</x:v>
      </x:c>
      <x:c r="M225"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25" s="41" t="str">
        <x:v>0-无关</x:v>
      </x:c>
      <x:c r="O225" s="41" t="str">
        <x:v>否</x:v>
      </x:c>
      <x:c r="P225" s="57" t="str">
        <x:v>公告仅安排季度业绩说明会；内容与国际化投入和收入缺少业务传导，未提供海外临床商业化投入与国际收入的覆盖关系，不能支持当前判断。</x:v>
      </x:c>
      <x:c r="Q225" s="41" t="str">
        <x:v>B-CODEX-FIN-01</x:v>
      </x:c>
      <x:c r="R225" s="80" t="inlineStr">
        <x:is>
          <x:t>2026-08-30T13:30:00+08:00</x:t>
        </x:is>
      </x:c>
    </x:row>
    <x:row r="226" ht="72" customHeight="1">
      <x:c r="A226" s="64" t="str">
        <x:v>V6-R-Q023-C01</x:v>
      </x:c>
      <x:c r="B226" s="64" t="str">
        <x:v>V6-E-600276-C01</x:v>
      </x:c>
      <x:c r="C226" s="64" t="str">
        <x:v>V6-Q023</x:v>
      </x:c>
      <x:c r="D226" s="40" t="str">
        <x:v>恒瑞医药</x:v>
      </x:c>
      <x:c r="E226" s="64" t="str">
        <x:v>600276</x:v>
      </x:c>
      <x:c r="F226" s="87" t="n">
        <x:v>46260.75</x:v>
      </x:c>
      <x:c r="G226" s="51" t="str">
        <x:v>海外临床与商业化投入能否被国际收入增长覆盖</x:v>
      </x:c>
      <x:c r="H226" s="64" t="str">
        <x:v>DOC-EVT-600276-00684</x:v>
      </x:c>
      <x:c r="I226" s="51" t="str">
        <x:v>恒瑞医药关于药品上市许可申请获受理的提示性公告</x:v>
      </x:c>
      <x:c r="J226" s="87" t="n">
        <x:v>46233</x:v>
      </x:c>
      <x:c r="K226" s="73" t="str">
        <x:v>http://static.cninfo.com.cn/finalpage/2026-07-30/1225446618.PDF</x:v>
      </x:c>
      <x:c r="L226" s="40" t="str">
        <x:v>第1页</x:v>
      </x:c>
      <x:c r="M226"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26" s="41" t="str">
        <x:v>1-弱相关</x:v>
      </x:c>
      <x:c r="O226" s="41" t="str">
        <x:v>否</x:v>
      </x:c>
      <x:c r="P226" s="57" t="str">
        <x:v>公告披露基于498例III期试验的药品上市申请获受理；虽与国际化投入和收入主题相近，但未提供海外临床商业化投入与国际收入的覆盖关系，不足以建立可靠传导链。</x:v>
      </x:c>
      <x:c r="Q226" s="41" t="str">
        <x:v>B-CODEX-FIN-01</x:v>
      </x:c>
      <x:c r="R226" s="80" t="inlineStr">
        <x:is>
          <x:t>2026-08-30T13:30:00+08:00</x:t>
        </x:is>
      </x:c>
    </x:row>
    <x:row r="227" ht="72" customHeight="1">
      <x:c r="A227" s="64" t="str">
        <x:v>V6-R-Q023-C05</x:v>
      </x:c>
      <x:c r="B227" s="64" t="str">
        <x:v>V6-E-600276-C05</x:v>
      </x:c>
      <x:c r="C227" s="64" t="str">
        <x:v>V6-Q023</x:v>
      </x:c>
      <x:c r="D227" s="40" t="str">
        <x:v>恒瑞医药</x:v>
      </x:c>
      <x:c r="E227" s="64" t="str">
        <x:v>600276</x:v>
      </x:c>
      <x:c r="F227" s="87" t="n">
        <x:v>46260.75</x:v>
      </x:c>
      <x:c r="G227" s="51" t="str">
        <x:v>海外临床与商业化投入能否被国际收入增长覆盖</x:v>
      </x:c>
      <x:c r="H227" s="64" t="str">
        <x:v>DOC-EVT-600276-00227</x:v>
      </x:c>
      <x:c r="I227" s="51" t="str">
        <x:v>恒瑞医药关于与IDEAYA Biosciences签署SHR-4849项目授权许可协议的公告</x:v>
      </x:c>
      <x:c r="J227" s="87" t="n">
        <x:v>45656</x:v>
      </x:c>
      <x:c r="K227" s="73" t="str">
        <x:v>http://static.cninfo.com.cn/finalpage/2024-12-30/1222173783.PDF</x:v>
      </x:c>
      <x:c r="L227" s="40" t="str">
        <x:v>第1页</x:v>
      </x:c>
      <x:c r="M227"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27" s="41" t="str">
        <x:v>2-间接相关</x:v>
      </x:c>
      <x:c r="O227" s="41" t="str">
        <x:v>是</x:v>
      </x:c>
      <x:c r="P227" s="57" t="str">
        <x:v>公告披露自主ADC项目向海外公司有偿许可；该事实可通过海外许可或国际业务收入向海外投入覆盖传导，间接验证海外临床商业化投入与国际收入的覆盖关系，关系清晰且可复核。</x:v>
      </x:c>
      <x:c r="Q227" s="41" t="str">
        <x:v>B-CODEX-FIN-01</x:v>
      </x:c>
      <x:c r="R227" s="80" t="inlineStr">
        <x:is>
          <x:t>2026-08-30T13:30:00+08:00</x:t>
        </x:is>
      </x:c>
    </x:row>
    <x:row r="228" ht="72" customHeight="1">
      <x:c r="A228" s="64" t="str">
        <x:v>V6-R-Q023-C04</x:v>
      </x:c>
      <x:c r="B228" s="64" t="str">
        <x:v>V6-E-600276-C04</x:v>
      </x:c>
      <x:c r="C228" s="64" t="str">
        <x:v>V6-Q023</x:v>
      </x:c>
      <x:c r="D228" s="40" t="str">
        <x:v>恒瑞医药</x:v>
      </x:c>
      <x:c r="E228" s="64" t="str">
        <x:v>600276</x:v>
      </x:c>
      <x:c r="F228" s="87" t="n">
        <x:v>46260.75</x:v>
      </x:c>
      <x:c r="G228" s="51" t="str">
        <x:v>海外临床与商业化投入能否被国际收入增长覆盖</x:v>
      </x:c>
      <x:c r="H228" s="64" t="str">
        <x:v>DOC-EVT-600276-00381</x:v>
      </x:c>
      <x:c r="I228" s="51" t="str">
        <x:v>恒瑞医药2025年半年度报告摘要</x:v>
      </x:c>
      <x:c r="J228" s="87" t="n">
        <x:v>45890</x:v>
      </x:c>
      <x:c r="K228" s="73" t="str">
        <x:v>http://static.cninfo.com.cn/finalpage/2025-08-21/1224526674.PDF</x:v>
      </x:c>
      <x:c r="L228" s="40" t="str">
        <x:v>第2页</x:v>
      </x:c>
      <x:c r="M228"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28" s="41" t="str">
        <x:v>2-间接相关</x:v>
      </x:c>
      <x:c r="O228" s="41" t="str">
        <x:v>是</x:v>
      </x:c>
      <x:c r="P228" s="57" t="str">
        <x:v>半年报摘要披露资产、权益等总体财务数据；该事实可通过海外许可或国际业务收入向海外投入覆盖传导，间接验证海外临床商业化投入与国际收入的覆盖关系，关系清晰且可复核。</x:v>
      </x:c>
      <x:c r="Q228" s="41" t="str">
        <x:v>B-CODEX-FIN-01</x:v>
      </x:c>
      <x:c r="R228" s="80" t="inlineStr">
        <x:is>
          <x:t>2026-08-30T13:30:00+08:00</x:t>
        </x:is>
      </x:c>
    </x:row>
    <x:row r="229" ht="72" customHeight="1">
      <x:c r="A229" s="64" t="str">
        <x:v>V6-R-Q023-C06</x:v>
      </x:c>
      <x:c r="B229" s="64" t="str">
        <x:v>V6-E-600276-C06</x:v>
      </x:c>
      <x:c r="C229" s="64" t="str">
        <x:v>V6-Q023</x:v>
      </x:c>
      <x:c r="D229" s="40" t="str">
        <x:v>恒瑞医药</x:v>
      </x:c>
      <x:c r="E229" s="64" t="str">
        <x:v>600276</x:v>
      </x:c>
      <x:c r="F229" s="87" t="n">
        <x:v>46260.75</x:v>
      </x:c>
      <x:c r="G229" s="51" t="str">
        <x:v>海外临床与商业化投入能否被国际收入增长覆盖</x:v>
      </x:c>
      <x:c r="H229" s="64" t="str">
        <x:v>DOC-EVT-600276-00648</x:v>
      </x:c>
      <x:c r="I229" s="51" t="str">
        <x:v>H股公告-证券变动月报表</x:v>
      </x:c>
      <x:c r="J229" s="87" t="n">
        <x:v>46176</x:v>
      </x:c>
      <x:c r="K229" s="73" t="str">
        <x:v>http://static.cninfo.com.cn/finalpage/2026-06-03/1225345823.PDF</x:v>
      </x:c>
      <x:c r="L229" s="40" t="str">
        <x:v>第1页</x:v>
      </x:c>
      <x:c r="M229"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29" s="41" t="str">
        <x:v>0-无关</x:v>
      </x:c>
      <x:c r="O229" s="41" t="str">
        <x:v>否</x:v>
      </x:c>
      <x:c r="P229" s="57" t="str">
        <x:v>月报仅披露A股和H股证券变动数据；内容与国际化投入和收入缺少业务传导，未提供海外临床商业化投入与国际收入的覆盖关系，不能支持当前判断。</x:v>
      </x:c>
      <x:c r="Q229" s="41" t="str">
        <x:v>B-CODEX-FIN-01</x:v>
      </x:c>
      <x:c r="R229" s="80" t="inlineStr">
        <x:is>
          <x:t>2026-08-30T13:30:00+08:00</x:t>
        </x:is>
      </x:c>
    </x:row>
    <x:row r="230" ht="72" customHeight="1">
      <x:c r="A230" s="64" t="str">
        <x:v>V6-R-Q023-C03</x:v>
      </x:c>
      <x:c r="B230" s="64" t="str">
        <x:v>V6-E-600276-C03</x:v>
      </x:c>
      <x:c r="C230" s="64" t="str">
        <x:v>V6-Q023</x:v>
      </x:c>
      <x:c r="D230" s="40" t="str">
        <x:v>恒瑞医药</x:v>
      </x:c>
      <x:c r="E230" s="64" t="str">
        <x:v>600276</x:v>
      </x:c>
      <x:c r="F230" s="87" t="n">
        <x:v>46260.75</x:v>
      </x:c>
      <x:c r="G230" s="51" t="str">
        <x:v>海外临床与商业化投入能否被国际收入增长覆盖</x:v>
      </x:c>
      <x:c r="H230" s="64" t="str">
        <x:v>DOC-EVT-600276-00404</x:v>
      </x:c>
      <x:c r="I230" s="51" t="str">
        <x:v>恒瑞医药关于与Braveheart Bio签署HRS-1893项目授权许可协议的公告</x:v>
      </x:c>
      <x:c r="J230" s="87" t="n">
        <x:v>45905</x:v>
      </x:c>
      <x:c r="K230" s="73" t="str">
        <x:v>http://static.cninfo.com.cn/finalpage/2025-09-05/1224640180.PDF</x:v>
      </x:c>
      <x:c r="L230" s="40" t="str">
        <x:v>第1页</x:v>
      </x:c>
      <x:c r="M230"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30" s="41" t="str">
        <x:v>3-直接相关</x:v>
      </x:c>
      <x:c r="O230" s="41" t="str">
        <x:v>是</x:v>
      </x:c>
      <x:c r="P230" s="57" t="str">
        <x:v>公告披露处于III期的创新药向美国公司有偿许可；证据直接披露或决定海外临床商业化投入与国际收入的覆盖关系，可直接用于回答当前查询。</x:v>
      </x:c>
      <x:c r="Q230" s="41" t="str">
        <x:v>B-CODEX-FIN-01</x:v>
      </x:c>
      <x:c r="R230" s="80" t="inlineStr">
        <x:is>
          <x:t>2026-08-30T13:30:00+08:00</x:t>
        </x:is>
      </x:c>
    </x:row>
    <x:row r="231" ht="72" customHeight="1">
      <x:c r="A231" s="64" t="str">
        <x:v>V6-R-Q023-C09</x:v>
      </x:c>
      <x:c r="B231" s="64" t="str">
        <x:v>V6-E-600276-C09</x:v>
      </x:c>
      <x:c r="C231" s="64" t="str">
        <x:v>V6-Q023</x:v>
      </x:c>
      <x:c r="D231" s="40" t="str">
        <x:v>恒瑞医药</x:v>
      </x:c>
      <x:c r="E231" s="64" t="str">
        <x:v>600276</x:v>
      </x:c>
      <x:c r="F231" s="87" t="n">
        <x:v>46260.75</x:v>
      </x:c>
      <x:c r="G231" s="51" t="str">
        <x:v>海外临床与商业化投入能否被国际收入增长覆盖</x:v>
      </x:c>
      <x:c r="H231" s="64" t="str">
        <x:v>DOC-EVT-600276-00595</x:v>
      </x:c>
      <x:c r="I231" s="51" t="str">
        <x:v>恒瑞医药2025年度利润分配方案及提请股东会授权董事会制定2026年中期分红方案的公告</x:v>
      </x:c>
      <x:c r="J231" s="87" t="n">
        <x:v>46107</x:v>
      </x:c>
      <x:c r="K231" s="73" t="str">
        <x:v>http://static.cninfo.com.cn/finalpage/2026-03-26/1225032581.PDF</x:v>
      </x:c>
      <x:c r="L231" s="40" t="str">
        <x:v>第1页</x:v>
      </x:c>
      <x:c r="M231"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31" s="41" t="str">
        <x:v>2-间接相关</x:v>
      </x:c>
      <x:c r="O231" s="41" t="str">
        <x:v>是</x:v>
      </x:c>
      <x:c r="P231" s="57" t="str">
        <x:v>分红公告说明海外临床、创新药研发和扩建项目需要大量资金；该事实可通过海外许可或国际业务收入向海外投入覆盖传导，间接验证海外临床商业化投入与国际收入的覆盖关系，关系清晰且可复核。</x:v>
      </x:c>
      <x:c r="Q231" s="41" t="str">
        <x:v>B-CODEX-FIN-01</x:v>
      </x:c>
      <x:c r="R231" s="80" t="inlineStr">
        <x:is>
          <x:t>2026-08-30T13:30:00+08:00</x:t>
        </x:is>
      </x:c>
    </x:row>
    <x:row r="232" ht="72" customHeight="1">
      <x:c r="A232" s="64" t="str">
        <x:v>V6-R-Q024-C07</x:v>
      </x:c>
      <x:c r="B232" s="64" t="str">
        <x:v>V6-E-600276-C07</x:v>
      </x:c>
      <x:c r="C232" s="64" t="str">
        <x:v>V6-Q024</x:v>
      </x:c>
      <x:c r="D232" s="40" t="str">
        <x:v>恒瑞医药</x:v>
      </x:c>
      <x:c r="E232" s="64" t="str">
        <x:v>600276</x:v>
      </x:c>
      <x:c r="F232" s="87" t="n">
        <x:v>46260.75</x:v>
      </x:c>
      <x:c r="G232" s="51" t="str">
        <x:v>研发费用增长与新品放量是否支持长期经营杠杆改善</x:v>
      </x:c>
      <x:c r="H232" s="64" t="str">
        <x:v>DOC-EVT-600276-00047</x:v>
      </x:c>
      <x:c r="I232" s="51" t="str">
        <x:v>恒瑞医药2023年年度报告</x:v>
      </x:c>
      <x:c r="J232" s="87" t="n">
        <x:v>45400</x:v>
      </x:c>
      <x:c r="K232" s="73" t="str">
        <x:v>http://static.cninfo.com.cn/finalpage/2024-04-18/1219650115.PDF</x:v>
      </x:c>
      <x:c r="L232" s="40" t="str">
        <x:v>第37页</x:v>
      </x:c>
      <x:c r="M232" s="51" t="str">
        <x:v>2023 年年度报告 37 / 246 21、HR20031 作用类别/适应症 SGLT2i + DPP4i + MET 三药复方/2 型糖尿病 创新机制  HR20031 片是恒瑞医药自主研发的钠-葡萄糖协同转运体 2（SGLT2）抑制剂恒格列净、二肽基肽酶-4（dipeptidyl peptidase-4，DPP- 4）抑制剂磷酸瑞格列汀和二甲双胍的固定剂量复方缓释制剂，通过三种不同作用机制达到降血糖作用，拟每日一次口服用于治疗经 二甲双胍治疗后血糖仍控制不佳的 2 型糖尿病，以改善此类患者的血糖控制。同时，本品为缓释制剂，通过减少用药次数简化降糖 疗法，预期能够提高患者的治疗依从性。 注册进展  2023 年11 月成人 2 型糖尿病适应症上市申请获 CDE 受理 22、SHR-1701 作用类别/适应症 PD-L1 &amp; TGF-β 双抗/抗肿瘤 创新机制  SHR-1701 是公司自主研发的靶向 PD-L1 和 TGF-β 双靶点的双特异性抗体。TGF-β 除了可以促进肿瘤细胞的迁移、浸润，进而促进 癌症的进展和转移之外，还能进一步上调抗原递呈细胞（APC）上的 PD-L1，而 APC 细胞可以释放可溶性的 PD-L1 到肿瘤微环境 中，通过 PD-L1 与其受体的相互作用直接抑制细胞毒性 T 淋巴细胞。因此，在抑制 PD-1/PD-L1 通路的基础上，靶向中和肿瘤微环 境中的 TGF-β 可以进一步使 T 细胞恢复活性，增强免疫应答。 临床进展  Ⅲ期临床…</x:v>
      </x:c>
      <x:c r="N232" s="41" t="str">
        <x:v>2-间接相关</x:v>
      </x:c>
      <x:c r="O232" s="41" t="str">
        <x:v>是</x:v>
      </x:c>
      <x:c r="P232" s="57" t="str">
        <x:v>年报披露历史收入、净利润、扣非利润和经营现金流；该事实可通过研发成果商业化和新品放量向费用摊薄传导，间接验证研发费用、新品收入增长与长期经营杠杆，关系清晰且可复核。</x:v>
      </x:c>
      <x:c r="Q232" s="41" t="str">
        <x:v>B-CODEX-FIN-01</x:v>
      </x:c>
      <x:c r="R232" s="80" t="inlineStr">
        <x:is>
          <x:t>2026-08-30T13:30:00+08:00</x:t>
        </x:is>
      </x:c>
    </x:row>
    <x:row r="233" ht="72" customHeight="1">
      <x:c r="A233" s="64" t="str">
        <x:v>V6-R-Q024-C06</x:v>
      </x:c>
      <x:c r="B233" s="64" t="str">
        <x:v>V6-E-600276-C06</x:v>
      </x:c>
      <x:c r="C233" s="64" t="str">
        <x:v>V6-Q024</x:v>
      </x:c>
      <x:c r="D233" s="40" t="str">
        <x:v>恒瑞医药</x:v>
      </x:c>
      <x:c r="E233" s="64" t="str">
        <x:v>600276</x:v>
      </x:c>
      <x:c r="F233" s="87" t="n">
        <x:v>46260.75</x:v>
      </x:c>
      <x:c r="G233" s="51" t="str">
        <x:v>研发费用增长与新品放量是否支持长期经营杠杆改善</x:v>
      </x:c>
      <x:c r="H233" s="64" t="str">
        <x:v>DOC-EVT-600276-00648</x:v>
      </x:c>
      <x:c r="I233" s="51" t="str">
        <x:v>H股公告-证券变动月报表</x:v>
      </x:c>
      <x:c r="J233" s="87" t="n">
        <x:v>46176</x:v>
      </x:c>
      <x:c r="K233" s="73" t="str">
        <x:v>http://static.cninfo.com.cn/finalpage/2026-06-03/1225345823.PDF</x:v>
      </x:c>
      <x:c r="L233" s="40" t="str">
        <x:v>第1页</x:v>
      </x:c>
      <x:c r="M233"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33" s="41" t="str">
        <x:v>0-无关</x:v>
      </x:c>
      <x:c r="O233" s="41" t="str">
        <x:v>否</x:v>
      </x:c>
      <x:c r="P233" s="57" t="str">
        <x:v>月报仅披露A股和H股证券变动数据；内容与研发、新品和经营杠杆缺少业务传导，未提供研发费用、新品收入增长与长期经营杠杆，不能支持当前判断。</x:v>
      </x:c>
      <x:c r="Q233" s="41" t="str">
        <x:v>B-CODEX-FIN-01</x:v>
      </x:c>
      <x:c r="R233" s="80" t="inlineStr">
        <x:is>
          <x:t>2026-08-30T13:30:00+08:00</x:t>
        </x:is>
      </x:c>
    </x:row>
    <x:row r="234" ht="72" customHeight="1">
      <x:c r="A234" s="64" t="str">
        <x:v>V6-R-Q024-C03</x:v>
      </x:c>
      <x:c r="B234" s="64" t="str">
        <x:v>V6-E-600276-C03</x:v>
      </x:c>
      <x:c r="C234" s="64" t="str">
        <x:v>V6-Q024</x:v>
      </x:c>
      <x:c r="D234" s="40" t="str">
        <x:v>恒瑞医药</x:v>
      </x:c>
      <x:c r="E234" s="64" t="str">
        <x:v>600276</x:v>
      </x:c>
      <x:c r="F234" s="87" t="n">
        <x:v>46260.75</x:v>
      </x:c>
      <x:c r="G234" s="51" t="str">
        <x:v>研发费用增长与新品放量是否支持长期经营杠杆改善</x:v>
      </x:c>
      <x:c r="H234" s="64" t="str">
        <x:v>DOC-EVT-600276-00404</x:v>
      </x:c>
      <x:c r="I234" s="51" t="str">
        <x:v>恒瑞医药关于与Braveheart Bio签署HRS-1893项目授权许可协议的公告</x:v>
      </x:c>
      <x:c r="J234" s="87" t="n">
        <x:v>45905</x:v>
      </x:c>
      <x:c r="K234" s="73" t="str">
        <x:v>http://static.cninfo.com.cn/finalpage/2025-09-05/1224640180.PDF</x:v>
      </x:c>
      <x:c r="L234" s="40" t="str">
        <x:v>第1页</x:v>
      </x:c>
      <x:c r="M234" s="51" t="str">
        <x:v>证券代码：600276 证券简称：恒瑞医药 公告编号：临 2025-141 江苏恒瑞医药股份有限公司 关于与 Braveheart Bio 签署 HRS-1893 项目授权许可协议的公告 本公司董事会及全体董事保证本公告内容不存在任何虚假记载、误导性陈述 或者重大遗漏，并对其内容的真实性、准确性和完整性承担法律责任。 江苏恒瑞医药股份有限公司（以下简称“恒瑞”或“公司”）与美国 Braveheart Bio, Inc.（以下简称“Braveheart Bio”）达成协议，将具有自主知识产权的 1 类创新药 HRS-1893（以下简称“HRS-1893”）项目有偿许可给 Braveheart Bio。 一、许可产品基本信息 HRS-1893 是一种 Myosin 选择性抑制剂，可通过抑制心肌肌球蛋白三磷酸腺 苷（ATP）酶活性，从而抑制心肌过度收缩，减少左心室肥厚并改善舒张期松弛。 该药物目前正处于Ⅲ期临床开发阶段，用于治疗梗阻性肥厚型心肌病（oHCM）。 HRS-1893 其他相关情况可参见公司披露于上海证券交易所网站的《恒瑞医药关 于获得药物临床试验批准通知书的公告》（公告编号：临 2025-105）。 二、交易对方基本信息 Braveheart Bio 是一家于 2024 年在美国特拉华州设立的公司，其首席执行 官（CEO）Travis Murdoch 在业内有 10 多年的生命科学投资、运营管理及临床 医学经验，在 2025 年加入 Braveheart Bio 前，…</x:v>
      </x:c>
      <x:c r="N234" s="41" t="str">
        <x:v>2-间接相关</x:v>
      </x:c>
      <x:c r="O234" s="41" t="str">
        <x:v>是</x:v>
      </x:c>
      <x:c r="P234" s="57" t="str">
        <x:v>公告披露处于III期的创新药向美国公司有偿许可；该事实可通过研发成果商业化和新品放量向费用摊薄传导，间接验证研发费用、新品收入增长与长期经营杠杆，关系清晰且可复核。</x:v>
      </x:c>
      <x:c r="Q234" s="41" t="str">
        <x:v>B-CODEX-FIN-01</x:v>
      </x:c>
      <x:c r="R234" s="80" t="inlineStr">
        <x:is>
          <x:t>2026-08-30T13:30:00+08:00</x:t>
        </x:is>
      </x:c>
    </x:row>
    <x:row r="235" ht="72" customHeight="1">
      <x:c r="A235" s="64" t="str">
        <x:v>V6-R-Q024-C05</x:v>
      </x:c>
      <x:c r="B235" s="64" t="str">
        <x:v>V6-E-600276-C05</x:v>
      </x:c>
      <x:c r="C235" s="64" t="str">
        <x:v>V6-Q024</x:v>
      </x:c>
      <x:c r="D235" s="40" t="str">
        <x:v>恒瑞医药</x:v>
      </x:c>
      <x:c r="E235" s="64" t="str">
        <x:v>600276</x:v>
      </x:c>
      <x:c r="F235" s="87" t="n">
        <x:v>46260.75</x:v>
      </x:c>
      <x:c r="G235" s="51" t="str">
        <x:v>研发费用增长与新品放量是否支持长期经营杠杆改善</x:v>
      </x:c>
      <x:c r="H235" s="64" t="str">
        <x:v>DOC-EVT-600276-00227</x:v>
      </x:c>
      <x:c r="I235" s="51" t="str">
        <x:v>恒瑞医药关于与IDEAYA Biosciences签署SHR-4849项目授权许可协议的公告</x:v>
      </x:c>
      <x:c r="J235" s="87" t="n">
        <x:v>45656</x:v>
      </x:c>
      <x:c r="K235" s="73" t="str">
        <x:v>http://static.cninfo.com.cn/finalpage/2024-12-30/1222173783.PDF</x:v>
      </x:c>
      <x:c r="L235" s="40" t="str">
        <x:v>第1页</x:v>
      </x:c>
      <x:c r="M235" s="51" t="str">
        <x:v>证券代码：600276 证券简称：恒瑞医药 公告编号：临 2024-163 江苏恒瑞医药股份有限公司 关于与 IDEAYA Biosciences 签署 SHR-4849 项目授权许可协议的公告 本公司董事会及全体董事保证本公告内容不存在任何虚假记载、 误导性陈述 或者重大遗漏，并对其内容的真实性、准确性和完整性承担法律责任。 江苏恒瑞医药股份有限公司（以下简称“恒瑞”或“公司”）与 IDEAYA Biosciences公司（以下简称“IDEAYA Biosciences”）达成协议，将具有自主 知识产权的 1 类新药注射用 SHR-4849（以下简称“SHR-4849”）项目有偿许可给 IDEAYA Biosciences。 一、许可产品基本信息 SHR-4849 为恒瑞自主研发且具有知识产权的靶向 DLL3 的抗体药物偶联物 （ADC），其有效载荷是拓扑异构酶抑制剂（TOPOi）。DLL3 在多种实体瘤中表 达，包括小细胞肺癌和神经内分泌肿瘤，但在正常组织中的表达有限。SHR-4849 对DLL3 中、高表达的不同肿瘤细胞系具有较强的增殖抑制活性。SHR-4849 有明 显的旁观者效应，可通过杀伤 DLL3 高表达细胞释放毒素来杀伤 DLL3 低表达细 胞。2024 年 6 月,SHR-4849 获批开展治疗晚期恶性实体瘤的临床试验，SHR-4849 其他相关情况可参见公司披露于上海证券交易所网站的 《恒瑞医药关于获得药物 临床试验批准通知书的公告》（公告编号：临 20…</x:v>
      </x:c>
      <x:c r="N235" s="41" t="str">
        <x:v>2-间接相关</x:v>
      </x:c>
      <x:c r="O235" s="41" t="str">
        <x:v>是</x:v>
      </x:c>
      <x:c r="P235" s="57" t="str">
        <x:v>公告披露自主ADC项目向海外公司有偿许可；该事实可通过研发成果商业化和新品放量向费用摊薄传导，间接验证研发费用、新品收入增长与长期经营杠杆，关系清晰且可复核。</x:v>
      </x:c>
      <x:c r="Q235" s="41" t="str">
        <x:v>B-CODEX-FIN-01</x:v>
      </x:c>
      <x:c r="R235" s="80" t="inlineStr">
        <x:is>
          <x:t>2026-08-30T13:30:00+08:00</x:t>
        </x:is>
      </x:c>
    </x:row>
    <x:row r="236" ht="72" customHeight="1">
      <x:c r="A236" s="64" t="str">
        <x:v>V6-R-Q024-C01</x:v>
      </x:c>
      <x:c r="B236" s="64" t="str">
        <x:v>V6-E-600276-C01</x:v>
      </x:c>
      <x:c r="C236" s="64" t="str">
        <x:v>V6-Q024</x:v>
      </x:c>
      <x:c r="D236" s="40" t="str">
        <x:v>恒瑞医药</x:v>
      </x:c>
      <x:c r="E236" s="64" t="str">
        <x:v>600276</x:v>
      </x:c>
      <x:c r="F236" s="87" t="n">
        <x:v>46260.75</x:v>
      </x:c>
      <x:c r="G236" s="51" t="str">
        <x:v>研发费用增长与新品放量是否支持长期经营杠杆改善</x:v>
      </x:c>
      <x:c r="H236" s="64" t="str">
        <x:v>DOC-EVT-600276-00684</x:v>
      </x:c>
      <x:c r="I236" s="51" t="str">
        <x:v>恒瑞医药关于药品上市许可申请获受理的提示性公告</x:v>
      </x:c>
      <x:c r="J236" s="87" t="n">
        <x:v>46233</x:v>
      </x:c>
      <x:c r="K236" s="73" t="str">
        <x:v>http://static.cninfo.com.cn/finalpage/2026-07-30/1225446618.PDF</x:v>
      </x:c>
      <x:c r="L236" s="40" t="str">
        <x:v>第1页</x:v>
      </x:c>
      <x:c r="M236" s="51" t="str">
        <x:v>证券代码：600276 证券简称：恒瑞医药 公告编号：临 2026-110 江苏恒瑞医药股份有限公司 关于药品上市许可申请获受理的提示性公告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生物医药有限公司收到国家药品监督管理局（以下简称“国家药监局”）下发的 《受理通知书》，公司注射用瑞康芦泽妥塔单抗（注射用 SHR-A2009）的药品上 市许可申请获国家药监局受理。现将相关情况公告如下： 一、药品的基本情况 药品名称：注射用瑞康芦泽妥塔单抗 剂型：注射剂 受理号：CXSS2600111 申报阶段：上市 申请人：苏州盛迪亚生物医药有限公司 拟定适应症（或功能主治）：本品用于经表皮生长因子受体（EGFR）酪氨酸 激酶抑制剂（TKI）治疗后进展的 EGFR 基因突变阳性的局部晚期或转移性非鳞状 非小细胞肺癌（NSCLC）成人患者的治疗。 二、药品的临床试验情况 此次申报上市，是基于一项在 EGFR TKI 治疗失败的 EGFR 突变晚期或转移性 非小细胞肺癌患者中评价注射用瑞康芦泽妥塔单抗（研发代号：SHR-A2009）的 有效性和安全性的随机对照、开放性、多中心Ⅲ期临床试验。本研究由广东省人 民医院吴一龙教授担任主要研究者，全国 65 家中心共同参与，共入组 498 例受 试者。研究主要终点为盲态独立中心评估（BICR）的无…</x:v>
      </x:c>
      <x:c r="N236" s="41" t="str">
        <x:v>3-直接相关</x:v>
      </x:c>
      <x:c r="O236" s="41" t="str">
        <x:v>是</x:v>
      </x:c>
      <x:c r="P236" s="57" t="str">
        <x:v>公告披露基于498例III期试验的药品上市申请获受理；证据直接披露或决定研发费用、新品收入增长与长期经营杠杆，可直接用于回答当前查询。</x:v>
      </x:c>
      <x:c r="Q236" s="41" t="str">
        <x:v>B-CODEX-FIN-01</x:v>
      </x:c>
      <x:c r="R236" s="80" t="inlineStr">
        <x:is>
          <x:t>2026-08-30T13:30:00+08:00</x:t>
        </x:is>
      </x:c>
    </x:row>
    <x:row r="237" ht="72" customHeight="1">
      <x:c r="A237" s="64" t="str">
        <x:v>V6-R-Q024-C10</x:v>
      </x:c>
      <x:c r="B237" s="64" t="str">
        <x:v>V6-E-600276-C10</x:v>
      </x:c>
      <x:c r="C237" s="64" t="str">
        <x:v>V6-Q024</x:v>
      </x:c>
      <x:c r="D237" s="40" t="str">
        <x:v>恒瑞医药</x:v>
      </x:c>
      <x:c r="E237" s="64" t="str">
        <x:v>600276</x:v>
      </x:c>
      <x:c r="F237" s="87" t="n">
        <x:v>46260.75</x:v>
      </x:c>
      <x:c r="G237" s="51" t="str">
        <x:v>研发费用增长与新品放量是否支持长期经营杠杆改善</x:v>
      </x:c>
      <x:c r="H237" s="64" t="str">
        <x:v>DOC-EVT-600276-00692</x:v>
      </x:c>
      <x:c r="I237" s="51" t="str">
        <x:v>恒瑞医药关于获得药品注册批准的公告</x:v>
      </x:c>
      <x:c r="J237" s="87" t="n">
        <x:v>46241</x:v>
      </x:c>
      <x:c r="K237" s="73" t="str">
        <x:v>http://static.cninfo.com.cn/finalpage/2026-08-07/1225462406.PDF</x:v>
      </x:c>
      <x:c r="L237" s="40" t="str">
        <x:v>第1页</x:v>
      </x:c>
      <x:c r="M237" s="51" t="str">
        <x:v>证券代码：600276 证券简称：恒瑞医药 公告编号：临 2026-114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近日，江苏恒瑞医药股份有限公司（以下简称“公司”）子公司苏州盛迪亚 生物医药有限公司收到国家药品监督管理局（以下简称“国家药监局”）的通知， 公司注射用瑞康曲妥珠单抗第三项适应症获批上市，成为中国首个获批用于结直 肠癌的抗 HER2 产品。现将相关情况公告如下： 一、药品的基本情况 药品名称：注射用瑞康曲妥珠单抗 剂型：注射剂 规格：0.1g/瓶 注册分类：治疗用生物制品 2.2 类 受理号：CXSS2600018 处方药/非处方药：处方药 批准的适应症：用于经奥沙利铂、氟尿嘧啶和伊立替康治疗失败的 HER2 阳 性结直肠癌成人患者。 二、药品的已获批适应症情况 公司注射用瑞康曲妥珠单抗已在国内获批两项适应症，分别为：用于治疗存 在 HER2（ERBB2）激活突变且既往接受过至少一种系统治疗的不可切除的局部晚 期或转移性非小细胞肺癌（NSCLC）成人患者；用于治疗既往接受过一种或一种 以上抗 HER2 药物治疗的局部晚期或转移性 HER2 阳性成人乳腺癌患者。 三、药品的其他情况 结直肠癌是全球高发的恶性肿瘤之一，严重威胁人类健康。在结直肠癌中 HER2 扩增发生率为 5.8%，过表达发生率为 5%，突变发生率为 2…</x:v>
      </x:c>
      <x:c r="N237" s="41" t="str">
        <x:v>3-直接相关</x:v>
      </x:c>
      <x:c r="O237" s="41" t="str">
        <x:v>是</x:v>
      </x:c>
      <x:c r="P237" s="57" t="str">
        <x:v>公告披露创新药第三项适应症获批上市；证据直接披露或决定研发费用、新品收入增长与长期经营杠杆，可直接用于回答当前查询。</x:v>
      </x:c>
      <x:c r="Q237" s="41" t="str">
        <x:v>B-CODEX-FIN-01</x:v>
      </x:c>
      <x:c r="R237" s="80" t="inlineStr">
        <x:is>
          <x:t>2026-08-30T13:30:00+08:00</x:t>
        </x:is>
      </x:c>
    </x:row>
    <x:row r="238" ht="72" customHeight="1">
      <x:c r="A238" s="64" t="str">
        <x:v>V6-R-Q024-C04</x:v>
      </x:c>
      <x:c r="B238" s="64" t="str">
        <x:v>V6-E-600276-C04</x:v>
      </x:c>
      <x:c r="C238" s="64" t="str">
        <x:v>V6-Q024</x:v>
      </x:c>
      <x:c r="D238" s="40" t="str">
        <x:v>恒瑞医药</x:v>
      </x:c>
      <x:c r="E238" s="64" t="str">
        <x:v>600276</x:v>
      </x:c>
      <x:c r="F238" s="87" t="n">
        <x:v>46260.75</x:v>
      </x:c>
      <x:c r="G238" s="51" t="str">
        <x:v>研发费用增长与新品放量是否支持长期经营杠杆改善</x:v>
      </x:c>
      <x:c r="H238" s="64" t="str">
        <x:v>DOC-EVT-600276-00381</x:v>
      </x:c>
      <x:c r="I238" s="51" t="str">
        <x:v>恒瑞医药2025年半年度报告摘要</x:v>
      </x:c>
      <x:c r="J238" s="87" t="n">
        <x:v>45890</x:v>
      </x:c>
      <x:c r="K238" s="73" t="str">
        <x:v>http://static.cninfo.com.cn/finalpage/2025-08-21/1224526674.PDF</x:v>
      </x:c>
      <x:c r="L238" s="40" t="str">
        <x:v>第2页</x:v>
      </x:c>
      <x:c r="M238" s="51" t="str">
        <x:v>江苏恒瑞医药股份有限公司2025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无 第二节 公司基本情况 2.1 公司简介 股票种类 股票上市交易所 股票简称 股票代码 A股 上海证券交易所 恒瑞医药 600276 H股 香港联合交易所 恒瑞醫藥 01276 联系人和联系方式 董事会秘书 证券事务代表 姓名 刘笑含 田飞 电话 021-61053323 021-61053323 办公地址 上海市浦东新区海科路1288号 上海市浦东新区海科路1288号 电子信箱 ir@hengrui.com ir@hengrui.com 2.2 主要财务数据 单位：元 币种：人民币 本报告期末 上年度末 本报告期末比上年 度末增减(%) 总资产 62,893,517,148.54 50,135,645,304.10 25.45 归属于上市公司股东的净资产 58,464,831,216.78 45,519,861,860.…</x:v>
      </x:c>
      <x:c r="N238" s="41" t="str">
        <x:v>2-间接相关</x:v>
      </x:c>
      <x:c r="O238" s="41" t="str">
        <x:v>是</x:v>
      </x:c>
      <x:c r="P238" s="57" t="str">
        <x:v>半年报摘要披露资产、权益等总体财务数据；该事实可通过研发成果商业化和新品放量向费用摊薄传导，间接验证研发费用、新品收入增长与长期经营杠杆，关系清晰且可复核。</x:v>
      </x:c>
      <x:c r="Q238" s="41" t="str">
        <x:v>B-CODEX-FIN-01</x:v>
      </x:c>
      <x:c r="R238" s="80" t="inlineStr">
        <x:is>
          <x:t>2026-08-30T13:30:00+08:00</x:t>
        </x:is>
      </x:c>
    </x:row>
    <x:row r="239" ht="72" customHeight="1">
      <x:c r="A239" s="64" t="str">
        <x:v>V6-R-Q024-C09</x:v>
      </x:c>
      <x:c r="B239" s="64" t="str">
        <x:v>V6-E-600276-C09</x:v>
      </x:c>
      <x:c r="C239" s="64" t="str">
        <x:v>V6-Q024</x:v>
      </x:c>
      <x:c r="D239" s="40" t="str">
        <x:v>恒瑞医药</x:v>
      </x:c>
      <x:c r="E239" s="64" t="str">
        <x:v>600276</x:v>
      </x:c>
      <x:c r="F239" s="87" t="n">
        <x:v>46260.75</x:v>
      </x:c>
      <x:c r="G239" s="51" t="str">
        <x:v>研发费用增长与新品放量是否支持长期经营杠杆改善</x:v>
      </x:c>
      <x:c r="H239" s="64" t="str">
        <x:v>DOC-EVT-600276-00595</x:v>
      </x:c>
      <x:c r="I239" s="51" t="str">
        <x:v>恒瑞医药2025年度利润分配方案及提请股东会授权董事会制定2026年中期分红方案的公告</x:v>
      </x:c>
      <x:c r="J239" s="87" t="n">
        <x:v>46107</x:v>
      </x:c>
      <x:c r="K239" s="73" t="str">
        <x:v>http://static.cninfo.com.cn/finalpage/2026-03-26/1225032581.PDF</x:v>
      </x:c>
      <x:c r="L239" s="40" t="str">
        <x:v>第1页</x:v>
      </x:c>
      <x:c r="M239" s="51" t="str">
        <x:v>证券代码：600276 证券简称：恒瑞医药 公告编号：临 2026-048 江苏恒瑞医药股份有限公司 2025 年度利润分配方案及提请股东会授权董事会 制定2026 年中期分红方案的公告 本公司董事会及全体董事保证本公告内容不存在任何虚假记载、误导性陈述 或者重大遗漏，并对其内容的真实性、准确性和完整性承担法律责任。 重要内容提示：  每股分配比例：每股派发现金股利 0.2 元（含税）。  本次利润分配股本以分红派息登记日股本（扣除公司股份回购专用证券 账户持有股数）为基数，具体日期将在权益分派实施公告中明确。  在实施权益分派的股权登记日前公司总股本发生变动的，拟维持每股分 配比例不变，相应调整分配总额，并将另行公告具体调整情况。  公司董事会提请股东会授权董事会根据股东会决议在符合利润分配的条 件下制定其他具体的 2026 年中期分红方案。  本年度现金分红比例低于 30%的简要原因说明：第一，公司所处行业为 医药行业，医药行业具有高投入、高风险、创新药研发周期长且成本高昂的特性， 尤其是公司目前正处于仿制药向创新药转型的关键阶段，需大量资金投入国内外 临床试验及创新药研发；第二，公司目前正在广东、北京、天津等地进行厂区的 新扩建，需要投入较大资金；第三，公司计划通过加大与国际研发机构合作，储 备更多创新药品种以增强全球竞争力，相关合作项目需较高资金支持。 一、2025 年度利润分配方案 （一）2025 年度利润分配方案内容 经安永华明会计师事务所（特殊普通合…</x:v>
      </x:c>
      <x:c r="N239" s="41" t="str">
        <x:v>2-间接相关</x:v>
      </x:c>
      <x:c r="O239" s="41" t="str">
        <x:v>是</x:v>
      </x:c>
      <x:c r="P239" s="57" t="str">
        <x:v>分红公告说明海外临床、创新药研发和扩建项目需要大量资金；该事实可通过研发成果商业化和新品放量向费用摊薄传导，间接验证研发费用、新品收入增长与长期经营杠杆，关系清晰且可复核。</x:v>
      </x:c>
      <x:c r="Q239" s="41" t="str">
        <x:v>B-CODEX-FIN-01</x:v>
      </x:c>
      <x:c r="R239" s="80" t="inlineStr">
        <x:is>
          <x:t>2026-08-30T13:30:00+08:00</x:t>
        </x:is>
      </x:c>
    </x:row>
    <x:row r="240" ht="72" customHeight="1">
      <x:c r="A240" s="64" t="str">
        <x:v>V6-R-Q024-C02</x:v>
      </x:c>
      <x:c r="B240" s="64" t="str">
        <x:v>V6-E-600276-C02</x:v>
      </x:c>
      <x:c r="C240" s="64" t="str">
        <x:v>V6-Q024</x:v>
      </x:c>
      <x:c r="D240" s="40" t="str">
        <x:v>恒瑞医药</x:v>
      </x:c>
      <x:c r="E240" s="64" t="str">
        <x:v>600276</x:v>
      </x:c>
      <x:c r="F240" s="87" t="n">
        <x:v>46260.75</x:v>
      </x:c>
      <x:c r="G240" s="51" t="str">
        <x:v>研发费用增长与新品放量是否支持长期经营杠杆改善</x:v>
      </x:c>
      <x:c r="H240" s="64" t="str">
        <x:v>DOC-EVT-600276-00376</x:v>
      </x:c>
      <x:c r="I240" s="51" t="str">
        <x:v>恒瑞医药2025年半年度报告</x:v>
      </x:c>
      <x:c r="J240" s="87" t="n">
        <x:v>45890</x:v>
      </x:c>
      <x:c r="K240" s="73" t="str">
        <x:v>http://static.cninfo.com.cn/finalpage/2025-08-21/1224526675.PDF</x:v>
      </x:c>
      <x:c r="L240" s="40" t="str">
        <x:v>第25页</x:v>
      </x:c>
      <x:c r="M240" s="51" t="str">
        <x:v>江苏恒瑞医药股份有限公司2025 年半年度报告 25 / 147 报告期内公司经营情况的重大变化，以及报告期内发生的对公司经营情况有重大影响和预计未来 会有重大影响的事项 □适用 √不适用 三、报告期内核心竞争力分析 √适用 □不适用 （一）根植中国、全球领先的创新型制药企业 公司已形成行业领先且高度差异化的创新产品矩阵，其中多款产品具有成为重磅药物的潜力。 目前，公司已在中国获批上市 23 款新分子实体药物（1类创新药）、4 款其他创新药（2 类新药）， 另有 100 多个自主创新产品正在临床开发，400 余项临床试验在国内外开展。公司预期将维持强 劲的增长势头，持续推出创新产品，报告期内公司递交了 5 项创新药新药上市申请(NDA/BLA)。2022 年至 2025 年 6月，对公司产品及在研产品的研究和临床研究在《柳叶刀》《英国医学杂志》《美国 医学会杂志》《自然•医学》和《肿瘤年鉴》等国际顶级学术期刊上发表了 1,192 篇同行评审论文， 累计影响因子约 8,524 分。 同时，为巩固在创新方面的领先地位，公司持续加大研发投入。2022 年至 2024 年，公司研 发费用分别为 48.87 亿元、49.54 亿元及 65.83 亿元，占同期总收入的 23.0%、21.7%及 23.5%。 在做出重大研发投入的同时，公司仍然保持了有吸引力的净利润率以及可观的经营性现金流流入。 稳健的盈利能力和强劲的现金流能够保证公司持续投资于研发活动，以推动长期可持续增长，从 而支持…</x:v>
      </x:c>
      <x:c r="N240" s="41" t="str">
        <x:v>3-直接相关</x:v>
      </x:c>
      <x:c r="O240" s="41" t="str">
        <x:v>是</x:v>
      </x:c>
      <x:c r="P240" s="57" t="str">
        <x:v>半年报披露创新药销售及许可收入95.61亿元、研发投入38.71亿元和新品增长；证据直接披露或决定研发费用、新品收入增长与长期经营杠杆，可直接用于回答当前查询。</x:v>
      </x:c>
      <x:c r="Q240" s="41" t="str">
        <x:v>B-CODEX-FIN-01</x:v>
      </x:c>
      <x:c r="R240" s="80" t="inlineStr">
        <x:is>
          <x:t>2026-08-30T13:30:00+08:00</x:t>
        </x:is>
      </x:c>
    </x:row>
    <x:row r="241" ht="72" customHeight="1">
      <x:c r="A241" s="64" t="str">
        <x:v>V6-R-Q024-C08</x:v>
      </x:c>
      <x:c r="B241" s="64" t="str">
        <x:v>V6-E-600276-C08</x:v>
      </x:c>
      <x:c r="C241" s="64" t="str">
        <x:v>V6-Q024</x:v>
      </x:c>
      <x:c r="D241" s="40" t="str">
        <x:v>恒瑞医药</x:v>
      </x:c>
      <x:c r="E241" s="64" t="str">
        <x:v>600276</x:v>
      </x:c>
      <x:c r="F241" s="87" t="n">
        <x:v>46260.75</x:v>
      </x:c>
      <x:c r="G241" s="51" t="str">
        <x:v>研发费用增长与新品放量是否支持长期经营杠杆改善</x:v>
      </x:c>
      <x:c r="H241" s="64" t="str">
        <x:v>DOC-EVT-600276-00448</x:v>
      </x:c>
      <x:c r="I241" s="51" t="str">
        <x:v>恒瑞医药关于召开2025年第三季度业绩说明会的公告</x:v>
      </x:c>
      <x:c r="J241" s="87" t="n">
        <x:v>45958</x:v>
      </x:c>
      <x:c r="K241" s="73" t="str">
        <x:v>http://static.cninfo.com.cn/finalpage/2025-10-28/1224743062.PDF</x:v>
      </x:c>
      <x:c r="L241" s="40" t="str">
        <x:v>第1页</x:v>
      </x:c>
      <x:c r="M241" s="51" t="str">
        <x:v>证券代码：600276 证券简称：恒瑞医药 公告编号：临 2025-166 江苏恒瑞医药股份有限公司 关于召开2025 年第三季度业绩说明会的公告 本公司董事会及全体董事保证本公告内容不存在任何虚假记载、误导性陈述 或者重大遗漏，并对其内容的真实性、准确性和完整性承担法律责任。 重要内容提示  会议内容：恒瑞医药 2025 年第三季度业绩说明会  会议时间：2025 年 11 月 4 日（星期二）下午16:00-17:00  会 议 召 开 地 点 ： 上 海 证 券 交 易 所 上 证 路 演 中 心 （ 网 址 ： https://roadshow.sseinfo.com/）  会议形式：上证路演中心网络互动  问题征集方式：投资者可于 2025 年 10 月 28 日（星期二）至 11 月 3 日(星 期一)16:00 前登录上证路演中心网站首页点击“提问预征集”栏目或通过 公司邮箱 ir@hengrui.com 进行提问。公司将在说明会上对投资者普遍关注 的问题进行回答。 江苏恒瑞医药股份有限公司（以下简称“公司”）于 2025 年 10 月 28 日发布 公司 2025 年第三季度报告，为便于广大投资者更全面深入地了解公司 2025 年第 三季度经营成果、财务状况，公司计划于 2025 年 11 月 4 日（星期二）下午 16:00-17:00 举行 2025 年第三季度业绩说明会，就投资者关心的问题进行交流。 一、说明会类型 本次投资者说明会以网络互动…</x:v>
      </x:c>
      <x:c r="N241" s="41" t="str">
        <x:v>0-无关</x:v>
      </x:c>
      <x:c r="O241" s="41" t="str">
        <x:v>否</x:v>
      </x:c>
      <x:c r="P241" s="57" t="str">
        <x:v>公告仅安排季度业绩说明会；内容与研发、新品和经营杠杆缺少业务传导，未提供研发费用、新品收入增长与长期经营杠杆，不能支持当前判断。</x:v>
      </x:c>
      <x:c r="Q241" s="41" t="str">
        <x:v>B-CODEX-FIN-01</x:v>
      </x:c>
      <x:c r="R241" s="80" t="inlineStr">
        <x:is>
          <x:t>2026-08-30T13:30:00+08:00</x:t>
        </x:is>
      </x:c>
    </x:row>
    <x:row r="242" ht="72" customHeight="1">
      <x:c r="A242" s="64" t="str">
        <x:v>V6-R-Q025-C04</x:v>
      </x:c>
      <x:c r="B242" s="64" t="str">
        <x:v>V6-E-603259-C04</x:v>
      </x:c>
      <x:c r="C242" s="64" t="str">
        <x:v>V6-Q025</x:v>
      </x:c>
      <x:c r="D242" s="40" t="str">
        <x:v>药明康德</x:v>
      </x:c>
      <x:c r="E242" s="64" t="str">
        <x:v>603259</x:v>
      </x:c>
      <x:c r="F242" s="87" t="n">
        <x:v>46260.75</x:v>
      </x:c>
      <x:c r="G242" s="51" t="str">
        <x:v>海外政策限制是否影响客户订单与产能利用率</x:v>
      </x:c>
      <x:c r="H242" s="64" t="str">
        <x:v>DOC-EVT-603259-00239</x:v>
      </x:c>
      <x:c r="I242" s="51" t="str">
        <x:v>关于无锡药明康德新药开发股份有限公司会计政策变更的专项说明</x:v>
      </x:c>
      <x:c r="J242" s="87" t="n">
        <x:v>45734</x:v>
      </x:c>
      <x:c r="K242" s="73" t="str">
        <x:v>http://static.cninfo.com.cn/finalpage/2025-03-18/1222822848.PDF</x:v>
      </x:c>
      <x:c r="L242" s="40" t="str">
        <x:v>第1页</x:v>
      </x:c>
      <x:c r="M242" s="51" t="str">
        <x:v>关于无锡药明康德新药开发股份有限公司 会计政策变更的专项说明 德师报(函)字(25)第Q00302号 无锡药明康德新药开发股份有限公司全体股东： 根据上海证券交易所《上市公司日常信息披露工作备忘录第一号 ——临时公告格式指引 第九十三号——会计差错更正、会计政策或会计估计变更》及《企业会计准则第 28 号——会 计政策、会计估计变更和差错更正》的要求， 无锡药明康德新药开发股份有限公司(以下简称 “药明康德”)董事会编制了后附的《无锡药明康德新药开发股份有限公司董事会关于会计政 策变更的专项说明》(以下简称“情况说明”)。 如实编制和对外披露情况说明并确保其真实性、合法性及完整性是 药明康德的责任。我 们对情况说明所载资料进行了检查，未发现情况说明在所有重大方面存在不符合企业会计准 则的情况。 本专项说明仅供药明康德向上海证券交易所报送相关文件之目的使用，不得用作其他任 何目的。 德勤华永会计师事务所(特殊普通合伙) 中国注册会计师 中国·上海 中国注册会计师 2025 年 3 月 17 日</x:v>
      </x:c>
      <x:c r="N242" s="41" t="str">
        <x:v>0-无关</x:v>
      </x:c>
      <x:c r="O242" s="41" t="str">
        <x:v>否</x:v>
      </x:c>
      <x:c r="P242" s="57" t="str">
        <x:v>专项说明仅核验会计政策变更的合规性；内容与海外监管和客户需求缺少业务传导，未提供海外政策限制对客户订单和产能利用率的影响，不能支持当前判断。</x:v>
      </x:c>
      <x:c r="Q242" s="41" t="str">
        <x:v>B-CODEX-FIN-01</x:v>
      </x:c>
      <x:c r="R242" s="80" t="inlineStr">
        <x:is>
          <x:t>2026-08-30T13:30:00+08:00</x:t>
        </x:is>
      </x:c>
    </x:row>
    <x:row r="243" ht="72" customHeight="1">
      <x:c r="A243" s="64" t="str">
        <x:v>V6-R-Q025-C08</x:v>
      </x:c>
      <x:c r="B243" s="64" t="str">
        <x:v>V6-E-603259-C08</x:v>
      </x:c>
      <x:c r="C243" s="64" t="str">
        <x:v>V6-Q025</x:v>
      </x:c>
      <x:c r="D243" s="40" t="str">
        <x:v>药明康德</x:v>
      </x:c>
      <x:c r="E243" s="64" t="str">
        <x:v>603259</x:v>
      </x:c>
      <x:c r="F243" s="87" t="n">
        <x:v>46260.75</x:v>
      </x:c>
      <x:c r="G243" s="51" t="str">
        <x:v>海外政策限制是否影响客户订单与产能利用率</x:v>
      </x:c>
      <x:c r="H243" s="64" t="str">
        <x:v>DOC-EVT-603259-00235</x:v>
      </x:c>
      <x:c r="I243" s="51" t="str">
        <x:v>2024年年度报告</x:v>
      </x:c>
      <x:c r="J243" s="87" t="n">
        <x:v>45734</x:v>
      </x:c>
      <x:c r="K243" s="73" t="str">
        <x:v>http://static.cninfo.com.cn/finalpage/2025-03-18/1222822835.PDF</x:v>
      </x:c>
      <x:c r="L243" s="40" t="str">
        <x:v>第15页</x:v>
      </x:c>
      <x:c r="M243" s="51" t="str">
        <x:v>无锡药明康德新药开发股份有限公司 2024 年年度报告 15 / 292 瑞士库威基地，在 2024 年期间口服制剂产能翻倍。公司持续推进美国米德尔顿基地建 设，计划于 2026 年末投入运营。2024 年 5 月，新加坡研发及生产基地正式开工建设， 基地一期计划于2027 年投入运营。 - TIDES 业务（寡核苷酸和多肽）保持高速增长。TIDES 业务收入达到人民币58.0 亿元， 同比增长70.1%。截至2024 年末，TIDES 在手订单同比增长103.9%。TIDES D&amp;M 服务 客户数同比提升15%，服务分子数量同比提升22%。2024 年末，多肽固相合成反应釜总 体积增加至41,000L，预计 2025 年末将进一步提升至超 100,000L。 (2) 测试业务实现收入人民币56.7 亿元。报告期内： - 实验室分析及测试服务收入人民币38.6 亿元，受市场影响，价格因素随着订单转化逐渐 反映到收入上，同比下降8.0%，其中，药物安全性评价业务保持亚太行业领先地位，收 入同比下降 13.0%。2024 年，启东和成都设施通过国家药品监督管理局（NMPA）和国 际经济合作与发展组织（OECD）GLP 资质认证，苏州设施首次接受并顺利通过日本医 药品医疗机器综合机构（PMDA）项目现场审计。公司新分子业务持续发力，不断完善 新型疫苗类能力，核酸类、偶联类、mRNA 类市场份额进一步扩大。公司积极助力客户 开展全球合作，近三年累计为约40%成功出海的中国客户提供服…</x:v>
      </x:c>
      <x:c r="N243" s="41" t="str">
        <x:v>2-间接相关</x:v>
      </x:c>
      <x:c r="O243" s="41" t="str">
        <x:v>是</x:v>
      </x:c>
      <x:c r="P243" s="57" t="str">
        <x:v>年报披露TIDES在手订单增长103.9%、产能扩张及测试业务收入变化；该事实可通过跨境监管或国际业务变化向订单与利用率传导，间接验证海外政策限制对客户订单和产能利用率的影响，关系清晰且可复核。</x:v>
      </x:c>
      <x:c r="Q243" s="41" t="str">
        <x:v>B-CODEX-FIN-01</x:v>
      </x:c>
      <x:c r="R243" s="80" t="inlineStr">
        <x:is>
          <x:t>2026-08-30T13:30:00+08:00</x:t>
        </x:is>
      </x:c>
    </x:row>
    <x:row r="244" ht="72" customHeight="1">
      <x:c r="A244" s="64" t="str">
        <x:v>V6-R-Q025-C10</x:v>
      </x:c>
      <x:c r="B244" s="64" t="str">
        <x:v>V6-E-603259-C10</x:v>
      </x:c>
      <x:c r="C244" s="64" t="str">
        <x:v>V6-Q025</x:v>
      </x:c>
      <x:c r="D244" s="40" t="str">
        <x:v>药明康德</x:v>
      </x:c>
      <x:c r="E244" s="64" t="str">
        <x:v>603259</x:v>
      </x:c>
      <x:c r="F244" s="87" t="n">
        <x:v>46260.75</x:v>
      </x:c>
      <x:c r="G244" s="51" t="str">
        <x:v>海外政策限制是否影响客户订单与产能利用率</x:v>
      </x:c>
      <x:c r="H244" s="64" t="str">
        <x:v>DOC-EVT-603259-00516</x:v>
      </x:c>
      <x:c r="I244" s="51" t="str">
        <x:v>关于修改公司章程的公告</x:v>
      </x:c>
      <x:c r="J244" s="87" t="n">
        <x:v>46238</x:v>
      </x:c>
      <x:c r="K244" s="73" t="str">
        <x:v>http://static.cninfo.com.cn/finalpage/2026-08-04/1225455025.PDF</x:v>
      </x:c>
      <x:c r="L244" s="40" t="str">
        <x:v>第1页</x:v>
      </x:c>
      <x:c r="M244" s="51" t="str">
        <x:v>1 证券代码：603259 证券简称：药明康德 公告编号：临 2026-031 无锡药明康德新药开发股份有限公司 关于修改公司章程的公告 本公司董事会及全体董事保证本公告内容不存在任何虚假记载、误导性陈述 或者重大遗漏，并对其内容的真实性、准确性和完整性承担法律责任。 为积极响应香港市场的无纸证券市场制度，加强公司治理与投资者参与，无 锡药明康德新药开发股份有限公司（以下简称“公司”）于 2026 年 8 月 3 日召 开第四届董事会第五次会议，审议通过《关于修改公司章程的议案》。 根据香港联合交易所有限公司《无纸证券市场指引》的相关规定，公司拟对 《公司章程》进行如下修订，以符合实行无纸证券市场制度的规定。 修订前 修订后 第一条 为维护公司、股东、职工 和债权人的合法权益，规范无锡药明 康德新药开发股份有限公司（以下简 称“公司”或“本公司”）的组织和 行为，根据《中华人民共和国公司法》 （以下简称“《公司法》”）、《中 华人民共和国证券法》（以下简称“《证 券法》”）、《境内企业境外发行证 券和上市管理试行办法》、《上市公 司章程指引》、《上海证券交易所股 票上市规则》（以下简称“《上交所 上市规则》”）、《香港联合交易所 有限公司证券上市规则》（以下简称 “《香港上市规则》”）和其他有关 规定，制定本章程。 第一条 为维护公司、股东、职工 和债权人的合法权益，规范无锡药明 康德新药开发股份有限公司（以下简 称“公司”或“本公司”）的组织和 行为，根据《中华人民共和国…</x:v>
      </x:c>
      <x:c r="N244" s="41" t="str">
        <x:v>0-无关</x:v>
      </x:c>
      <x:c r="O244" s="41" t="str">
        <x:v>否</x:v>
      </x:c>
      <x:c r="P244" s="57" t="str">
        <x:v>公告仅修改无纸证券制度相关公司章程；内容与海外监管和客户需求缺少业务传导，未提供海外政策限制对客户订单和产能利用率的影响，不能支持当前判断。</x:v>
      </x:c>
      <x:c r="Q244" s="41" t="str">
        <x:v>B-CODEX-FIN-01</x:v>
      </x:c>
      <x:c r="R244" s="80" t="inlineStr">
        <x:is>
          <x:t>2026-08-30T13:30:00+08:00</x:t>
        </x:is>
      </x:c>
    </x:row>
    <x:row r="245" ht="72" customHeight="1">
      <x:c r="A245" s="64" t="str">
        <x:v>V6-R-Q025-C06</x:v>
      </x:c>
      <x:c r="B245" s="64" t="str">
        <x:v>V6-E-603259-C06</x:v>
      </x:c>
      <x:c r="C245" s="64" t="str">
        <x:v>V6-Q025</x:v>
      </x:c>
      <x:c r="D245" s="40" t="str">
        <x:v>药明康德</x:v>
      </x:c>
      <x:c r="E245" s="64" t="str">
        <x:v>603259</x:v>
      </x:c>
      <x:c r="F245" s="87" t="n">
        <x:v>46260.75</x:v>
      </x:c>
      <x:c r="G245" s="51" t="str">
        <x:v>海外政策限制是否影响客户订单与产能利用率</x:v>
      </x:c>
      <x:c r="H245" s="64" t="str">
        <x:v>DOC-EVT-603259-00351</x:v>
      </x:c>
      <x:c r="I245" s="51" t="str">
        <x:v>2025年半年度报告摘要</x:v>
      </x:c>
      <x:c r="J245" s="87" t="n">
        <x:v>45867</x:v>
      </x:c>
      <x:c r="K245" s="73" t="str">
        <x:v>http://static.cninfo.com.cn/finalpage/2025-07-29/1224317421.PDF</x:v>
      </x:c>
      <x:c r="L245" s="40" t="str">
        <x:v>第4页</x:v>
      </x:c>
      <x:c r="M245" s="51" t="str">
        <x:v>无锡药明康德新药开发股份有限公司2025 年半年度报告摘要 中国工商银行股份有限公司 －中欧医疗健康混合型证券 投资基金 其他 1.6026 46,029,135 0 无 0 中国工商银行股份有限公司 －华泰柏瑞沪深 300 交易型 开放式指数证券投资基金 其他 1.5517 44,568,027 0 无 0 中国建设银行股份有限公司 －易方达沪深 300 医药卫生 交易型开放式指数证券投资 基金 其他 1.4281 41,019,093 0 无 0 上述股东关联关系或一致行动的说明 本公司前十名股东之间 G&amp;C VI Limited、G&amp;C IV Hong Kong Limited、G&amp;C V Limited、北京中民银孚投资管理 有限公司－嘉兴宇祥投资合伙企业（有限合伙）存在一 致行动关系。 表决权恢复的优先股股东及持股数量的 说明 不适用 注 1：截至报告期末普通股股东总数 235,515 户，其中：A 股 235,455 户，H 股登记股东 60 户。 注 2：HKSCC NOMINEES LIMITED 即香港中央结算（代理人）有限公司，其所持股份是代表多 个客户持有。 注 3：香港中央结算有限公司为沪港通人民币普通股的名义持有人。 2.4 截至报告期末的优先股股东总数、前 10 名优先股股东情况表 □适用 √不适用 2.5 控股股东或实际控制人变更情况 □适用 √不适用 2.6 在半年度报告批准报出日存续的债券情况 □适用 √不适用 第三节 重要事项 公司应当根…</x:v>
      </x:c>
      <x:c r="N245" s="41" t="str">
        <x:v>0-无关</x:v>
      </x:c>
      <x:c r="O245" s="41" t="str">
        <x:v>否</x:v>
      </x:c>
      <x:c r="P245" s="57" t="str">
        <x:v>半年报摘要摘录主要列示股东结构而非经营数据；内容与海外监管和客户需求缺少业务传导，未提供海外政策限制对客户订单和产能利用率的影响，不能支持当前判断。</x:v>
      </x:c>
      <x:c r="Q245" s="41" t="str">
        <x:v>B-CODEX-FIN-01</x:v>
      </x:c>
      <x:c r="R245" s="80" t="inlineStr">
        <x:is>
          <x:t>2026-08-30T13:30:00+08:00</x:t>
        </x:is>
      </x:c>
    </x:row>
    <x:row r="246" ht="72" customHeight="1">
      <x:c r="A246" s="64" t="str">
        <x:v>V6-R-Q025-C07</x:v>
      </x:c>
      <x:c r="B246" s="64" t="str">
        <x:v>V6-E-603259-C07</x:v>
      </x:c>
      <x:c r="C246" s="64" t="str">
        <x:v>V6-Q025</x:v>
      </x:c>
      <x:c r="D246" s="40" t="str">
        <x:v>药明康德</x:v>
      </x:c>
      <x:c r="E246" s="64" t="str">
        <x:v>603259</x:v>
      </x:c>
      <x:c r="F246" s="87" t="n">
        <x:v>46260.75</x:v>
      </x:c>
      <x:c r="G246" s="51" t="str">
        <x:v>海外政策限制是否影响客户订单与产能利用率</x:v>
      </x:c>
      <x:c r="H246" s="64" t="str">
        <x:v>DOC-EVT-603259-00372</x:v>
      </x:c>
      <x:c r="I246" s="51" t="str">
        <x:v>关于召开2025年半年度业绩说明会的公告</x:v>
      </x:c>
      <x:c r="J246" s="87" t="n">
        <x:v>45891</x:v>
      </x:c>
      <x:c r="K246" s="73" t="str">
        <x:v>http://static.cninfo.com.cn/finalpage/2025-08-22/1224531577.PDF</x:v>
      </x:c>
      <x:c r="L246" s="40" t="str">
        <x:v>第1页</x:v>
      </x:c>
      <x:c r="M246" s="51" t="str">
        <x:v>证券代码：603259 证券简称：药明康德 公告编号：临 2025-056 无锡药明康德新药开发股份有限公司 关于召开 2025 年半年度业绩说明会的公告 本公司董事会及全体董事保证本公告内容不存在任何虚假记载、误导性陈述 或者重大遗漏，并对其内容的真实性、准确性和完整性承担法律责任。 重要内容提示：  会议召开时间：2025 年 8 月 29 日（星期五）上午 10:30-11:30  会议召开地点：上海证券交易所上证路演中心（http://roadshow.sseinfo.com/）  会议召开方式：上证路演中心视频直播和网络互动  投资者可于 2025 年 8 月 22 日（星期五）至 2025 年 8 月 28 日（星期四）16:00 前登录上证路演中心网站首页，点击“提问预征集”栏目或将相关问题通过 电子邮件的形式发送至本公司投资者关系邮箱：ir@wuxiapptec.com。本公司 将于 2025 年半年度业绩说明会（以下简称“业绩说明会”）上对投资者普遍 关注的问题进行回答。 无锡药明康德新药开发股份有限公司（以下简称“本公司”）已于 2025 年 7 月 29 日在上海证券交易所网站（www.sse.com.cn）及指定媒体披露《无锡药明 康德新药开发股份有限公司 2025 年半年度报告》。为了便于广大投资者更全面深 入地了解本公司 2025 年半年度业绩和经营情况，本公司拟于 2025 年 8 月 29 日 （星期五）上午 10:30-11:30…</x:v>
      </x:c>
      <x:c r="N246" s="41" t="str">
        <x:v>0-无关</x:v>
      </x:c>
      <x:c r="O246" s="41" t="str">
        <x:v>否</x:v>
      </x:c>
      <x:c r="P246" s="57" t="str">
        <x:v>公告仅安排半年度业绩说明会；内容与海外监管和客户需求缺少业务传导，未提供海外政策限制对客户订单和产能利用率的影响，不能支持当前判断。</x:v>
      </x:c>
      <x:c r="Q246" s="41" t="str">
        <x:v>B-CODEX-FIN-01</x:v>
      </x:c>
      <x:c r="R246" s="80" t="inlineStr">
        <x:is>
          <x:t>2026-08-30T13:30:00+08:00</x:t>
        </x:is>
      </x:c>
    </x:row>
    <x:row r="247" ht="72" customHeight="1">
      <x:c r="A247" s="64" t="str">
        <x:v>V6-R-Q025-C09</x:v>
      </x:c>
      <x:c r="B247" s="64" t="str">
        <x:v>V6-E-603259-C09</x:v>
      </x:c>
      <x:c r="C247" s="64" t="str">
        <x:v>V6-Q025</x:v>
      </x:c>
      <x:c r="D247" s="40" t="str">
        <x:v>药明康德</x:v>
      </x:c>
      <x:c r="E247" s="64" t="str">
        <x:v>603259</x:v>
      </x:c>
      <x:c r="F247" s="87" t="n">
        <x:v>46260.75</x:v>
      </x:c>
      <x:c r="G247" s="51" t="str">
        <x:v>海外政策限制是否影响客户订单与产能利用率</x:v>
      </x:c>
      <x:c r="H247" s="64" t="str">
        <x:v>DOC-EVT-603259-00284</x:v>
      </x:c>
      <x:c r="I247" s="51" t="str">
        <x:v>2024年度及2025年回报股东特别分红A股权益分派实施公告</x:v>
      </x:c>
      <x:c r="J247" s="87" t="n">
        <x:v>45792</x:v>
      </x:c>
      <x:c r="K247" s="73" t="str">
        <x:v>http://static.cninfo.com.cn/finalpage/2025-05-15/1223543249.PDF</x:v>
      </x:c>
      <x:c r="L247" s="40" t="str">
        <x:v>第1页</x:v>
      </x:c>
      <x:c r="M247" s="51" t="str">
        <x:v>证券代码：603259 证券简称：药明康德 公告编号：临 2025-036 无锡药明康德新药开发股份有限公司2024年度及 2025 年回报股东特别分红A 股权益分派实施公告 本公司董事会及全体董事保证本公告内容不存在任何虚假记载、误导性陈述 或者重大遗漏，并对其内容的真实性、准确性和完整性承担法律责任。 重要内容提示：  每股分配比例 A股每股现金红利1.33169元（含税），其中 2024年度权益分派 A股每股现金 红利 0.98169 元（含税），2025年回报股东特别分红权益分派 A股每股现金红利 0.35000元（含税）。  相关日期 股份类别 股权登记日 最后交易日 除权（息）日 现金红利发放日 Ａ股 2025/5/20 － 2025/5/21 2025/5/21  差异化分红送转： 是 一、 通过分配方案的股东大会届次和日期 2024年度利润分配方案及 2025年回报股东特别分红方案（以下简称“本次利 润分配方案”）经无锡药明康德新药开发股份有限公司（以下简称“本公司”或 “公司”）于2025年 4月 29日召开的2024年年度股东大会审议通过。 二、 分配方案 1. 发放年度：2024年度及 2025年回报股东特别分红 2. 分派对象： 截至股权登记日下午上海证券交易所收市后，在中国证券登记结算有限责任 公司上海分公司（以下简称“中国结算上海分公司”）登记在册的本公司全体 A 股股东。</x:v>
      </x:c>
      <x:c r="N247" s="41" t="str">
        <x:v>0-无关</x:v>
      </x:c>
      <x:c r="O247" s="41" t="str">
        <x:v>否</x:v>
      </x:c>
      <x:c r="P247" s="57" t="str">
        <x:v>公告仅披露年度及特别现金分红实施；内容与海外监管和客户需求缺少业务传导，未提供海外政策限制对客户订单和产能利用率的影响，不能支持当前判断。</x:v>
      </x:c>
      <x:c r="Q247" s="41" t="str">
        <x:v>B-CODEX-FIN-01</x:v>
      </x:c>
      <x:c r="R247" s="80" t="inlineStr">
        <x:is>
          <x:t>2026-08-30T13:30:00+08:00</x:t>
        </x:is>
      </x:c>
    </x:row>
    <x:row r="248" ht="72" customHeight="1">
      <x:c r="A248" s="64" t="str">
        <x:v>V6-R-Q025-C05</x:v>
      </x:c>
      <x:c r="B248" s="64" t="str">
        <x:v>V6-E-603259-C05</x:v>
      </x:c>
      <x:c r="C248" s="64" t="str">
        <x:v>V6-Q025</x:v>
      </x:c>
      <x:c r="D248" s="40" t="str">
        <x:v>药明康德</x:v>
      </x:c>
      <x:c r="E248" s="64" t="str">
        <x:v>603259</x:v>
      </x:c>
      <x:c r="F248" s="87" t="n">
        <x:v>46260.75</x:v>
      </x:c>
      <x:c r="G248" s="51" t="str">
        <x:v>海外政策限制是否影响客户订单与产能利用率</x:v>
      </x:c>
      <x:c r="H248" s="64" t="str">
        <x:v>DOC-EVT-603259-00236</x:v>
      </x:c>
      <x:c r="I248" s="51" t="str">
        <x:v>关于开展外汇套期保值业务的公告</x:v>
      </x:c>
      <x:c r="J248" s="87" t="n">
        <x:v>45734</x:v>
      </x:c>
      <x:c r="K248" s="73" t="str">
        <x:v>http://static.cninfo.com.cn/finalpage/2025-03-18/1222822840.PDF</x:v>
      </x:c>
      <x:c r="L248" s="40" t="str">
        <x:v>第1页</x:v>
      </x:c>
      <x:c r="M248" s="51" t="str">
        <x:v>1 证券代码：603259 证券简称：药明康德 公告编号：临 2025-011 无锡药明康德新药开发股份有限公司 关于开展外汇套期保值业务的公告 本公司董事会及全体董事保证本公告内容不存在任何虚假记载、 误导性陈述 或者重大遗漏，并对其内容的真实性、准确性和完整性依法承担法律责任。 重要内容提示：  为有效规避和防范汇率大幅波动对无锡药明康德新药开发股份有限公司 （以下简称“本公司”）经营造成的不利影响，降低外汇风险，增强本公司财务 的稳健性，在保证日常运营资金需求的情况下，本公司及其合并报表范围内下属 子企业（以下简称“下属子企业”）拟在 2025 年度与境内外商业银行开展额度 不超过 70 亿美元或其他等值外币的外汇套期保值业务，交易品种包括远期结售 汇等外汇衍生产品业务。  本次开展外汇套期保值业务已经 本公司第三届董事会第十七次会议暨 2024 年年度董事会审议通过，尚需提交本公司股东大会审议。  风险提示：本公司进行外汇套期保值业务遵循合法、审慎、安全、有效、 稳健原则，不进行以投机为目的的外汇交易，所有外汇套期保值业务均以正常生 产经营为基础。本次外汇套期保值业务存在一定的汇率波动风险、履约风险、内 部控制风险、客户违约风险等风险。 一、外汇套期保值情况概述 （一）外汇套期保值目的 根据本公司目前的业务发展情况及未来的发展战略，本公司国际业务量不断 增加，本公司外汇头寸也相应增加，当汇率出现较大波动时，汇兑损益可能对本 公司的经营业绩造成的影响也随之增大。…</x:v>
      </x:c>
      <x:c r="N248" s="41" t="str">
        <x:v>2-间接相关</x:v>
      </x:c>
      <x:c r="O248" s="41" t="str">
        <x:v>是</x:v>
      </x:c>
      <x:c r="P248" s="57" t="str">
        <x:v>公告披露国际业务增长、外汇敞口和70亿美元套保安排；该事实可通过跨境监管或国际业务变化向订单与利用率传导，间接验证海外政策限制对客户订单和产能利用率的影响，关系清晰且可复核。</x:v>
      </x:c>
      <x:c r="Q248" s="41" t="str">
        <x:v>B-CODEX-FIN-01</x:v>
      </x:c>
      <x:c r="R248" s="80" t="inlineStr">
        <x:is>
          <x:t>2026-08-30T13:30:00+08:00</x:t>
        </x:is>
      </x:c>
    </x:row>
    <x:row r="249" ht="72" customHeight="1">
      <x:c r="A249" s="64" t="str">
        <x:v>V6-R-Q025-C03</x:v>
      </x:c>
      <x:c r="B249" s="64" t="str">
        <x:v>V6-E-603259-C03</x:v>
      </x:c>
      <x:c r="C249" s="64" t="str">
        <x:v>V6-Q025</x:v>
      </x:c>
      <x:c r="D249" s="40" t="str">
        <x:v>药明康德</x:v>
      </x:c>
      <x:c r="E249" s="64" t="str">
        <x:v>603259</x:v>
      </x:c>
      <x:c r="F249" s="87" t="n">
        <x:v>46260.75</x:v>
      </x:c>
      <x:c r="G249" s="51" t="str">
        <x:v>海外政策限制是否影响客户订单与产能利用率</x:v>
      </x:c>
      <x:c r="H249" s="64" t="str">
        <x:v>DOC-EVT-603259-00400</x:v>
      </x:c>
      <x:c r="I249" s="51" t="str">
        <x:v>2025年半年度A股权益分派实施公告</x:v>
      </x:c>
      <x:c r="J249" s="87" t="n">
        <x:v>45920</x:v>
      </x:c>
      <x:c r="K249" s="73" t="str">
        <x:v>http://static.cninfo.com.cn/finalpage/2025-09-20/1224670628.PDF</x:v>
      </x:c>
      <x:c r="L249" s="40" t="str">
        <x:v>第1页</x:v>
      </x:c>
      <x:c r="M249" s="51" t="str">
        <x:v>证券代码：603259 证券简称：药明康德 公告编号：临 2025-063 无锡药明康德新药开发股份有限公司 2025年半年度A 股权益分派实施公告 本公司董事会及全体董事保证本公告内容不存在任何虚假记载、误导性陈述或 者重大遗漏，并对其内容的真实性、准确性和完整性承担法律责任。 重要内容提示：  每股分配比例 A 股每股现金红利0.35000元（含税）  相关日期 股份类别 股权登记日 最后交易日 除权（息）日 现金红利发放日 Ａ股 2025/9/25 － 2025/9/26 2025/9/26  差异化分红送转： 否 一、 通过分配方案的股东大会届次和日期 本次利润分配方案经无锡药明康德新药开发股份有限公司（以下简称“本公 司”）2025 年 4 月 29 日的2024年年度股东大会授权董事会在符合利润分配的条件 下制定具体的中期分红方案，并经 2025 年 7 月 28 日召开的第三届董事会第二十 二次会议审议通过。 二、 分配方案 1. 发放年度：2025年半年度 2. 分派对象： 截至股权登记日下午上海证券交易所收市后，在中国证券登记结算有限责任 公司上海分公司（以下简称“中国结算上海分公司”）登记在册的本公司全体 A 股股东。</x:v>
      </x:c>
      <x:c r="N249" s="41" t="str">
        <x:v>0-无关</x:v>
      </x:c>
      <x:c r="O249" s="41" t="str">
        <x:v>否</x:v>
      </x:c>
      <x:c r="P249" s="57" t="str">
        <x:v>公告仅披露半年度现金分红实施；内容与海外监管和客户需求缺少业务传导，未提供海外政策限制对客户订单和产能利用率的影响，不能支持当前判断。</x:v>
      </x:c>
      <x:c r="Q249" s="41" t="str">
        <x:v>B-CODEX-FIN-01</x:v>
      </x:c>
      <x:c r="R249" s="80" t="inlineStr">
        <x:is>
          <x:t>2026-08-30T13:30:00+08:00</x:t>
        </x:is>
      </x:c>
    </x:row>
    <x:row r="250" ht="72" customHeight="1">
      <x:c r="A250" s="64" t="str">
        <x:v>V6-R-Q025-C02</x:v>
      </x:c>
      <x:c r="B250" s="64" t="str">
        <x:v>V6-E-603259-C02</x:v>
      </x:c>
      <x:c r="C250" s="64" t="str">
        <x:v>V6-Q025</x:v>
      </x:c>
      <x:c r="D250" s="40" t="str">
        <x:v>药明康德</x:v>
      </x:c>
      <x:c r="E250" s="64" t="str">
        <x:v>603259</x:v>
      </x:c>
      <x:c r="F250" s="87" t="n">
        <x:v>46260.75</x:v>
      </x:c>
      <x:c r="G250" s="51" t="str">
        <x:v>海外政策限制是否影响客户订单与产能利用率</x:v>
      </x:c>
      <x:c r="H250" s="64" t="str">
        <x:v>DOC-EVT-603259-00455</x:v>
      </x:c>
      <x:c r="I250" s="51" t="str">
        <x:v>关于开展外汇套期保值业务的公告</x:v>
      </x:c>
      <x:c r="J250" s="87" t="n">
        <x:v>46105</x:v>
      </x:c>
      <x:c r="K250" s="73" t="str">
        <x:v>http://static.cninfo.com.cn/finalpage/2026-03-24/1225025196.PDF</x:v>
      </x:c>
      <x:c r="L250" s="40" t="str">
        <x:v>第1页</x:v>
      </x:c>
      <x:c r="M250" s="51" t="str">
        <x:v>证券代码：603259 证券简称：药明康德 公告编号：临 2026-012 无锡药明康德新药开发股份有限公司 关于开展外汇套期保值业务的公告 本公司董事会及全体董事保证本公告内容不存在任何虚假记载、误导性陈述 或者重大遗漏，并对其内容的真实性、准确性和完整性承担法律责任。 重要内容提示：  交易主要情况  已履行及拟履行的审议程序 本次开展外汇套期保值业务已经本公司第三届董事会第二十七次会议暨 2025 年年度董事会审议通过，尚需提交本公司股东会审议。  特别风险提示：本公司进行外汇套期保值业务遵循合法、审慎、安全、 有效、稳健原则，不进行以投机为目的的外汇交易，所有外汇套期保值业务均以 正常生产经营为基础。本次外汇套期保值业务存在一定的汇率波动风险、履约风 险、内部控制风险、客户违约风险等风险。 一、交易情况概述 （一）交易目的 交易目的 □获取投资收益 套期保值（合约类别：□商品；外汇；□其他：________） □其他：________ 交易品种 远期结售汇等外汇衍生产品业务 交易金额 预计动用的交易保证金和权利金 上限（单位：万元） 0.00 预计任一交易日持有的最高合约 价值（单位：万元） 900,000万美元或其他等 值外币 资金来源 自有资金 □借贷资金 □其他：___ 交易期限 本次授权期限为自无锡药明康德新药开发股份有限公司（以 下简称“本公司”）2025年年度股东会审议通过之日起12 个月或至2026年年度董事会或股东会（视届时审批权限）审…</x:v>
      </x:c>
      <x:c r="N250" s="41" t="str">
        <x:v>2-间接相关</x:v>
      </x:c>
      <x:c r="O250" s="41" t="str">
        <x:v>是</x:v>
      </x:c>
      <x:c r="P250" s="57" t="str">
        <x:v>公告披露国际业务相关外汇风险及90亿美元套保上限；该事实可通过跨境监管或国际业务变化向订单与利用率传导，间接验证海外政策限制对客户订单和产能利用率的影响，关系清晰且可复核。</x:v>
      </x:c>
      <x:c r="Q250" s="41" t="str">
        <x:v>B-CODEX-FIN-01</x:v>
      </x:c>
      <x:c r="R250" s="80" t="inlineStr">
        <x:is>
          <x:t>2026-08-30T13:30:00+08:00</x:t>
        </x:is>
      </x:c>
    </x:row>
    <x:row r="251" ht="72" customHeight="1">
      <x:c r="A251" s="64" t="str">
        <x:v>V6-R-Q025-C01</x:v>
      </x:c>
      <x:c r="B251" s="64" t="str">
        <x:v>V6-E-603259-C01</x:v>
      </x:c>
      <x:c r="C251" s="64" t="str">
        <x:v>V6-Q025</x:v>
      </x:c>
      <x:c r="D251" s="40" t="str">
        <x:v>药明康德</x:v>
      </x:c>
      <x:c r="E251" s="64" t="str">
        <x:v>603259</x:v>
      </x:c>
      <x:c r="F251" s="87" t="n">
        <x:v>46260.75</x:v>
      </x:c>
      <x:c r="G251" s="51" t="str">
        <x:v>海外政策限制是否影响客户订单与产能利用率</x:v>
      </x:c>
      <x:c r="H251" s="64" t="str">
        <x:v>DOC-EVT-603259-00348</x:v>
      </x:c>
      <x:c r="I251" s="51" t="str">
        <x:v>2025年半年度报告</x:v>
      </x:c>
      <x:c r="J251" s="87" t="n">
        <x:v>45867</x:v>
      </x:c>
      <x:c r="K251" s="73" t="str">
        <x:v>http://static.cninfo.com.cn/finalpage/2025-07-29/1224317427.PDF</x:v>
      </x:c>
      <x:c r="L251" s="40" t="str">
        <x:v>第24页</x:v>
      </x:c>
      <x:c r="M251" s="51" t="str">
        <x:v>无锡药明康德新药开发股份有限公司 2025 年半年度报告 24 / 201 (七) 公司控制的结构化主体情况 □适用 √不适用 五、 其他披露事项 (一) 可能面对的风险 √适用 □不适用 (1) 医药研发服务市场需求下降的风险 公司的业务依赖于客户（包括跨国制药企业、生命科学公司、初创公司以及学者和非营利研 究机构等）在药品的发现、分析测试、开发、生产等外包服务方面的支出和需求。过去，受益于 全球医药市场不断增长、客户研发预算增加以及客户外包比例提升，客户对公司的服务需求持续 上升。如果未来行业发展趋势放缓，或者外包比例下降，可能对公司业务造成不利影响。此外， 医药行业的兼并整合及研发预算调整，也可能会影响客户的研发支出和外包需求，并对公司业务 造成不利影响。 (2) 行业监管政策变化的风险 医药研发服务行业是一个受监管程度较高的行业，其监管部门包括公司业务开展所在国家或 地区的药品监督管理机构等，该等监管部门一般通过制订相关的政策法规对医药研发服务行业实 施监管，监管范围可涵盖技术指标和跨境外包服务及生产的标准和要求等多个方面。境外发达国 家医药研发服务行业的产业政策、行业法规已经形成较为成熟的体系；在中国，国家药监局等主 管机构亦不断根据市场发展情况逐步制订并不断完善各项相关法规。若公司不能及时调整自身经 营战略来应对相关国家或地区医药研发服务行业的产业政策和行业法规的变化，将可能会对公司 的经营产生潜在的不利影响。 (3) 医药研发服务行业竞争加剧的风险 目前，全球…</x:v>
      </x:c>
      <x:c r="N251" s="41" t="str">
        <x:v>3-直接相关</x:v>
      </x:c>
      <x:c r="O251" s="41" t="str">
        <x:v>是</x:v>
      </x:c>
      <x:c r="P251" s="57" t="str">
        <x:v>半年报直接提示海外监管政策、跨境外包和客户研发需求变化风险；证据直接披露或决定海外政策限制对客户订单和产能利用率的影响，可直接用于回答当前查询。</x:v>
      </x:c>
      <x:c r="Q251" s="41" t="str">
        <x:v>B-CODEX-FIN-01</x:v>
      </x:c>
      <x:c r="R251" s="80" t="inlineStr">
        <x:is>
          <x:t>2026-08-30T13:30:00+08:00</x:t>
        </x:is>
      </x:c>
    </x:row>
    <x:row r="252" ht="72" customHeight="1">
      <x:c r="A252" s="64" t="str">
        <x:v>V6-R-Q026-C07</x:v>
      </x:c>
      <x:c r="B252" s="64" t="str">
        <x:v>V6-E-603259-C07</x:v>
      </x:c>
      <x:c r="C252" s="64" t="str">
        <x:v>V6-Q026</x:v>
      </x:c>
      <x:c r="D252" s="40" t="str">
        <x:v>药明康德</x:v>
      </x:c>
      <x:c r="E252" s="64" t="str">
        <x:v>603259</x:v>
      </x:c>
      <x:c r="F252" s="87" t="n">
        <x:v>46260.75</x:v>
      </x:c>
      <x:c r="G252" s="51" t="str">
        <x:v>在手订单向收入转化速度能否验证需求恢复</x:v>
      </x:c>
      <x:c r="H252" s="64" t="str">
        <x:v>DOC-EVT-603259-00372</x:v>
      </x:c>
      <x:c r="I252" s="51" t="str">
        <x:v>关于召开2025年半年度业绩说明会的公告</x:v>
      </x:c>
      <x:c r="J252" s="87" t="n">
        <x:v>45891</x:v>
      </x:c>
      <x:c r="K252" s="73" t="str">
        <x:v>http://static.cninfo.com.cn/finalpage/2025-08-22/1224531577.PDF</x:v>
      </x:c>
      <x:c r="L252" s="40" t="str">
        <x:v>第1页</x:v>
      </x:c>
      <x:c r="M252" s="51" t="str">
        <x:v>证券代码：603259 证券简称：药明康德 公告编号：临 2025-056 无锡药明康德新药开发股份有限公司 关于召开 2025 年半年度业绩说明会的公告 本公司董事会及全体董事保证本公告内容不存在任何虚假记载、误导性陈述 或者重大遗漏，并对其内容的真实性、准确性和完整性承担法律责任。 重要内容提示：  会议召开时间：2025 年 8 月 29 日（星期五）上午 10:30-11:30  会议召开地点：上海证券交易所上证路演中心（http://roadshow.sseinfo.com/）  会议召开方式：上证路演中心视频直播和网络互动  投资者可于 2025 年 8 月 22 日（星期五）至 2025 年 8 月 28 日（星期四）16:00 前登录上证路演中心网站首页，点击“提问预征集”栏目或将相关问题通过 电子邮件的形式发送至本公司投资者关系邮箱：ir@wuxiapptec.com。本公司 将于 2025 年半年度业绩说明会（以下简称“业绩说明会”）上对投资者普遍 关注的问题进行回答。 无锡药明康德新药开发股份有限公司（以下简称“本公司”）已于 2025 年 7 月 29 日在上海证券交易所网站（www.sse.com.cn）及指定媒体披露《无锡药明 康德新药开发股份有限公司 2025 年半年度报告》。为了便于广大投资者更全面深 入地了解本公司 2025 年半年度业绩和经营情况，本公司拟于 2025 年 8 月 29 日 （星期五）上午 10:30-11:30…</x:v>
      </x:c>
      <x:c r="N252" s="41" t="str">
        <x:v>0-无关</x:v>
      </x:c>
      <x:c r="O252" s="41" t="str">
        <x:v>否</x:v>
      </x:c>
      <x:c r="P252" s="57" t="str">
        <x:v>公告仅安排半年度业绩说明会；内容与订单转化和需求恢复缺少业务传导，未提供在手订单规模、转化速度与收入恢复，不能支持当前判断。</x:v>
      </x:c>
      <x:c r="Q252" s="41" t="str">
        <x:v>B-CODEX-FIN-01</x:v>
      </x:c>
      <x:c r="R252" s="80" t="inlineStr">
        <x:is>
          <x:t>2026-08-30T13:30:00+08:00</x:t>
        </x:is>
      </x:c>
    </x:row>
    <x:row r="253" ht="72" customHeight="1">
      <x:c r="A253" s="64" t="str">
        <x:v>V6-R-Q026-C10</x:v>
      </x:c>
      <x:c r="B253" s="64" t="str">
        <x:v>V6-E-603259-C10</x:v>
      </x:c>
      <x:c r="C253" s="64" t="str">
        <x:v>V6-Q026</x:v>
      </x:c>
      <x:c r="D253" s="40" t="str">
        <x:v>药明康德</x:v>
      </x:c>
      <x:c r="E253" s="64" t="str">
        <x:v>603259</x:v>
      </x:c>
      <x:c r="F253" s="87" t="n">
        <x:v>46260.75</x:v>
      </x:c>
      <x:c r="G253" s="51" t="str">
        <x:v>在手订单向收入转化速度能否验证需求恢复</x:v>
      </x:c>
      <x:c r="H253" s="64" t="str">
        <x:v>DOC-EVT-603259-00516</x:v>
      </x:c>
      <x:c r="I253" s="51" t="str">
        <x:v>关于修改公司章程的公告</x:v>
      </x:c>
      <x:c r="J253" s="87" t="n">
        <x:v>46238</x:v>
      </x:c>
      <x:c r="K253" s="73" t="str">
        <x:v>http://static.cninfo.com.cn/finalpage/2026-08-04/1225455025.PDF</x:v>
      </x:c>
      <x:c r="L253" s="40" t="str">
        <x:v>第1页</x:v>
      </x:c>
      <x:c r="M253" s="51" t="str">
        <x:v>1 证券代码：603259 证券简称：药明康德 公告编号：临 2026-031 无锡药明康德新药开发股份有限公司 关于修改公司章程的公告 本公司董事会及全体董事保证本公告内容不存在任何虚假记载、误导性陈述 或者重大遗漏，并对其内容的真实性、准确性和完整性承担法律责任。 为积极响应香港市场的无纸证券市场制度，加强公司治理与投资者参与，无 锡药明康德新药开发股份有限公司（以下简称“公司”）于 2026 年 8 月 3 日召 开第四届董事会第五次会议，审议通过《关于修改公司章程的议案》。 根据香港联合交易所有限公司《无纸证券市场指引》的相关规定，公司拟对 《公司章程》进行如下修订，以符合实行无纸证券市场制度的规定。 修订前 修订后 第一条 为维护公司、股东、职工 和债权人的合法权益，规范无锡药明 康德新药开发股份有限公司（以下简 称“公司”或“本公司”）的组织和 行为，根据《中华人民共和国公司法》 （以下简称“《公司法》”）、《中 华人民共和国证券法》（以下简称“《证 券法》”）、《境内企业境外发行证 券和上市管理试行办法》、《上市公 司章程指引》、《上海证券交易所股 票上市规则》（以下简称“《上交所 上市规则》”）、《香港联合交易所 有限公司证券上市规则》（以下简称 “《香港上市规则》”）和其他有关 规定，制定本章程。 第一条 为维护公司、股东、职工 和债权人的合法权益，规范无锡药明 康德新药开发股份有限公司（以下简 称“公司”或“本公司”）的组织和 行为，根据《中华人民共和国…</x:v>
      </x:c>
      <x:c r="N253" s="41" t="str">
        <x:v>0-无关</x:v>
      </x:c>
      <x:c r="O253" s="41" t="str">
        <x:v>否</x:v>
      </x:c>
      <x:c r="P253" s="57" t="str">
        <x:v>公告仅修改无纸证券制度相关公司章程；内容与订单转化和需求恢复缺少业务传导，未提供在手订单规模、转化速度与收入恢复，不能支持当前判断。</x:v>
      </x:c>
      <x:c r="Q253" s="41" t="str">
        <x:v>B-CODEX-FIN-01</x:v>
      </x:c>
      <x:c r="R253" s="80" t="inlineStr">
        <x:is>
          <x:t>2026-08-30T13:30:00+08:00</x:t>
        </x:is>
      </x:c>
    </x:row>
    <x:row r="254" ht="72" customHeight="1">
      <x:c r="A254" s="64" t="str">
        <x:v>V6-R-Q026-C01</x:v>
      </x:c>
      <x:c r="B254" s="64" t="str">
        <x:v>V6-E-603259-C01</x:v>
      </x:c>
      <x:c r="C254" s="64" t="str">
        <x:v>V6-Q026</x:v>
      </x:c>
      <x:c r="D254" s="40" t="str">
        <x:v>药明康德</x:v>
      </x:c>
      <x:c r="E254" s="64" t="str">
        <x:v>603259</x:v>
      </x:c>
      <x:c r="F254" s="87" t="n">
        <x:v>46260.75</x:v>
      </x:c>
      <x:c r="G254" s="51" t="str">
        <x:v>在手订单向收入转化速度能否验证需求恢复</x:v>
      </x:c>
      <x:c r="H254" s="64" t="str">
        <x:v>DOC-EVT-603259-00348</x:v>
      </x:c>
      <x:c r="I254" s="51" t="str">
        <x:v>2025年半年度报告</x:v>
      </x:c>
      <x:c r="J254" s="87" t="n">
        <x:v>45867</x:v>
      </x:c>
      <x:c r="K254" s="73" t="str">
        <x:v>http://static.cninfo.com.cn/finalpage/2025-07-29/1224317427.PDF</x:v>
      </x:c>
      <x:c r="L254" s="40" t="str">
        <x:v>第13页</x:v>
      </x:c>
      <x:c r="M254" s="51" t="str">
        <x:v>无锡药明康德新药开发股份有限公司 2025 年半年度报告 13 / 201 中，SMO 业务收入同比增长1.5%，保持中国行业领先地位。2025 年上半年临床CRO 业 务助力客户获得 12 项临床试验批件和 2 项上市申请。SMO 业务赋能 61 个产品获批上 市，近十年累计赋能317 个新产品获批上市，在内分泌、皮肤、肺癌、心血管内科等多 个领域持续保持显著优势。 (3) 生物学业务实现收入人民币12.5 亿元，同比增长 7.1%。报告期内： - 生物学业务秉持科学驱动理念，持续强化药物发现热点能力建设与前瞻性布局，为公司 CRDMO 业务模式高效引流，持续为公司带来超过20%的新客户。 - 体外综合筛选平台技术与体内药理学能力加速突破，收入同比继续快速增长。非肿瘤业 务竞争优势持续提升，为全年持续增长奠定坚实基础。 - 新分子类型药物发现服务延续良好表现，所贡献收入占生物学业务总收入超30%。 公司预计2025年持续经营业务收入重回双位数增长，增速从10-15%上调至13-17%。公司预计 全年整体收入从人民币415-430亿元上调至人民币425-435亿元。公司将聚焦CRDMO核心业务，持 续提高生产经营效率。 上述提及的2025年全年经营业绩展望以公司目前在手订单情况为基础预测，并以全球医药行 业发展平稳、国际贸易环境和主要运营所在地国家监管环境稳定等为前提基础，并不代表公司管 理层对2025年度全年经营业绩的盈利预测，不构成公司对投资者的实质承诺，能否实现取决于…</x:v>
      </x:c>
      <x:c r="N254" s="41" t="str">
        <x:v>2-间接相关</x:v>
      </x:c>
      <x:c r="O254" s="41" t="str">
        <x:v>是</x:v>
      </x:c>
      <x:c r="P254" s="57" t="str">
        <x:v>半年报直接提示海外监管政策、跨境外包和客户研发需求变化风险；该事实可通过订单增长及服务收入变化向需求恢复传导，间接验证在手订单规模、转化速度与收入恢复，关系清晰且可复核。</x:v>
      </x:c>
      <x:c r="Q254" s="41" t="str">
        <x:v>B-CODEX-FIN-01</x:v>
      </x:c>
      <x:c r="R254" s="80" t="inlineStr">
        <x:is>
          <x:t>2026-08-30T13:30:00+08:00</x:t>
        </x:is>
      </x:c>
    </x:row>
    <x:row r="255" ht="72" customHeight="1">
      <x:c r="A255" s="64" t="str">
        <x:v>V6-R-Q026-C02</x:v>
      </x:c>
      <x:c r="B255" s="64" t="str">
        <x:v>V6-E-603259-C02</x:v>
      </x:c>
      <x:c r="C255" s="64" t="str">
        <x:v>V6-Q026</x:v>
      </x:c>
      <x:c r="D255" s="40" t="str">
        <x:v>药明康德</x:v>
      </x:c>
      <x:c r="E255" s="64" t="str">
        <x:v>603259</x:v>
      </x:c>
      <x:c r="F255" s="87" t="n">
        <x:v>46260.75</x:v>
      </x:c>
      <x:c r="G255" s="51" t="str">
        <x:v>在手订单向收入转化速度能否验证需求恢复</x:v>
      </x:c>
      <x:c r="H255" s="64" t="str">
        <x:v>DOC-EVT-603259-00455</x:v>
      </x:c>
      <x:c r="I255" s="51" t="str">
        <x:v>关于开展外汇套期保值业务的公告</x:v>
      </x:c>
      <x:c r="J255" s="87" t="n">
        <x:v>46105</x:v>
      </x:c>
      <x:c r="K255" s="73" t="str">
        <x:v>http://static.cninfo.com.cn/finalpage/2026-03-24/1225025196.PDF</x:v>
      </x:c>
      <x:c r="L255" s="40" t="str">
        <x:v>第1页</x:v>
      </x:c>
      <x:c r="M255" s="51" t="str">
        <x:v>证券代码：603259 证券简称：药明康德 公告编号：临 2026-012 无锡药明康德新药开发股份有限公司 关于开展外汇套期保值业务的公告 本公司董事会及全体董事保证本公告内容不存在任何虚假记载、误导性陈述 或者重大遗漏，并对其内容的真实性、准确性和完整性承担法律责任。 重要内容提示：  交易主要情况  已履行及拟履行的审议程序 本次开展外汇套期保值业务已经本公司第三届董事会第二十七次会议暨 2025 年年度董事会审议通过，尚需提交本公司股东会审议。  特别风险提示：本公司进行外汇套期保值业务遵循合法、审慎、安全、 有效、稳健原则，不进行以投机为目的的外汇交易，所有外汇套期保值业务均以 正常生产经营为基础。本次外汇套期保值业务存在一定的汇率波动风险、履约风 险、内部控制风险、客户违约风险等风险。 一、交易情况概述 （一）交易目的 交易目的 □获取投资收益 套期保值（合约类别：□商品；外汇；□其他：________） □其他：________ 交易品种 远期结售汇等外汇衍生产品业务 交易金额 预计动用的交易保证金和权利金 上限（单位：万元） 0.00 预计任一交易日持有的最高合约 价值（单位：万元） 900,000万美元或其他等 值外币 资金来源 自有资金 □借贷资金 □其他：___ 交易期限 本次授权期限为自无锡药明康德新药开发股份有限公司（以 下简称“本公司”）2025年年度股东会审议通过之日起12 个月或至2026年年度董事会或股东会（视届时审批权限）审…</x:v>
      </x:c>
      <x:c r="N255" s="41" t="str">
        <x:v>1-弱相关</x:v>
      </x:c>
      <x:c r="O255" s="41" t="str">
        <x:v>否</x:v>
      </x:c>
      <x:c r="P255" s="57" t="str">
        <x:v>公告披露国际业务相关外汇风险及90亿美元套保上限；虽与订单转化和需求恢复主题相近，但未提供在手订单规模、转化速度与收入恢复，不足以建立可靠传导链。</x:v>
      </x:c>
      <x:c r="Q255" s="41" t="str">
        <x:v>B-CODEX-FIN-01</x:v>
      </x:c>
      <x:c r="R255" s="80" t="inlineStr">
        <x:is>
          <x:t>2026-08-30T13:30:00+08:00</x:t>
        </x:is>
      </x:c>
    </x:row>
    <x:row r="256" ht="72" customHeight="1">
      <x:c r="A256" s="64" t="str">
        <x:v>V6-R-Q026-C06</x:v>
      </x:c>
      <x:c r="B256" s="64" t="str">
        <x:v>V6-E-603259-C06</x:v>
      </x:c>
      <x:c r="C256" s="64" t="str">
        <x:v>V6-Q026</x:v>
      </x:c>
      <x:c r="D256" s="40" t="str">
        <x:v>药明康德</x:v>
      </x:c>
      <x:c r="E256" s="64" t="str">
        <x:v>603259</x:v>
      </x:c>
      <x:c r="F256" s="87" t="n">
        <x:v>46260.75</x:v>
      </x:c>
      <x:c r="G256" s="51" t="str">
        <x:v>在手订单向收入转化速度能否验证需求恢复</x:v>
      </x:c>
      <x:c r="H256" s="64" t="str">
        <x:v>DOC-EVT-603259-00351</x:v>
      </x:c>
      <x:c r="I256" s="51" t="str">
        <x:v>2025年半年度报告摘要</x:v>
      </x:c>
      <x:c r="J256" s="87" t="n">
        <x:v>45867</x:v>
      </x:c>
      <x:c r="K256" s="73" t="str">
        <x:v>http://static.cninfo.com.cn/finalpage/2025-07-29/1224317421.PDF</x:v>
      </x:c>
      <x:c r="L256" s="40" t="str">
        <x:v>第3页</x:v>
      </x:c>
      <x:c r="M256" s="51" t="str">
        <x:v>无锡药明康德新药开发股份有限公司2025 年半年度报告摘要 总资产 83,823,779,902.24 80,325,824,408.75 4.35 归属于上市公司股 东的净资产 59,911,708,305.03 58,632,715,174.37 2.18 本报告期 上年同期 本报告期比上年同期增 减(%) 营业收入 20,799,281,882.46 17,240,918,263.02 20.64 利润总额 9,907,416,557.97 5,049,553,770.35 0.9620 归属于上市公司股 东的净利润 8,560,882,627.56 4,239,822,013.11 101.92 归属于上市公司股 东的扣除非经常性 损益的净利润 5,582,126,598.19 4,413,927,157.98 26.47 经营活动产生的现 金流量净额 7,430,981,531.70 4,966,294,187.37 49.63 加权平均净资产收 益率（%） 13.93 7.62 增加6.31个百分点 基本每股收益（元／ 股） 3.01 1.46 106.16 稀释每股收益（元／ 股） 2.99 1.45 106.21 2.3 前 10 名股东持股情况表 单位: 股 截至报告期末股东总数（户）（注 1） 235,515 截至报告期末表决权恢复的优先股股东总数（户） 0 前 10 名股东持股情况 股东名称 股东性 质 持股比 例(%) 持股 数量 持有有限 售条件的…</x:v>
      </x:c>
      <x:c r="N256" s="41" t="str">
        <x:v>0-无关</x:v>
      </x:c>
      <x:c r="O256" s="41" t="str">
        <x:v>否</x:v>
      </x:c>
      <x:c r="P256" s="57" t="str">
        <x:v>半年报摘要摘录主要列示股东结构而非经营数据；内容与订单转化和需求恢复缺少业务传导，未提供在手订单规模、转化速度与收入恢复，不能支持当前判断。</x:v>
      </x:c>
      <x:c r="Q256" s="41" t="str">
        <x:v>B-CODEX-FIN-01</x:v>
      </x:c>
      <x:c r="R256" s="80" t="inlineStr">
        <x:is>
          <x:t>2026-08-30T13:30:00+08:00</x:t>
        </x:is>
      </x:c>
    </x:row>
    <x:row r="257" ht="72" customHeight="1">
      <x:c r="A257" s="64" t="str">
        <x:v>V6-R-Q026-C08</x:v>
      </x:c>
      <x:c r="B257" s="64" t="str">
        <x:v>V6-E-603259-C08</x:v>
      </x:c>
      <x:c r="C257" s="64" t="str">
        <x:v>V6-Q026</x:v>
      </x:c>
      <x:c r="D257" s="40" t="str">
        <x:v>药明康德</x:v>
      </x:c>
      <x:c r="E257" s="64" t="str">
        <x:v>603259</x:v>
      </x:c>
      <x:c r="F257" s="87" t="n">
        <x:v>46260.75</x:v>
      </x:c>
      <x:c r="G257" s="51" t="str">
        <x:v>在手订单向收入转化速度能否验证需求恢复</x:v>
      </x:c>
      <x:c r="H257" s="64" t="str">
        <x:v>DOC-EVT-603259-00235</x:v>
      </x:c>
      <x:c r="I257" s="51" t="str">
        <x:v>2024年年度报告</x:v>
      </x:c>
      <x:c r="J257" s="87" t="n">
        <x:v>45734</x:v>
      </x:c>
      <x:c r="K257" s="73" t="str">
        <x:v>http://static.cninfo.com.cn/finalpage/2025-03-18/1222822835.PDF</x:v>
      </x:c>
      <x:c r="L257" s="40" t="str">
        <x:v>第12页</x:v>
      </x:c>
      <x:c r="M257" s="51" t="str">
        <x:v>无锡药明康德新药开发股份有限公司 2024 年年度报告 12 / 292 第三节 管理层讨论与分析 一、经营情况讨论与分析 2024 年末，公司整体活跃客户约 6,000 家。其中，持续经营业务截至年末活跃客户约 5,500 家，持续经营业务全年新增客户约1,000 家，全球各地客户对公司服务的需求持续增长。 截至2024 年末，公司持续经营业务在手订单人民币493.1 亿元，同比增长47.0%。报告期内： - 来自于全球前20 大制药企业收入达到人民币166.4 亿元，剔除特定商业化生产项目同比 增长 24.1%。 - 来自美国客户收入人民币250.2 亿元，剔除特定商业化生产项目同比增长7.7%；来自欧 洲客户收入人民币52.3 亿元，同比增长14.4%；来自中国客户收入人民币70.7 亿元，同 比下降3.5%；来自其他地区客户收入人民币19.3 亿元，同比下降11.4%。 二、报告期内公司所处行业情况 公司属于医药研发服务行业，主要为全球医药及生命科学行业提供新药研发和生产服务。公 司的主营业务涵盖化学药研发和生产、生物学研究、临床前测试和临床试验研究等领域。公司是 为数不多的“一体化、端到端”的研发服务平台，能够顺应药物研发价值链，从早期药物发现阶 段开始为客户提供服务，并在客户项目不断推进的过程中，从“跟随项目发展”到“跟随药物分 子发展”，不断扩大服务，获得持续的增长。 公司与全球制药行业发展以及新药研发投入密切相关，在全球制药行业蓬勃发展的推动下， 公司的主营…</x:v>
      </x:c>
      <x:c r="N257" s="41" t="str">
        <x:v>3-直接相关</x:v>
      </x:c>
      <x:c r="O257" s="41" t="str">
        <x:v>是</x:v>
      </x:c>
      <x:c r="P257" s="57" t="str">
        <x:v>年报披露TIDES在手订单增长103.9%、产能扩张及测试业务收入变化；证据直接披露或决定在手订单规模、转化速度与收入恢复，可直接用于回答当前查询。</x:v>
      </x:c>
      <x:c r="Q257" s="41" t="str">
        <x:v>B-CODEX-FIN-01</x:v>
      </x:c>
      <x:c r="R257" s="80" t="inlineStr">
        <x:is>
          <x:t>2026-08-30T13:30:00+08:00</x:t>
        </x:is>
      </x:c>
    </x:row>
    <x:row r="258" ht="72" customHeight="1">
      <x:c r="A258" s="64" t="str">
        <x:v>V6-R-Q026-C09</x:v>
      </x:c>
      <x:c r="B258" s="64" t="str">
        <x:v>V6-E-603259-C09</x:v>
      </x:c>
      <x:c r="C258" s="64" t="str">
        <x:v>V6-Q026</x:v>
      </x:c>
      <x:c r="D258" s="40" t="str">
        <x:v>药明康德</x:v>
      </x:c>
      <x:c r="E258" s="64" t="str">
        <x:v>603259</x:v>
      </x:c>
      <x:c r="F258" s="87" t="n">
        <x:v>46260.75</x:v>
      </x:c>
      <x:c r="G258" s="51" t="str">
        <x:v>在手订单向收入转化速度能否验证需求恢复</x:v>
      </x:c>
      <x:c r="H258" s="64" t="str">
        <x:v>DOC-EVT-603259-00284</x:v>
      </x:c>
      <x:c r="I258" s="51" t="str">
        <x:v>2024年度及2025年回报股东特别分红A股权益分派实施公告</x:v>
      </x:c>
      <x:c r="J258" s="87" t="n">
        <x:v>45792</x:v>
      </x:c>
      <x:c r="K258" s="73" t="str">
        <x:v>http://static.cninfo.com.cn/finalpage/2025-05-15/1223543249.PDF</x:v>
      </x:c>
      <x:c r="L258" s="40" t="str">
        <x:v>第1页</x:v>
      </x:c>
      <x:c r="M258" s="51" t="str">
        <x:v>证券代码：603259 证券简称：药明康德 公告编号：临 2025-036 无锡药明康德新药开发股份有限公司2024年度及 2025 年回报股东特别分红A 股权益分派实施公告 本公司董事会及全体董事保证本公告内容不存在任何虚假记载、误导性陈述 或者重大遗漏，并对其内容的真实性、准确性和完整性承担法律责任。 重要内容提示：  每股分配比例 A股每股现金红利1.33169元（含税），其中 2024年度权益分派 A股每股现金 红利 0.98169 元（含税），2025年回报股东特别分红权益分派 A股每股现金红利 0.35000元（含税）。  相关日期 股份类别 股权登记日 最后交易日 除权（息）日 现金红利发放日 Ａ股 2025/5/20 － 2025/5/21 2025/5/21  差异化分红送转： 是 一、 通过分配方案的股东大会届次和日期 2024年度利润分配方案及 2025年回报股东特别分红方案（以下简称“本次利 润分配方案”）经无锡药明康德新药开发股份有限公司（以下简称“本公司”或 “公司”）于2025年 4月 29日召开的2024年年度股东大会审议通过。 二、 分配方案 1. 发放年度：2024年度及 2025年回报股东特别分红 2. 分派对象： 截至股权登记日下午上海证券交易所收市后，在中国证券登记结算有限责任 公司上海分公司（以下简称“中国结算上海分公司”）登记在册的本公司全体 A 股股东。</x:v>
      </x:c>
      <x:c r="N258" s="41" t="str">
        <x:v>0-无关</x:v>
      </x:c>
      <x:c r="O258" s="41" t="str">
        <x:v>否</x:v>
      </x:c>
      <x:c r="P258" s="57" t="str">
        <x:v>公告仅披露年度及特别现金分红实施；内容与订单转化和需求恢复缺少业务传导，未提供在手订单规模、转化速度与收入恢复，不能支持当前判断。</x:v>
      </x:c>
      <x:c r="Q258" s="41" t="str">
        <x:v>B-CODEX-FIN-01</x:v>
      </x:c>
      <x:c r="R258" s="80" t="inlineStr">
        <x:is>
          <x:t>2026-08-30T13:30:00+08:00</x:t>
        </x:is>
      </x:c>
    </x:row>
    <x:row r="259" ht="72" customHeight="1">
      <x:c r="A259" s="64" t="str">
        <x:v>V6-R-Q026-C04</x:v>
      </x:c>
      <x:c r="B259" s="64" t="str">
        <x:v>V6-E-603259-C04</x:v>
      </x:c>
      <x:c r="C259" s="64" t="str">
        <x:v>V6-Q026</x:v>
      </x:c>
      <x:c r="D259" s="40" t="str">
        <x:v>药明康德</x:v>
      </x:c>
      <x:c r="E259" s="64" t="str">
        <x:v>603259</x:v>
      </x:c>
      <x:c r="F259" s="87" t="n">
        <x:v>46260.75</x:v>
      </x:c>
      <x:c r="G259" s="51" t="str">
        <x:v>在手订单向收入转化速度能否验证需求恢复</x:v>
      </x:c>
      <x:c r="H259" s="64" t="str">
        <x:v>DOC-EVT-603259-00239</x:v>
      </x:c>
      <x:c r="I259" s="51" t="str">
        <x:v>关于无锡药明康德新药开发股份有限公司会计政策变更的专项说明</x:v>
      </x:c>
      <x:c r="J259" s="87" t="n">
        <x:v>45734</x:v>
      </x:c>
      <x:c r="K259" s="73" t="str">
        <x:v>http://static.cninfo.com.cn/finalpage/2025-03-18/1222822848.PDF</x:v>
      </x:c>
      <x:c r="L259" s="40" t="str">
        <x:v>第1页</x:v>
      </x:c>
      <x:c r="M259" s="51" t="str">
        <x:v>关于无锡药明康德新药开发股份有限公司 会计政策变更的专项说明 德师报(函)字(25)第Q00302号 无锡药明康德新药开发股份有限公司全体股东： 根据上海证券交易所《上市公司日常信息披露工作备忘录第一号 ——临时公告格式指引 第九十三号——会计差错更正、会计政策或会计估计变更》及《企业会计准则第 28 号——会 计政策、会计估计变更和差错更正》的要求， 无锡药明康德新药开发股份有限公司(以下简称 “药明康德”)董事会编制了后附的《无锡药明康德新药开发股份有限公司董事会关于会计政 策变更的专项说明》(以下简称“情况说明”)。 如实编制和对外披露情况说明并确保其真实性、合法性及完整性是 药明康德的责任。我 们对情况说明所载资料进行了检查，未发现情况说明在所有重大方面存在不符合企业会计准 则的情况。 本专项说明仅供药明康德向上海证券交易所报送相关文件之目的使用，不得用作其他任 何目的。 德勤华永会计师事务所(特殊普通合伙) 中国注册会计师 中国·上海 中国注册会计师 2025 年 3 月 17 日</x:v>
      </x:c>
      <x:c r="N259" s="41" t="str">
        <x:v>0-无关</x:v>
      </x:c>
      <x:c r="O259" s="41" t="str">
        <x:v>否</x:v>
      </x:c>
      <x:c r="P259" s="57" t="str">
        <x:v>专项说明仅核验会计政策变更的合规性；内容与订单转化和需求恢复缺少业务传导，未提供在手订单规模、转化速度与收入恢复，不能支持当前判断。</x:v>
      </x:c>
      <x:c r="Q259" s="41" t="str">
        <x:v>B-CODEX-FIN-01</x:v>
      </x:c>
      <x:c r="R259" s="80" t="inlineStr">
        <x:is>
          <x:t>2026-08-30T13:30:00+08:00</x:t>
        </x:is>
      </x:c>
    </x:row>
    <x:row r="260" ht="72" customHeight="1">
      <x:c r="A260" s="64" t="str">
        <x:v>V6-R-Q026-C05</x:v>
      </x:c>
      <x:c r="B260" s="64" t="str">
        <x:v>V6-E-603259-C05</x:v>
      </x:c>
      <x:c r="C260" s="64" t="str">
        <x:v>V6-Q026</x:v>
      </x:c>
      <x:c r="D260" s="40" t="str">
        <x:v>药明康德</x:v>
      </x:c>
      <x:c r="E260" s="64" t="str">
        <x:v>603259</x:v>
      </x:c>
      <x:c r="F260" s="87" t="n">
        <x:v>46260.75</x:v>
      </x:c>
      <x:c r="G260" s="51" t="str">
        <x:v>在手订单向收入转化速度能否验证需求恢复</x:v>
      </x:c>
      <x:c r="H260" s="64" t="str">
        <x:v>DOC-EVT-603259-00236</x:v>
      </x:c>
      <x:c r="I260" s="51" t="str">
        <x:v>关于开展外汇套期保值业务的公告</x:v>
      </x:c>
      <x:c r="J260" s="87" t="n">
        <x:v>45734</x:v>
      </x:c>
      <x:c r="K260" s="73" t="str">
        <x:v>http://static.cninfo.com.cn/finalpage/2025-03-18/1222822840.PDF</x:v>
      </x:c>
      <x:c r="L260" s="40" t="str">
        <x:v>第1页</x:v>
      </x:c>
      <x:c r="M260" s="51" t="str">
        <x:v>1 证券代码：603259 证券简称：药明康德 公告编号：临 2025-011 无锡药明康德新药开发股份有限公司 关于开展外汇套期保值业务的公告 本公司董事会及全体董事保证本公告内容不存在任何虚假记载、 误导性陈述 或者重大遗漏，并对其内容的真实性、准确性和完整性依法承担法律责任。 重要内容提示：  为有效规避和防范汇率大幅波动对无锡药明康德新药开发股份有限公司 （以下简称“本公司”）经营造成的不利影响，降低外汇风险，增强本公司财务 的稳健性，在保证日常运营资金需求的情况下，本公司及其合并报表范围内下属 子企业（以下简称“下属子企业”）拟在 2025 年度与境内外商业银行开展额度 不超过 70 亿美元或其他等值外币的外汇套期保值业务，交易品种包括远期结售 汇等外汇衍生产品业务。  本次开展外汇套期保值业务已经 本公司第三届董事会第十七次会议暨 2024 年年度董事会审议通过，尚需提交本公司股东大会审议。  风险提示：本公司进行外汇套期保值业务遵循合法、审慎、安全、有效、 稳健原则，不进行以投机为目的的外汇交易，所有外汇套期保值业务均以正常生 产经营为基础。本次外汇套期保值业务存在一定的汇率波动风险、履约风险、内 部控制风险、客户违约风险等风险。 一、外汇套期保值情况概述 （一）外汇套期保值目的 根据本公司目前的业务发展情况及未来的发展战略，本公司国际业务量不断 增加，本公司外汇头寸也相应增加，当汇率出现较大波动时，汇兑损益可能对本 公司的经营业绩造成的影响也随之增大。…</x:v>
      </x:c>
      <x:c r="N260" s="41" t="str">
        <x:v>1-弱相关</x:v>
      </x:c>
      <x:c r="O260" s="41" t="str">
        <x:v>否</x:v>
      </x:c>
      <x:c r="P260" s="57" t="str">
        <x:v>公告披露国际业务增长、外汇敞口和70亿美元套保安排；虽与订单转化和需求恢复主题相近，但未提供在手订单规模、转化速度与收入恢复，不足以建立可靠传导链。</x:v>
      </x:c>
      <x:c r="Q260" s="41" t="str">
        <x:v>B-CODEX-FIN-01</x:v>
      </x:c>
      <x:c r="R260" s="80" t="inlineStr">
        <x:is>
          <x:t>2026-08-30T13:30:00+08:00</x:t>
        </x:is>
      </x:c>
    </x:row>
    <x:row r="261" ht="72" customHeight="1">
      <x:c r="A261" s="64" t="str">
        <x:v>V6-R-Q026-C03</x:v>
      </x:c>
      <x:c r="B261" s="64" t="str">
        <x:v>V6-E-603259-C03</x:v>
      </x:c>
      <x:c r="C261" s="64" t="str">
        <x:v>V6-Q026</x:v>
      </x:c>
      <x:c r="D261" s="40" t="str">
        <x:v>药明康德</x:v>
      </x:c>
      <x:c r="E261" s="64" t="str">
        <x:v>603259</x:v>
      </x:c>
      <x:c r="F261" s="87" t="n">
        <x:v>46260.75</x:v>
      </x:c>
      <x:c r="G261" s="51" t="str">
        <x:v>在手订单向收入转化速度能否验证需求恢复</x:v>
      </x:c>
      <x:c r="H261" s="64" t="str">
        <x:v>DOC-EVT-603259-00400</x:v>
      </x:c>
      <x:c r="I261" s="51" t="str">
        <x:v>2025年半年度A股权益分派实施公告</x:v>
      </x:c>
      <x:c r="J261" s="87" t="n">
        <x:v>45920</x:v>
      </x:c>
      <x:c r="K261" s="73" t="str">
        <x:v>http://static.cninfo.com.cn/finalpage/2025-09-20/1224670628.PDF</x:v>
      </x:c>
      <x:c r="L261" s="40" t="str">
        <x:v>第1页</x:v>
      </x:c>
      <x:c r="M261" s="51" t="str">
        <x:v>证券代码：603259 证券简称：药明康德 公告编号：临 2025-063 无锡药明康德新药开发股份有限公司 2025年半年度A 股权益分派实施公告 本公司董事会及全体董事保证本公告内容不存在任何虚假记载、误导性陈述或 者重大遗漏，并对其内容的真实性、准确性和完整性承担法律责任。 重要内容提示：  每股分配比例 A 股每股现金红利0.35000元（含税）  相关日期 股份类别 股权登记日 最后交易日 除权（息）日 现金红利发放日 Ａ股 2025/9/25 － 2025/9/26 2025/9/26  差异化分红送转： 否 一、 通过分配方案的股东大会届次和日期 本次利润分配方案经无锡药明康德新药开发股份有限公司（以下简称“本公 司”）2025 年 4 月 29 日的2024年年度股东大会授权董事会在符合利润分配的条件 下制定具体的中期分红方案，并经 2025 年 7 月 28 日召开的第三届董事会第二十 二次会议审议通过。 二、 分配方案 1. 发放年度：2025年半年度 2. 分派对象： 截至股权登记日下午上海证券交易所收市后，在中国证券登记结算有限责任 公司上海分公司（以下简称“中国结算上海分公司”）登记在册的本公司全体 A 股股东。</x:v>
      </x:c>
      <x:c r="N261" s="41" t="str">
        <x:v>0-无关</x:v>
      </x:c>
      <x:c r="O261" s="41" t="str">
        <x:v>否</x:v>
      </x:c>
      <x:c r="P261" s="57" t="str">
        <x:v>公告仅披露半年度现金分红实施；内容与订单转化和需求恢复缺少业务传导，未提供在手订单规模、转化速度与收入恢复，不能支持当前判断。</x:v>
      </x:c>
      <x:c r="Q261" s="41" t="str">
        <x:v>B-CODEX-FIN-01</x:v>
      </x:c>
      <x:c r="R261" s="80" t="inlineStr">
        <x:is>
          <x:t>2026-08-30T13:30:00+08:00</x:t>
        </x:is>
      </x:c>
    </x:row>
    <x:row r="262" ht="72" customHeight="1">
      <x:c r="A262" s="64" t="str">
        <x:v>V6-R-Q027-C09</x:v>
      </x:c>
      <x:c r="B262" s="64" t="str">
        <x:v>V6-E-603259-C09</x:v>
      </x:c>
      <x:c r="C262" s="64" t="str">
        <x:v>V6-Q027</x:v>
      </x:c>
      <x:c r="D262" s="40" t="str">
        <x:v>药明康德</x:v>
      </x:c>
      <x:c r="E262" s="64" t="str">
        <x:v>603259</x:v>
      </x:c>
      <x:c r="F262" s="87" t="n">
        <x:v>46260.75</x:v>
      </x:c>
      <x:c r="G262" s="51" t="str">
        <x:v>产能利用率回升能否改善D&amp;M业务毛利率和现金流</x:v>
      </x:c>
      <x:c r="H262" s="64" t="str">
        <x:v>DOC-EVT-603259-00284</x:v>
      </x:c>
      <x:c r="I262" s="51" t="str">
        <x:v>2024年度及2025年回报股东特别分红A股权益分派实施公告</x:v>
      </x:c>
      <x:c r="J262" s="87" t="n">
        <x:v>45792</x:v>
      </x:c>
      <x:c r="K262" s="73" t="str">
        <x:v>http://static.cninfo.com.cn/finalpage/2025-05-15/1223543249.PDF</x:v>
      </x:c>
      <x:c r="L262" s="40" t="str">
        <x:v>第1页</x:v>
      </x:c>
      <x:c r="M262" s="51" t="str">
        <x:v>证券代码：603259 证券简称：药明康德 公告编号：临 2025-036 无锡药明康德新药开发股份有限公司2024年度及 2025 年回报股东特别分红A 股权益分派实施公告 本公司董事会及全体董事保证本公告内容不存在任何虚假记载、误导性陈述 或者重大遗漏，并对其内容的真实性、准确性和完整性承担法律责任。 重要内容提示：  每股分配比例 A股每股现金红利1.33169元（含税），其中 2024年度权益分派 A股每股现金 红利 0.98169 元（含税），2025年回报股东特别分红权益分派 A股每股现金红利 0.35000元（含税）。  相关日期 股份类别 股权登记日 最后交易日 除权（息）日 现金红利发放日 Ａ股 2025/5/20 － 2025/5/21 2025/5/21  差异化分红送转： 是 一、 通过分配方案的股东大会届次和日期 2024年度利润分配方案及 2025年回报股东特别分红方案（以下简称“本次利 润分配方案”）经无锡药明康德新药开发股份有限公司（以下简称“本公司”或 “公司”）于2025年 4月 29日召开的2024年年度股东大会审议通过。 二、 分配方案 1. 发放年度：2024年度及 2025年回报股东特别分红 2. 分派对象： 截至股权登记日下午上海证券交易所收市后，在中国证券登记结算有限责任 公司上海分公司（以下简称“中国结算上海分公司”）登记在册的本公司全体 A 股股东。</x:v>
      </x:c>
      <x:c r="N262" s="41" t="str">
        <x:v>0-无关</x:v>
      </x:c>
      <x:c r="O262" s="41" t="str">
        <x:v>否</x:v>
      </x:c>
      <x:c r="P262" s="57" t="str">
        <x:v>公告仅披露年度及特别现金分红实施；内容与D&amp;M产能和盈利现金缺少业务传导，未提供D&amp;M业务产能利用率、毛利率和经营现金流，不能支持当前判断。</x:v>
      </x:c>
      <x:c r="Q262" s="41" t="str">
        <x:v>B-CODEX-FIN-01</x:v>
      </x:c>
      <x:c r="R262" s="80" t="inlineStr">
        <x:is>
          <x:t>2026-08-30T13:30:00+08:00</x:t>
        </x:is>
      </x:c>
    </x:row>
    <x:row r="263" ht="72" customHeight="1">
      <x:c r="A263" s="64" t="str">
        <x:v>V6-R-Q027-C06</x:v>
      </x:c>
      <x:c r="B263" s="64" t="str">
        <x:v>V6-E-603259-C06</x:v>
      </x:c>
      <x:c r="C263" s="64" t="str">
        <x:v>V6-Q027</x:v>
      </x:c>
      <x:c r="D263" s="40" t="str">
        <x:v>药明康德</x:v>
      </x:c>
      <x:c r="E263" s="64" t="str">
        <x:v>603259</x:v>
      </x:c>
      <x:c r="F263" s="87" t="n">
        <x:v>46260.75</x:v>
      </x:c>
      <x:c r="G263" s="51" t="str">
        <x:v>产能利用率回升能否改善D&amp;M业务毛利率和现金流</x:v>
      </x:c>
      <x:c r="H263" s="64" t="str">
        <x:v>DOC-EVT-603259-00351</x:v>
      </x:c>
      <x:c r="I263" s="51" t="str">
        <x:v>2025年半年度报告摘要</x:v>
      </x:c>
      <x:c r="J263" s="87" t="n">
        <x:v>45867</x:v>
      </x:c>
      <x:c r="K263" s="73" t="str">
        <x:v>http://static.cninfo.com.cn/finalpage/2025-07-29/1224317421.PDF</x:v>
      </x:c>
      <x:c r="L263" s="40" t="str">
        <x:v>第2页</x:v>
      </x:c>
      <x:c r="M263" s="51" t="str">
        <x:v>无锡药明康德新药开发股份有限公司2025 年半年度报告摘要 第一节 重要提示 1.1 本半年度报告摘要来自半年度报告全文，为全面了解本公司的经营成果、财务状况及未来发 展规划，投资者应当到 http://www.sse.com.cn 网站仔细阅读半年度报告全文。 1.2 本公司董事会、监事会及董事、监事、高级管理人员保证半年度报告内容的真实性、准确性、 完整性，不存在虚假记载、误导性陈述或重大遗漏，并承担个别和连带的法律责任。 1.3 公司全体董事出席董事会会议。 1.4 本半年度报告未经审计。 1.5 董事会决议通过的本报告期利润分配预案或公积金转增股本预案 1、公司2025年回报股东特别分红方案：向全体股东每10股派发现金红利人民币3.5000元（含 税）。以股权登记日（2025年5月20日）公司总股本为基数测算，共计派发现金红利人民币 1,009,797,833.10元（含税）。2025年回报股东特别分红方案已实施完毕。 2、公司2025年中期利润分配方案：拟向全体股东每10股派发现金红利人民币3.5000元（含税）。 以本报告日公司总股本扣除截至2025年7月25日公司回购专用证券账户上已回购股份后的股本 2,865,953,680股为基数测算，共计派发现金红利人民币1,003,083,788.00元（含税）。如自2025年7 月25日起至实施权益分派股权登记日前公司享有利润分配权（即扣减回购专用证券账户中股份后） 的总股本发生变动的，按照每股分配金额不变的原则进行…</x:v>
      </x:c>
      <x:c r="N263" s="41" t="str">
        <x:v>0-无关</x:v>
      </x:c>
      <x:c r="O263" s="41" t="str">
        <x:v>否</x:v>
      </x:c>
      <x:c r="P263" s="57" t="str">
        <x:v>半年报摘要摘录主要列示股东结构而非经营数据；内容与D&amp;M产能和盈利现金缺少业务传导，未提供D&amp;M业务产能利用率、毛利率和经营现金流，不能支持当前判断。</x:v>
      </x:c>
      <x:c r="Q263" s="41" t="str">
        <x:v>B-CODEX-FIN-01</x:v>
      </x:c>
      <x:c r="R263" s="80" t="inlineStr">
        <x:is>
          <x:t>2026-08-30T13:30:00+08:00</x:t>
        </x:is>
      </x:c>
    </x:row>
    <x:row r="264" ht="72" customHeight="1">
      <x:c r="A264" s="64" t="str">
        <x:v>V6-R-Q027-C03</x:v>
      </x:c>
      <x:c r="B264" s="64" t="str">
        <x:v>V6-E-603259-C03</x:v>
      </x:c>
      <x:c r="C264" s="64" t="str">
        <x:v>V6-Q027</x:v>
      </x:c>
      <x:c r="D264" s="40" t="str">
        <x:v>药明康德</x:v>
      </x:c>
      <x:c r="E264" s="64" t="str">
        <x:v>603259</x:v>
      </x:c>
      <x:c r="F264" s="87" t="n">
        <x:v>46260.75</x:v>
      </x:c>
      <x:c r="G264" s="51" t="str">
        <x:v>产能利用率回升能否改善D&amp;M业务毛利率和现金流</x:v>
      </x:c>
      <x:c r="H264" s="64" t="str">
        <x:v>DOC-EVT-603259-00400</x:v>
      </x:c>
      <x:c r="I264" s="51" t="str">
        <x:v>2025年半年度A股权益分派实施公告</x:v>
      </x:c>
      <x:c r="J264" s="87" t="n">
        <x:v>45920</x:v>
      </x:c>
      <x:c r="K264" s="73" t="str">
        <x:v>http://static.cninfo.com.cn/finalpage/2025-09-20/1224670628.PDF</x:v>
      </x:c>
      <x:c r="L264" s="40" t="str">
        <x:v>第1页</x:v>
      </x:c>
      <x:c r="M264" s="51" t="str">
        <x:v>证券代码：603259 证券简称：药明康德 公告编号：临 2025-063 无锡药明康德新药开发股份有限公司 2025年半年度A 股权益分派实施公告 本公司董事会及全体董事保证本公告内容不存在任何虚假记载、误导性陈述或 者重大遗漏，并对其内容的真实性、准确性和完整性承担法律责任。 重要内容提示：  每股分配比例 A 股每股现金红利0.35000元（含税）  相关日期 股份类别 股权登记日 最后交易日 除权（息）日 现金红利发放日 Ａ股 2025/9/25 － 2025/9/26 2025/9/26  差异化分红送转： 否 一、 通过分配方案的股东大会届次和日期 本次利润分配方案经无锡药明康德新药开发股份有限公司（以下简称“本公 司”）2025 年 4 月 29 日的2024年年度股东大会授权董事会在符合利润分配的条件 下制定具体的中期分红方案，并经 2025 年 7 月 28 日召开的第三届董事会第二十 二次会议审议通过。 二、 分配方案 1. 发放年度：2025年半年度 2. 分派对象： 截至股权登记日下午上海证券交易所收市后，在中国证券登记结算有限责任 公司上海分公司（以下简称“中国结算上海分公司”）登记在册的本公司全体 A 股股东。</x:v>
      </x:c>
      <x:c r="N264" s="41" t="str">
        <x:v>0-无关</x:v>
      </x:c>
      <x:c r="O264" s="41" t="str">
        <x:v>否</x:v>
      </x:c>
      <x:c r="P264" s="57" t="str">
        <x:v>公告仅披露半年度现金分红实施；内容与D&amp;M产能和盈利现金缺少业务传导，未提供D&amp;M业务产能利用率、毛利率和经营现金流，不能支持当前判断。</x:v>
      </x:c>
      <x:c r="Q264" s="41" t="str">
        <x:v>B-CODEX-FIN-01</x:v>
      </x:c>
      <x:c r="R264" s="80" t="inlineStr">
        <x:is>
          <x:t>2026-08-30T13:30:00+08:00</x:t>
        </x:is>
      </x:c>
    </x:row>
    <x:row r="265" ht="72" customHeight="1">
      <x:c r="A265" s="64" t="str">
        <x:v>V6-R-Q027-C07</x:v>
      </x:c>
      <x:c r="B265" s="64" t="str">
        <x:v>V6-E-603259-C07</x:v>
      </x:c>
      <x:c r="C265" s="64" t="str">
        <x:v>V6-Q027</x:v>
      </x:c>
      <x:c r="D265" s="40" t="str">
        <x:v>药明康德</x:v>
      </x:c>
      <x:c r="E265" s="64" t="str">
        <x:v>603259</x:v>
      </x:c>
      <x:c r="F265" s="87" t="n">
        <x:v>46260.75</x:v>
      </x:c>
      <x:c r="G265" s="51" t="str">
        <x:v>产能利用率回升能否改善D&amp;M业务毛利率和现金流</x:v>
      </x:c>
      <x:c r="H265" s="64" t="str">
        <x:v>DOC-EVT-603259-00372</x:v>
      </x:c>
      <x:c r="I265" s="51" t="str">
        <x:v>关于召开2025年半年度业绩说明会的公告</x:v>
      </x:c>
      <x:c r="J265" s="87" t="n">
        <x:v>45891</x:v>
      </x:c>
      <x:c r="K265" s="73" t="str">
        <x:v>http://static.cninfo.com.cn/finalpage/2025-08-22/1224531577.PDF</x:v>
      </x:c>
      <x:c r="L265" s="40" t="str">
        <x:v>第1页</x:v>
      </x:c>
      <x:c r="M265" s="51" t="str">
        <x:v>证券代码：603259 证券简称：药明康德 公告编号：临 2025-056 无锡药明康德新药开发股份有限公司 关于召开 2025 年半年度业绩说明会的公告 本公司董事会及全体董事保证本公告内容不存在任何虚假记载、误导性陈述 或者重大遗漏，并对其内容的真实性、准确性和完整性承担法律责任。 重要内容提示：  会议召开时间：2025 年 8 月 29 日（星期五）上午 10:30-11:30  会议召开地点：上海证券交易所上证路演中心（http://roadshow.sseinfo.com/）  会议召开方式：上证路演中心视频直播和网络互动  投资者可于 2025 年 8 月 22 日（星期五）至 2025 年 8 月 28 日（星期四）16:00 前登录上证路演中心网站首页，点击“提问预征集”栏目或将相关问题通过 电子邮件的形式发送至本公司投资者关系邮箱：ir@wuxiapptec.com。本公司 将于 2025 年半年度业绩说明会（以下简称“业绩说明会”）上对投资者普遍 关注的问题进行回答。 无锡药明康德新药开发股份有限公司（以下简称“本公司”）已于 2025 年 7 月 29 日在上海证券交易所网站（www.sse.com.cn）及指定媒体披露《无锡药明 康德新药开发股份有限公司 2025 年半年度报告》。为了便于广大投资者更全面深 入地了解本公司 2025 年半年度业绩和经营情况，本公司拟于 2025 年 8 月 29 日 （星期五）上午 10:30-11:30…</x:v>
      </x:c>
      <x:c r="N265" s="41" t="str">
        <x:v>0-无关</x:v>
      </x:c>
      <x:c r="O265" s="41" t="str">
        <x:v>否</x:v>
      </x:c>
      <x:c r="P265" s="57" t="str">
        <x:v>公告仅安排半年度业绩说明会；内容与D&amp;M产能和盈利现金缺少业务传导，未提供D&amp;M业务产能利用率、毛利率和经营现金流，不能支持当前判断。</x:v>
      </x:c>
      <x:c r="Q265" s="41" t="str">
        <x:v>B-CODEX-FIN-01</x:v>
      </x:c>
      <x:c r="R265" s="80" t="inlineStr">
        <x:is>
          <x:t>2026-08-30T13:30:00+08:00</x:t>
        </x:is>
      </x:c>
    </x:row>
    <x:row r="266" ht="72" customHeight="1">
      <x:c r="A266" s="64" t="str">
        <x:v>V6-R-Q027-C01</x:v>
      </x:c>
      <x:c r="B266" s="64" t="str">
        <x:v>V6-E-603259-C01</x:v>
      </x:c>
      <x:c r="C266" s="64" t="str">
        <x:v>V6-Q027</x:v>
      </x:c>
      <x:c r="D266" s="40" t="str">
        <x:v>药明康德</x:v>
      </x:c>
      <x:c r="E266" s="64" t="str">
        <x:v>603259</x:v>
      </x:c>
      <x:c r="F266" s="87" t="n">
        <x:v>46260.75</x:v>
      </x:c>
      <x:c r="G266" s="51" t="str">
        <x:v>产能利用率回升能否改善D&amp;M业务毛利率和现金流</x:v>
      </x:c>
      <x:c r="H266" s="64" t="str">
        <x:v>DOC-EVT-603259-00348</x:v>
      </x:c>
      <x:c r="I266" s="51" t="str">
        <x:v>2025年半年度报告</x:v>
      </x:c>
      <x:c r="J266" s="87" t="n">
        <x:v>45867</x:v>
      </x:c>
      <x:c r="K266" s="73" t="str">
        <x:v>http://static.cninfo.com.cn/finalpage/2025-07-29/1224317427.PDF</x:v>
      </x:c>
      <x:c r="L266" s="40" t="str">
        <x:v>第13页</x:v>
      </x:c>
      <x:c r="M266" s="51" t="str">
        <x:v>无锡药明康德新药开发股份有限公司 2025 年半年度报告 13 / 201 中，SMO 业务收入同比增长1.5%，保持中国行业领先地位。2025 年上半年临床CRO 业 务助力客户获得 12 项临床试验批件和 2 项上市申请。SMO 业务赋能 61 个产品获批上 市，近十年累计赋能317 个新产品获批上市，在内分泌、皮肤、肺癌、心血管内科等多 个领域持续保持显著优势。 (3) 生物学业务实现收入人民币12.5 亿元，同比增长 7.1%。报告期内： - 生物学业务秉持科学驱动理念，持续强化药物发现热点能力建设与前瞻性布局，为公司 CRDMO 业务模式高效引流，持续为公司带来超过20%的新客户。 - 体外综合筛选平台技术与体内药理学能力加速突破，收入同比继续快速增长。非肿瘤业 务竞争优势持续提升，为全年持续增长奠定坚实基础。 - 新分子类型药物发现服务延续良好表现，所贡献收入占生物学业务总收入超30%。 公司预计2025年持续经营业务收入重回双位数增长，增速从10-15%上调至13-17%。公司预计 全年整体收入从人民币415-430亿元上调至人民币425-435亿元。公司将聚焦CRDMO核心业务，持 续提高生产经营效率。 上述提及的2025年全年经营业绩展望以公司目前在手订单情况为基础预测，并以全球医药行 业发展平稳、国际贸易环境和主要运营所在地国家监管环境稳定等为前提基础，并不代表公司管 理层对2025年度全年经营业绩的盈利预测，不构成公司对投资者的实质承诺，能否实现取决于…</x:v>
      </x:c>
      <x:c r="N266" s="41" t="str">
        <x:v>2-间接相关</x:v>
      </x:c>
      <x:c r="O266" s="41" t="str">
        <x:v>是</x:v>
      </x:c>
      <x:c r="P266" s="57" t="str">
        <x:v>半年报直接提示海外监管政策、跨境外包和客户研发需求变化风险；该事实可通过订单及产能投放向利用率、毛利和现金流传导，间接验证D&amp;M业务产能利用率、毛利率和经营现金流，关系清晰且可复核。</x:v>
      </x:c>
      <x:c r="Q266" s="41" t="str">
        <x:v>B-CODEX-FIN-01</x:v>
      </x:c>
      <x:c r="R266" s="80" t="inlineStr">
        <x:is>
          <x:t>2026-08-30T13:30:00+08:00</x:t>
        </x:is>
      </x:c>
    </x:row>
    <x:row r="267" ht="72" customHeight="1">
      <x:c r="A267" s="64" t="str">
        <x:v>V6-R-Q027-C08</x:v>
      </x:c>
      <x:c r="B267" s="64" t="str">
        <x:v>V6-E-603259-C08</x:v>
      </x:c>
      <x:c r="C267" s="64" t="str">
        <x:v>V6-Q027</x:v>
      </x:c>
      <x:c r="D267" s="40" t="str">
        <x:v>药明康德</x:v>
      </x:c>
      <x:c r="E267" s="64" t="str">
        <x:v>603259</x:v>
      </x:c>
      <x:c r="F267" s="87" t="n">
        <x:v>46260.75</x:v>
      </x:c>
      <x:c r="G267" s="51" t="str">
        <x:v>产能利用率回升能否改善D&amp;M业务毛利率和现金流</x:v>
      </x:c>
      <x:c r="H267" s="64" t="str">
        <x:v>DOC-EVT-603259-00235</x:v>
      </x:c>
      <x:c r="I267" s="51" t="str">
        <x:v>2024年年度报告</x:v>
      </x:c>
      <x:c r="J267" s="87" t="n">
        <x:v>45734</x:v>
      </x:c>
      <x:c r="K267" s="73" t="str">
        <x:v>http://static.cninfo.com.cn/finalpage/2025-03-18/1222822835.PDF</x:v>
      </x:c>
      <x:c r="L267" s="40" t="str">
        <x:v>第16页</x:v>
      </x:c>
      <x:c r="M267" s="51" t="str">
        <x:v>无锡药明康德新药开发股份有限公司 2024 年年度报告 16 / 292 营业成本 22,964,515,460.62 23,728,799,637.77 -3.22 销售费用 745,388,381.87 701,029,692.54 6.33 管理费用 2,879,341,988.34 2,878,770,842.66 0.02 财务费用 -786,683,598.86 -338,119,179.24 不适用 研发费用 1,238,524,969.42 1,440,630,437.19 -14.03 投资收益 604,162,381.66 233,848,997.40 158.36 公允价值变动收益 186,957,574.92 -37,809,127.95 不适用 信用减值损失 -337,578,609.74 -238,403,367.77 不适用 资产减值损失 -1,236,257,969.76 -156,508,914.41 不适用 资产处置收益 -36,063,443.51 -33,450,046.48 不适用 经营活动产生的现金流量净额 12,406,514,834.59 13,386,911,778.77 -7.32 投资活动产生的现金流量净额 -5,518,177,126.75 -7,560,533,563.71 不适用 筹资活动产生的现金流量净额 -3,832,190,648.03 -3,941,383,684.73 不适用 本期公司业务类型、利润构成或…</x:v>
      </x:c>
      <x:c r="N267" s="41" t="str">
        <x:v>3-直接相关</x:v>
      </x:c>
      <x:c r="O267" s="41" t="str">
        <x:v>是</x:v>
      </x:c>
      <x:c r="P267" s="57" t="str">
        <x:v>年报披露TIDES在手订单增长103.9%、产能扩张及测试业务收入变化；证据直接披露或决定D&amp;M业务产能利用率、毛利率和经营现金流，可直接用于回答当前查询。</x:v>
      </x:c>
      <x:c r="Q267" s="41" t="str">
        <x:v>B-CODEX-FIN-01</x:v>
      </x:c>
      <x:c r="R267" s="80" t="inlineStr">
        <x:is>
          <x:t>2026-08-30T13:30:00+08:00</x:t>
        </x:is>
      </x:c>
    </x:row>
    <x:row r="268" ht="72" customHeight="1">
      <x:c r="A268" s="64" t="str">
        <x:v>V6-R-Q027-C05</x:v>
      </x:c>
      <x:c r="B268" s="64" t="str">
        <x:v>V6-E-603259-C05</x:v>
      </x:c>
      <x:c r="C268" s="64" t="str">
        <x:v>V6-Q027</x:v>
      </x:c>
      <x:c r="D268" s="40" t="str">
        <x:v>药明康德</x:v>
      </x:c>
      <x:c r="E268" s="64" t="str">
        <x:v>603259</x:v>
      </x:c>
      <x:c r="F268" s="87" t="n">
        <x:v>46260.75</x:v>
      </x:c>
      <x:c r="G268" s="51" t="str">
        <x:v>产能利用率回升能否改善D&amp;M业务毛利率和现金流</x:v>
      </x:c>
      <x:c r="H268" s="64" t="str">
        <x:v>DOC-EVT-603259-00236</x:v>
      </x:c>
      <x:c r="I268" s="51" t="str">
        <x:v>关于开展外汇套期保值业务的公告</x:v>
      </x:c>
      <x:c r="J268" s="87" t="n">
        <x:v>45734</x:v>
      </x:c>
      <x:c r="K268" s="73" t="str">
        <x:v>http://static.cninfo.com.cn/finalpage/2025-03-18/1222822840.PDF</x:v>
      </x:c>
      <x:c r="L268" s="40" t="str">
        <x:v>第1页</x:v>
      </x:c>
      <x:c r="M268" s="51" t="str">
        <x:v>1 证券代码：603259 证券简称：药明康德 公告编号：临 2025-011 无锡药明康德新药开发股份有限公司 关于开展外汇套期保值业务的公告 本公司董事会及全体董事保证本公告内容不存在任何虚假记载、 误导性陈述 或者重大遗漏，并对其内容的真实性、准确性和完整性依法承担法律责任。 重要内容提示：  为有效规避和防范汇率大幅波动对无锡药明康德新药开发股份有限公司 （以下简称“本公司”）经营造成的不利影响，降低外汇风险，增强本公司财务 的稳健性，在保证日常运营资金需求的情况下，本公司及其合并报表范围内下属 子企业（以下简称“下属子企业”）拟在 2025 年度与境内外商业银行开展额度 不超过 70 亿美元或其他等值外币的外汇套期保值业务，交易品种包括远期结售 汇等外汇衍生产品业务。  本次开展外汇套期保值业务已经 本公司第三届董事会第十七次会议暨 2024 年年度董事会审议通过，尚需提交本公司股东大会审议。  风险提示：本公司进行外汇套期保值业务遵循合法、审慎、安全、有效、 稳健原则，不进行以投机为目的的外汇交易，所有外汇套期保值业务均以正常生 产经营为基础。本次外汇套期保值业务存在一定的汇率波动风险、履约风险、内 部控制风险、客户违约风险等风险。 一、外汇套期保值情况概述 （一）外汇套期保值目的 根据本公司目前的业务发展情况及未来的发展战略，本公司国际业务量不断 增加，本公司外汇头寸也相应增加，当汇率出现较大波动时，汇兑损益可能对本 公司的经营业绩造成的影响也随之增大。…</x:v>
      </x:c>
      <x:c r="N268" s="41" t="str">
        <x:v>1-弱相关</x:v>
      </x:c>
      <x:c r="O268" s="41" t="str">
        <x:v>否</x:v>
      </x:c>
      <x:c r="P268" s="57" t="str">
        <x:v>公告披露国际业务增长、外汇敞口和70亿美元套保安排；虽与D&amp;M产能和盈利现金主题相近，但未提供D&amp;M业务产能利用率、毛利率和经营现金流，不足以建立可靠传导链。</x:v>
      </x:c>
      <x:c r="Q268" s="41" t="str">
        <x:v>B-CODEX-FIN-01</x:v>
      </x:c>
      <x:c r="R268" s="80" t="inlineStr">
        <x:is>
          <x:t>2026-08-30T13:30:00+08:00</x:t>
        </x:is>
      </x:c>
    </x:row>
    <x:row r="269" ht="72" customHeight="1">
      <x:c r="A269" s="64" t="str">
        <x:v>V6-R-Q027-C10</x:v>
      </x:c>
      <x:c r="B269" s="64" t="str">
        <x:v>V6-E-603259-C10</x:v>
      </x:c>
      <x:c r="C269" s="64" t="str">
        <x:v>V6-Q027</x:v>
      </x:c>
      <x:c r="D269" s="40" t="str">
        <x:v>药明康德</x:v>
      </x:c>
      <x:c r="E269" s="64" t="str">
        <x:v>603259</x:v>
      </x:c>
      <x:c r="F269" s="87" t="n">
        <x:v>46260.75</x:v>
      </x:c>
      <x:c r="G269" s="51" t="str">
        <x:v>产能利用率回升能否改善D&amp;M业务毛利率和现金流</x:v>
      </x:c>
      <x:c r="H269" s="64" t="str">
        <x:v>DOC-EVT-603259-00516</x:v>
      </x:c>
      <x:c r="I269" s="51" t="str">
        <x:v>关于修改公司章程的公告</x:v>
      </x:c>
      <x:c r="J269" s="87" t="n">
        <x:v>46238</x:v>
      </x:c>
      <x:c r="K269" s="73" t="str">
        <x:v>http://static.cninfo.com.cn/finalpage/2026-08-04/1225455025.PDF</x:v>
      </x:c>
      <x:c r="L269" s="40" t="str">
        <x:v>第1页</x:v>
      </x:c>
      <x:c r="M269" s="51" t="str">
        <x:v>1 证券代码：603259 证券简称：药明康德 公告编号：临 2026-031 无锡药明康德新药开发股份有限公司 关于修改公司章程的公告 本公司董事会及全体董事保证本公告内容不存在任何虚假记载、误导性陈述 或者重大遗漏，并对其内容的真实性、准确性和完整性承担法律责任。 为积极响应香港市场的无纸证券市场制度，加强公司治理与投资者参与，无 锡药明康德新药开发股份有限公司（以下简称“公司”）于 2026 年 8 月 3 日召 开第四届董事会第五次会议，审议通过《关于修改公司章程的议案》。 根据香港联合交易所有限公司《无纸证券市场指引》的相关规定，公司拟对 《公司章程》进行如下修订，以符合实行无纸证券市场制度的规定。 修订前 修订后 第一条 为维护公司、股东、职工 和债权人的合法权益，规范无锡药明 康德新药开发股份有限公司（以下简 称“公司”或“本公司”）的组织和 行为，根据《中华人民共和国公司法》 （以下简称“《公司法》”）、《中 华人民共和国证券法》（以下简称“《证 券法》”）、《境内企业境外发行证 券和上市管理试行办法》、《上市公 司章程指引》、《上海证券交易所股 票上市规则》（以下简称“《上交所 上市规则》”）、《香港联合交易所 有限公司证券上市规则》（以下简称 “《香港上市规则》”）和其他有关 规定，制定本章程。 第一条 为维护公司、股东、职工 和债权人的合法权益，规范无锡药明 康德新药开发股份有限公司（以下简 称“公司”或“本公司”）的组织和 行为，根据《中华人民共和国…</x:v>
      </x:c>
      <x:c r="N269" s="41" t="str">
        <x:v>0-无关</x:v>
      </x:c>
      <x:c r="O269" s="41" t="str">
        <x:v>否</x:v>
      </x:c>
      <x:c r="P269" s="57" t="str">
        <x:v>公告仅修改无纸证券制度相关公司章程；内容与D&amp;M产能和盈利现金缺少业务传导，未提供D&amp;M业务产能利用率、毛利率和经营现金流，不能支持当前判断。</x:v>
      </x:c>
      <x:c r="Q269" s="41" t="str">
        <x:v>B-CODEX-FIN-01</x:v>
      </x:c>
      <x:c r="R269" s="80" t="inlineStr">
        <x:is>
          <x:t>2026-08-30T13:30:00+08:00</x:t>
        </x:is>
      </x:c>
    </x:row>
    <x:row r="270" ht="72" customHeight="1">
      <x:c r="A270" s="64" t="str">
        <x:v>V6-R-Q027-C04</x:v>
      </x:c>
      <x:c r="B270" s="64" t="str">
        <x:v>V6-E-603259-C04</x:v>
      </x:c>
      <x:c r="C270" s="64" t="str">
        <x:v>V6-Q027</x:v>
      </x:c>
      <x:c r="D270" s="40" t="str">
        <x:v>药明康德</x:v>
      </x:c>
      <x:c r="E270" s="64" t="str">
        <x:v>603259</x:v>
      </x:c>
      <x:c r="F270" s="87" t="n">
        <x:v>46260.75</x:v>
      </x:c>
      <x:c r="G270" s="51" t="str">
        <x:v>产能利用率回升能否改善D&amp;M业务毛利率和现金流</x:v>
      </x:c>
      <x:c r="H270" s="64" t="str">
        <x:v>DOC-EVT-603259-00239</x:v>
      </x:c>
      <x:c r="I270" s="51" t="str">
        <x:v>关于无锡药明康德新药开发股份有限公司会计政策变更的专项说明</x:v>
      </x:c>
      <x:c r="J270" s="87" t="n">
        <x:v>45734</x:v>
      </x:c>
      <x:c r="K270" s="73" t="str">
        <x:v>http://static.cninfo.com.cn/finalpage/2025-03-18/1222822848.PDF</x:v>
      </x:c>
      <x:c r="L270" s="40" t="str">
        <x:v>第1页</x:v>
      </x:c>
      <x:c r="M270" s="51" t="str">
        <x:v>关于无锡药明康德新药开发股份有限公司 会计政策变更的专项说明 德师报(函)字(25)第Q00302号 无锡药明康德新药开发股份有限公司全体股东： 根据上海证券交易所《上市公司日常信息披露工作备忘录第一号 ——临时公告格式指引 第九十三号——会计差错更正、会计政策或会计估计变更》及《企业会计准则第 28 号——会 计政策、会计估计变更和差错更正》的要求， 无锡药明康德新药开发股份有限公司(以下简称 “药明康德”)董事会编制了后附的《无锡药明康德新药开发股份有限公司董事会关于会计政 策变更的专项说明》(以下简称“情况说明”)。 如实编制和对外披露情况说明并确保其真实性、合法性及完整性是 药明康德的责任。我 们对情况说明所载资料进行了检查，未发现情况说明在所有重大方面存在不符合企业会计准 则的情况。 本专项说明仅供药明康德向上海证券交易所报送相关文件之目的使用，不得用作其他任 何目的。 德勤华永会计师事务所(特殊普通合伙) 中国注册会计师 中国·上海 中国注册会计师 2025 年 3 月 17 日</x:v>
      </x:c>
      <x:c r="N270" s="41" t="str">
        <x:v>0-无关</x:v>
      </x:c>
      <x:c r="O270" s="41" t="str">
        <x:v>否</x:v>
      </x:c>
      <x:c r="P270" s="57" t="str">
        <x:v>专项说明仅核验会计政策变更的合规性；内容与D&amp;M产能和盈利现金缺少业务传导，未提供D&amp;M业务产能利用率、毛利率和经营现金流，不能支持当前判断。</x:v>
      </x:c>
      <x:c r="Q270" s="41" t="str">
        <x:v>B-CODEX-FIN-01</x:v>
      </x:c>
      <x:c r="R270" s="80" t="inlineStr">
        <x:is>
          <x:t>2026-08-30T13:30:00+08:00</x:t>
        </x:is>
      </x:c>
    </x:row>
    <x:row r="271" ht="72" customHeight="1">
      <x:c r="A271" s="64" t="str">
        <x:v>V6-R-Q027-C02</x:v>
      </x:c>
      <x:c r="B271" s="64" t="str">
        <x:v>V6-E-603259-C02</x:v>
      </x:c>
      <x:c r="C271" s="64" t="str">
        <x:v>V6-Q027</x:v>
      </x:c>
      <x:c r="D271" s="40" t="str">
        <x:v>药明康德</x:v>
      </x:c>
      <x:c r="E271" s="64" t="str">
        <x:v>603259</x:v>
      </x:c>
      <x:c r="F271" s="87" t="n">
        <x:v>46260.75</x:v>
      </x:c>
      <x:c r="G271" s="51" t="str">
        <x:v>产能利用率回升能否改善D&amp;M业务毛利率和现金流</x:v>
      </x:c>
      <x:c r="H271" s="64" t="str">
        <x:v>DOC-EVT-603259-00455</x:v>
      </x:c>
      <x:c r="I271" s="51" t="str">
        <x:v>关于开展外汇套期保值业务的公告</x:v>
      </x:c>
      <x:c r="J271" s="87" t="n">
        <x:v>46105</x:v>
      </x:c>
      <x:c r="K271" s="73" t="str">
        <x:v>http://static.cninfo.com.cn/finalpage/2026-03-24/1225025196.PDF</x:v>
      </x:c>
      <x:c r="L271" s="40" t="str">
        <x:v>第1页</x:v>
      </x:c>
      <x:c r="M271" s="51" t="str">
        <x:v>证券代码：603259 证券简称：药明康德 公告编号：临 2026-012 无锡药明康德新药开发股份有限公司 关于开展外汇套期保值业务的公告 本公司董事会及全体董事保证本公告内容不存在任何虚假记载、误导性陈述 或者重大遗漏，并对其内容的真实性、准确性和完整性承担法律责任。 重要内容提示：  交易主要情况  已履行及拟履行的审议程序 本次开展外汇套期保值业务已经本公司第三届董事会第二十七次会议暨 2025 年年度董事会审议通过，尚需提交本公司股东会审议。  特别风险提示：本公司进行外汇套期保值业务遵循合法、审慎、安全、 有效、稳健原则，不进行以投机为目的的外汇交易，所有外汇套期保值业务均以 正常生产经营为基础。本次外汇套期保值业务存在一定的汇率波动风险、履约风 险、内部控制风险、客户违约风险等风险。 一、交易情况概述 （一）交易目的 交易目的 □获取投资收益 套期保值（合约类别：□商品；外汇；□其他：________） □其他：________ 交易品种 远期结售汇等外汇衍生产品业务 交易金额 预计动用的交易保证金和权利金 上限（单位：万元） 0.00 预计任一交易日持有的最高合约 价值（单位：万元） 900,000万美元或其他等 值外币 资金来源 自有资金 □借贷资金 □其他：___ 交易期限 本次授权期限为自无锡药明康德新药开发股份有限公司（以 下简称“本公司”）2025年年度股东会审议通过之日起12 个月或至2026年年度董事会或股东会（视届时审批权限）审…</x:v>
      </x:c>
      <x:c r="N271" s="41" t="str">
        <x:v>1-弱相关</x:v>
      </x:c>
      <x:c r="O271" s="41" t="str">
        <x:v>否</x:v>
      </x:c>
      <x:c r="P271" s="57" t="str">
        <x:v>公告披露国际业务相关外汇风险及90亿美元套保上限；虽与D&amp;M产能和盈利现金主题相近，但未提供D&amp;M业务产能利用率、毛利率和经营现金流，不足以建立可靠传导链。</x:v>
      </x:c>
      <x:c r="Q271" s="41" t="str">
        <x:v>B-CODEX-FIN-01</x:v>
      </x:c>
      <x:c r="R271" s="80" t="inlineStr">
        <x:is>
          <x:t>2026-08-30T13:30:00+08:00</x:t>
        </x:is>
      </x:c>
    </x:row>
    <x:row r="272" ht="72" customHeight="1">
      <x:c r="A272" s="64" t="str">
        <x:v>V6-R-Q028-C03</x:v>
      </x:c>
      <x:c r="B272" s="64" t="str">
        <x:v>V6-E-000538-C03</x:v>
      </x:c>
      <x:c r="C272" s="64" t="str">
        <x:v>V6-Q028</x:v>
      </x:c>
      <x:c r="D272" s="40" t="str">
        <x:v>云南白药</x:v>
      </x:c>
      <x:c r="E272" s="64" t="str">
        <x:v>000538</x:v>
      </x:c>
      <x:c r="F272" s="87" t="n">
        <x:v>46260.75</x:v>
      </x:c>
      <x:c r="G272" s="51" t="str">
        <x:v>医药商业应收与存货变化是否影响经营现金流质量</x:v>
      </x:c>
      <x:c r="H272" s="64" t="str">
        <x:v>DOC-EVT-000538-00067</x:v>
      </x:c>
      <x:c r="I272" s="51" t="str">
        <x:v>云南白药集团股份有限公司投资理财管理制度（2024年8月）</x:v>
      </x:c>
      <x:c r="J272" s="87" t="n">
        <x:v>45531</x:v>
      </x:c>
      <x:c r="K272" s="73" t="str">
        <x:v>http://static.cninfo.com.cn/finalpage/2024-08-27/1220987155.PDF</x:v>
      </x:c>
      <x:c r="L272" s="40" t="str">
        <x:v>第6页</x:v>
      </x:c>
      <x:c r="M272" s="51" t="str">
        <x:v>6 / 6 第二十五条 集团审计部对投资理财业务的风险管理进行检查和 评价并出具报告，检查评价内容包括理财情况和资金账户的检查、业 务流程中风险点识别的全面性、风险控制措施有效性、理财业务运作 和内部管理的合规性的评价。 第六章 投资理财的报告 第二十六条 资金管理部负责人应定期 （每月） 和不定期 （需要时） 编制投资理财报告。报告内容包括但不限于：投资决策执行情况、投 资资产质量、投资盈亏情况、风险监控情况和其他重大事项等。 第二十七条 资金管理部应向董事会、监事会和经营管理层提交 投资理财报告。 第七章 附则 第二十八条 本制度由公司资金管理部负责解释和修订。 第二十九条 公司现行《证券投资管理制度》《证券投资风险 管理办法》所规定的委托理财相关管理及风险管理相关内容如与本制 度存在不一致的，按照本制度执行。 第三十条 本制度自董事会审议通过之后执行， 原 《云南白药集 团股份有限公司投资理财管理制度（试行）》相应废止。</x:v>
      </x:c>
      <x:c r="N272" s="41" t="str">
        <x:v>0-无关</x:v>
      </x:c>
      <x:c r="O272" s="41" t="str">
        <x:v>否</x:v>
      </x:c>
      <x:c r="P272" s="57" t="str">
        <x:v>制度要求定期报告投资资产质量、盈亏和风险监控；内容与营运资金和现金质量缺少业务传导，未提供医药商业应收、存货和经营现金流的联动，不能支持当前判断。</x:v>
      </x:c>
      <x:c r="Q272" s="41" t="str">
        <x:v>B-CODEX-FIN-01</x:v>
      </x:c>
      <x:c r="R272" s="80" t="inlineStr">
        <x:is>
          <x:t>2026-08-30T13:30:00+08:00</x:t>
        </x:is>
      </x:c>
    </x:row>
    <x:row r="273" ht="72" customHeight="1">
      <x:c r="A273" s="64" t="str">
        <x:v>V6-R-Q028-C04</x:v>
      </x:c>
      <x:c r="B273" s="64" t="str">
        <x:v>V6-E-000538-C04</x:v>
      </x:c>
      <x:c r="C273" s="64" t="str">
        <x:v>V6-Q028</x:v>
      </x:c>
      <x:c r="D273" s="40" t="str">
        <x:v>云南白药</x:v>
      </x:c>
      <x:c r="E273" s="64" t="str">
        <x:v>000538</x:v>
      </x:c>
      <x:c r="F273" s="87" t="n">
        <x:v>46260.75</x:v>
      </x:c>
      <x:c r="G273" s="51" t="str">
        <x:v>医药商业应收与存货变化是否影响经营现金流质量</x:v>
      </x:c>
      <x:c r="H273" s="64" t="str">
        <x:v>DOC-EVT-000538-00131</x:v>
      </x:c>
      <x:c r="I273" s="51" t="str">
        <x:v>2024年年度报告（英文版）</x:v>
      </x:c>
      <x:c r="J273" s="87" t="n">
        <x:v>45770</x:v>
      </x:c>
      <x:c r="K273" s="73" t="str">
        <x:v>http://static.cninfo.com.cn/finalpage/2025-04-23/1223214596.PDF</x:v>
      </x:c>
      <x:c r="L273" s="40" t="str">
        <x:v>第2页</x:v>
      </x:c>
      <x:c r="M273" s="51" t="str">
        <x:v>y special attention to “XI. Outlook of the Company” in the “Section III Management Discussion and Analysis.” This part does not constitute our substantial commitments to investors. Investors are advised to pay attention to investment risks. The profit distribution plan considered and approved by the Board of Directors is as follows: Based on the total share capital of the Company of 1,784,262,603 shares at the end of 2024, a cash dividend of RMB 11.85 (tax inclusive) for every 10 shares will be paid to all shareholders, with no bonus shares issued (tax inclusive), and no capital reserve to increase the share capital. At the same time, the…</x:v>
      </x:c>
      <x:c r="N273" s="41" t="str">
        <x:v>0-无关</x:v>
      </x:c>
      <x:c r="O273" s="41" t="str">
        <x:v>否</x:v>
      </x:c>
      <x:c r="P273" s="57" t="str">
        <x:v>英文年报摘录仅披露分红方案和风险提示；内容与营运资金和现金质量缺少业务传导，未提供医药商业应收、存货和经营现金流的联动，不能支持当前判断。</x:v>
      </x:c>
      <x:c r="Q273" s="41" t="str">
        <x:v>B-CODEX-FIN-01</x:v>
      </x:c>
      <x:c r="R273" s="80" t="inlineStr">
        <x:is>
          <x:t>2026-08-30T13:30:00+08:00</x:t>
        </x:is>
      </x:c>
    </x:row>
    <x:row r="274" ht="72" customHeight="1">
      <x:c r="A274" s="64" t="str">
        <x:v>V6-R-Q028-C02</x:v>
      </x:c>
      <x:c r="B274" s="64" t="str">
        <x:v>V6-E-000538-C02</x:v>
      </x:c>
      <x:c r="C274" s="64" t="str">
        <x:v>V6-Q028</x:v>
      </x:c>
      <x:c r="D274" s="40" t="str">
        <x:v>云南白药</x:v>
      </x:c>
      <x:c r="E274" s="64" t="str">
        <x:v>000538</x:v>
      </x:c>
      <x:c r="F274" s="87" t="n">
        <x:v>46260.75</x:v>
      </x:c>
      <x:c r="G274" s="51" t="str">
        <x:v>医药商业应收与存货变化是否影响经营现金流质量</x:v>
      </x:c>
      <x:c r="H274" s="64" t="str">
        <x:v>DOC-EVT-000538-00188</x:v>
      </x:c>
      <x:c r="I274" s="51" t="str">
        <x:v>关于2026年利用闲置自有资金开展投资理财的公告</x:v>
      </x:c>
      <x:c r="J274" s="87" t="n">
        <x:v>46022.78787037037</x:v>
      </x:c>
      <x:c r="K274" s="73" t="str">
        <x:v>http://static.cninfo.com.cn/finalpage/2025-12-31/1224913540.PDF</x:v>
      </x:c>
      <x:c r="L274" s="40" t="str">
        <x:v>第1页</x:v>
      </x:c>
      <x:c r="M274" s="51" t="str">
        <x:v>1 / 3 股票代码：000538 股票简称：云南白药 公告编号：2025-53 云南白药集团股份有限公司 关于2026 年利用闲置自有资金开展投资理财的公告 本公司及董事会全体成员保证信息披露内容的真实、准确、完整，没有虚 假记载、误导性陈述或重大遗漏。 云南白药集团股份有限公司（以下简称“公司”）第十一届董事会 2025 年第二次会议（以下简称“会议”）于2025 年12 月31 日以通讯表决方式召 开，会议审议通过了《关于2026年利用闲置自有资金开展投资理财的议案》。 具体情况如下： 一、投资情况概述 为确保资金安全及保持合理的流动性，并充分满足公司日常经营和战略 投资的资金需求，同时兼顾公司自有闲置资金收益水平，为公司和股东争取 投资回报，公司拟对2026年理财投资范围、额度等进行合理预计，具体如下： （一）资金来源：公司闲置自有资金。 （二）投资范围： 1、银行的存款类产品，包括大额存单、通知存款、协定存款等。 2、各大金融机构的理财产品，包括银行及其理财子公司、券商、基金 公司等。 3、结构性存款、保本收益凭证、货币市场基金、国债逆回购及债券、 债券型基金/资管计划。 4、其它经董事会批准的理财对象及理财方式。</x:v>
      </x:c>
      <x:c r="N274" s="41" t="str">
        <x:v>0-无关</x:v>
      </x:c>
      <x:c r="O274" s="41" t="str">
        <x:v>否</x:v>
      </x:c>
      <x:c r="P274" s="57" t="str">
        <x:v>公告拟用闲置资金配置存款、理财、债券和基金等投资资产；内容与营运资金和现金质量缺少业务传导，未提供医药商业应收、存货和经营现金流的联动，不能支持当前判断。</x:v>
      </x:c>
      <x:c r="Q274" s="41" t="str">
        <x:v>B-CODEX-FIN-01</x:v>
      </x:c>
      <x:c r="R274" s="80" t="inlineStr">
        <x:is>
          <x:t>2026-08-30T13:30:00+08:00</x:t>
        </x:is>
      </x:c>
    </x:row>
    <x:row r="275" ht="72" customHeight="1">
      <x:c r="A275" s="64" t="str">
        <x:v>V6-R-Q028-C10</x:v>
      </x:c>
      <x:c r="B275" s="64" t="str">
        <x:v>V6-E-000538-C10</x:v>
      </x:c>
      <x:c r="C275" s="64" t="str">
        <x:v>V6-Q028</x:v>
      </x:c>
      <x:c r="D275" s="40" t="str">
        <x:v>云南白药</x:v>
      </x:c>
      <x:c r="E275" s="64" t="str">
        <x:v>000538</x:v>
      </x:c>
      <x:c r="F275" s="87" t="n">
        <x:v>46260.75</x:v>
      </x:c>
      <x:c r="G275" s="51" t="str">
        <x:v>医药商业应收与存货变化是否影响经营现金流质量</x:v>
      </x:c>
      <x:c r="H275" s="64" t="str">
        <x:v>DOC-EVT-000538-00229</x:v>
      </x:c>
      <x:c r="I275" s="51" t="str">
        <x:v>2025年度股东会决议公告</x:v>
      </x:c>
      <x:c r="J275" s="87" t="n">
        <x:v>46134</x:v>
      </x:c>
      <x:c r="K275" s="73" t="str">
        <x:v>http://static.cninfo.com.cn/finalpage/2026-04-22/1225136413.PDF</x:v>
      </x:c>
      <x:c r="L275" s="40" t="str">
        <x:v>第1页</x:v>
      </x:c>
      <x:c r="M275" s="51" t="str">
        <x:v>1 / 6 股票代码：000538 股票简称：云南白药 公告编号：2026-15 云南白药集团股份有限公司 2025年度股东会决议公告 本公司及董事会全体成员保证信息披露内容的真实、准确、完整，没 有虚假记载、误导性陈述或重大遗漏。 重要提示： 1、本次股东会未出现否决议案的情形。 2、本次股东会未涉及变更前次股东会决议。 一、会议召开和出席情况 （一）会议召开情况 1、召开时间： （1）现场会议召开时间：2026 年4 月21 日上午9:30。 （2）网络投票时间：通过深圳证券交易所交易系统进行网络投票的 时间为 2026 年 4 月 21 日 9:15-9:25，9:30-11:30 和 13:00-15:00；通过深 圳证券交易所互联网投票系统投票的时间为2026年4月21日9:15-15:00。 2、现场会议召开地点：云南省昆明市呈贡区云南白药街 3686 号云 南白药集团股份有限公司总部白药空间二楼会议室。 3、会议召开方式：本次股东会以现场表决和网络投票相结合的方式 召开。公司将通过深圳证券交易所交易系统和互联网投票系统</x:v>
      </x:c>
      <x:c r="N275" s="41" t="str">
        <x:v>0-无关</x:v>
      </x:c>
      <x:c r="O275" s="41" t="str">
        <x:v>否</x:v>
      </x:c>
      <x:c r="P275" s="57" t="str">
        <x:v>公告仅披露股东会召开及表决程序；内容与营运资金和现金质量缺少业务传导，未提供医药商业应收、存货和经营现金流的联动，不能支持当前判断。</x:v>
      </x:c>
      <x:c r="Q275" s="41" t="str">
        <x:v>B-CODEX-FIN-01</x:v>
      </x:c>
      <x:c r="R275" s="80" t="inlineStr">
        <x:is>
          <x:t>2026-08-30T13:30:00+08:00</x:t>
        </x:is>
      </x:c>
    </x:row>
    <x:row r="276" ht="72" customHeight="1">
      <x:c r="A276" s="64" t="str">
        <x:v>V6-R-Q028-C07</x:v>
      </x:c>
      <x:c r="B276" s="64" t="str">
        <x:v>V6-E-000538-C07</x:v>
      </x:c>
      <x:c r="C276" s="64" t="str">
        <x:v>V6-Q028</x:v>
      </x:c>
      <x:c r="D276" s="40" t="str">
        <x:v>云南白药</x:v>
      </x:c>
      <x:c r="E276" s="64" t="str">
        <x:v>000538</x:v>
      </x:c>
      <x:c r="F276" s="87" t="n">
        <x:v>46260.75</x:v>
      </x:c>
      <x:c r="G276" s="51" t="str">
        <x:v>医药商业应收与存货变化是否影响经营现金流质量</x:v>
      </x:c>
      <x:c r="H276" s="64" t="str">
        <x:v>DOC-EVT-000538-00047</x:v>
      </x:c>
      <x:c r="I276" s="51" t="str">
        <x:v>2024年一季度报告</x:v>
      </x:c>
      <x:c r="J276" s="87" t="n">
        <x:v>45409</x:v>
      </x:c>
      <x:c r="K276" s="73" t="str">
        <x:v>http://static.cninfo.com.cn/finalpage/2024-04-27/1219860291.PDF</x:v>
      </x:c>
      <x:c r="L276" s="40" t="str">
        <x:v>第3页</x:v>
      </x:c>
      <x:c r="M276" s="51" t="str">
        <x:v>云南白药集团股份有限公司 2024 年第一季度报告 2 一、主要财务数据 （一） 主要会计数据和财务指标 公司是否需追溯调整或重述以前年度会计数据 □是 否 本报告期 上年同期 本报告期比上年同期增减（%） 营业收入（元） 10,774,290,921.49 10,512,750,996.14 2.49% 归属于上市公司股东的净利润（元） 1,701,931,446.00 1,517,988,356.56 12.12% 归属于上市公司股东的扣除非经常性损 益的净利润（元） 1,690,411,601.12 1,402,680,418.31 20.51% 经营活动产生的现金流量净额（元） 527,059,804.98 733,744,202.46 -28.17% 基本每股收益（元/股） 0.95 0.85 11.76% 稀释每股收益（元/股） 0.95 0.85 11.76% 加权平均净资产收益率 4.18% 3.87% 增加 0.31 个百分点 本报告期末 上年度末 本报告期末比上年度末增减（%） 总资产（元） 56,874,351,095.19 53,784,293,183.93 5.75% 归属于上市公司股东的所有者权益 （元） 41,580,117,445.10 39,879,122,031.51 4.27% 截止披露前一交易日的公司总股本： 截止披露前一交易日的公司总股本（股） 1,784,262,603.00 用最新股本计算的全面摊薄每股收益： 支付的优先股股利…</x:v>
      </x:c>
      <x:c r="N276" s="41" t="str">
        <x:v>2-间接相关</x:v>
      </x:c>
      <x:c r="O276" s="41" t="str">
        <x:v>是</x:v>
      </x:c>
      <x:c r="P276" s="57" t="str">
        <x:v>一季报披露净利润、扣非净利润及经营现金流同比下降28.17%；该事实可通过应收或库存占用向经营现金流传导，间接验证医药商业应收、存货和经营现金流的联动，关系清晰且可复核。</x:v>
      </x:c>
      <x:c r="Q276" s="41" t="str">
        <x:v>B-CODEX-FIN-01</x:v>
      </x:c>
      <x:c r="R276" s="80" t="inlineStr">
        <x:is>
          <x:t>2026-08-30T13:30:00+08:00</x:t>
        </x:is>
      </x:c>
    </x:row>
    <x:row r="277" ht="72" customHeight="1">
      <x:c r="A277" s="64" t="str">
        <x:v>V6-R-Q028-C05</x:v>
      </x:c>
      <x:c r="B277" s="64" t="str">
        <x:v>V6-E-000538-C05</x:v>
      </x:c>
      <x:c r="C277" s="64" t="str">
        <x:v>V6-Q028</x:v>
      </x:c>
      <x:c r="D277" s="40" t="str">
        <x:v>云南白药</x:v>
      </x:c>
      <x:c r="E277" s="64" t="str">
        <x:v>000538</x:v>
      </x:c>
      <x:c r="F277" s="87" t="n">
        <x:v>46260.75</x:v>
      </x:c>
      <x:c r="G277" s="51" t="str">
        <x:v>医药商业应收与存货变化是否影响经营现金流质量</x:v>
      </x:c>
      <x:c r="H277" s="64" t="str">
        <x:v>DOC-EVT-000538-00098</x:v>
      </x:c>
      <x:c r="I277" s="51" t="str">
        <x:v>关于与专业投资机构共同投资设立基金的进展公告</x:v>
      </x:c>
      <x:c r="J277" s="87" t="n">
        <x:v>45666</x:v>
      </x:c>
      <x:c r="K277" s="73" t="str">
        <x:v>http://static.cninfo.com.cn/finalpage/2025-01-09/1222270305.PDF</x:v>
      </x:c>
      <x:c r="L277" s="40" t="str">
        <x:v>第1页</x:v>
      </x:c>
      <x:c r="M277" s="51" t="str">
        <x:v>1 / 3 证券代码:000538 证券简称:云南白药 公告编号:2025-01 云南白药集团股份有限公司 关于与专业投资机构共同投资设立基金的进展公告 重要提示：本公司及董事会全体成员保证信息披露内容的真实、准 确、完整，没有虚假记载、误导性陈述或重大遗漏。 一、基本情况 云南白药集团股份有限公司（以下简称“云南白药”或“公司”）与 中银国际投资有限责任公司（以下简称“中银国际投资”或“基金管理 人”）共同投资设立云南中医药大健康创新股权投资基金合伙企业（有限 合伙）（以下简称“合伙企业”）。其中，云南白药作为有限合伙人以自 有资金认缴出资人民币50亿元，占合伙企业认缴出资总额的 71.43%，中 银国际投资作为普通合伙人以自有资金认缴出资人民币20亿元，占合伙企 业认缴出资总额的 28.57%。具体内容详见公司于 2024年11月30日在巨潮 资讯网（网址：http://www.cninfo.com.cn）挂网披露的《关于拟与专业投 资机构共同投资设立基金的公告》（公告编号：2024-58）。 二、进展情况 （一）签署合伙协议之补充协议 根据合伙企业申请基金备案阶段的沟通，合伙企业全体合伙人于2025 年1月7日签署《云南中医药大健康创新股权投资基金合伙企业（有限合伙） 合伙协议之补充协议》（以下简称“补充协议”），对此前签署的《云南 中医药大健康创新股权投资基金合伙企业（有限合伙）合伙协议》（以下 简称“合伙协议”）进行补充约定，补充协议主要内容为：</x:v>
      </x:c>
      <x:c r="N277" s="41" t="str">
        <x:v>1-弱相关</x:v>
      </x:c>
      <x:c r="O277" s="41" t="str">
        <x:v>否</x:v>
      </x:c>
      <x:c r="P277" s="57" t="str">
        <x:v>公告披露以自有资金认缴50亿元大健康股权投资基金；虽与营运资金和现金质量主题相近，但未提供医药商业应收、存货和经营现金流的联动，不足以建立可靠传导链。</x:v>
      </x:c>
      <x:c r="Q277" s="41" t="str">
        <x:v>B-CODEX-FIN-01</x:v>
      </x:c>
      <x:c r="R277" s="80" t="inlineStr">
        <x:is>
          <x:t>2026-08-30T13:30:00+08:00</x:t>
        </x:is>
      </x:c>
    </x:row>
    <x:row r="278" ht="72" customHeight="1">
      <x:c r="A278" s="64" t="str">
        <x:v>V6-R-Q028-C08</x:v>
      </x:c>
      <x:c r="B278" s="64" t="str">
        <x:v>V6-E-000538-C08</x:v>
      </x:c>
      <x:c r="C278" s="64" t="str">
        <x:v>V6-Q028</x:v>
      </x:c>
      <x:c r="D278" s="40" t="str">
        <x:v>云南白药</x:v>
      </x:c>
      <x:c r="E278" s="64" t="str">
        <x:v>000538</x:v>
      </x:c>
      <x:c r="F278" s="87" t="n">
        <x:v>46260.75</x:v>
      </x:c>
      <x:c r="G278" s="51" t="str">
        <x:v>医药商业应收与存货变化是否影响经营现金流质量</x:v>
      </x:c>
      <x:c r="H278" s="64" t="str">
        <x:v>DOC-EVT-000538-00157</x:v>
      </x:c>
      <x:c r="I278" s="51" t="str">
        <x:v>关于持股5％以上股东非公开发行可交换公司债券发行完成的公告</x:v>
      </x:c>
      <x:c r="J278" s="87" t="n">
        <x:v>45954</x:v>
      </x:c>
      <x:c r="K278" s="73" t="str">
        <x:v>http://static.cninfo.com.cn/finalpage/2025-10-24/1224728702.PDF</x:v>
      </x:c>
      <x:c r="L278" s="40" t="str">
        <x:v>第1页</x:v>
      </x:c>
      <x:c r="M278" s="51" t="str">
        <x:v>1 / 2 股票代码：000538 股票简称：云南白药 公告编号：2025-35 云南白药集团股份有限公司 关于持股 5％以上股东非公开发行可交换公司债券发行 完成的公告 本公司及董事会全体成员保证信息披露内容的真实、准确、完整，没有虚 假记载、误导性陈述或重大遗漏。 云南白药集团股份有限公司（以下简称“公司”或“云南白药”）持股 5%以上股东新华都实业集团股份有限公司（以下简称“新华都”）拟以其 持有的部分公司A 股股票为标的非公开发行可交换公司债券（以下简称“本 次可交换债券”），并已取得深圳证券交易所出具的《关于新华都实业集团 股份有限公司非公开发行可交换公司债券符合深交所挂牌条件的无异议函》 （深证函〔2025〕881 号），发行规模不超过20 亿元人民币。新华都将持有 的云南白药56,000,000股无限售流通股划转至在中国证券登记结算有限责任 公司深圳分公司开立的“新华都集团-国信证券-25 新华都EB01 担保及信托 财产专户”，由本期债券受托管理人国信证券股份有限公司（以下简称“国 信证券”）作为名义持有人，并以“新华都集团-国信证券-25 新华都 EB01 担保及信托财产专户”作为证券持有人登记在公司证券持有人名册上，用于 为本期可交换公司债券持有人交换股票和本期债券本息偿付提供担保。上述 事项详见公司于2025 年9 月 23 日披露的《关于持股5％以上股东拟非公开 发行可交换公司债券及拟对其持有的部分股票办理担保及信托登记的公告》</x:v>
      </x:c>
      <x:c r="N278" s="41" t="str">
        <x:v>0-无关</x:v>
      </x:c>
      <x:c r="O278" s="41" t="str">
        <x:v>否</x:v>
      </x:c>
      <x:c r="P278" s="57" t="str">
        <x:v>公告仅涉及主要股东发行可交换债券；内容与营运资金和现金质量缺少业务传导，未提供医药商业应收、存货和经营现金流的联动，不能支持当前判断。</x:v>
      </x:c>
      <x:c r="Q278" s="41" t="str">
        <x:v>B-CODEX-FIN-01</x:v>
      </x:c>
      <x:c r="R278" s="80" t="inlineStr">
        <x:is>
          <x:t>2026-08-30T13:30:00+08:00</x:t>
        </x:is>
      </x:c>
    </x:row>
    <x:row r="279" ht="72" customHeight="1">
      <x:c r="A279" s="64" t="str">
        <x:v>V6-R-Q028-C01</x:v>
      </x:c>
      <x:c r="B279" s="64" t="str">
        <x:v>V6-E-000538-C01</x:v>
      </x:c>
      <x:c r="C279" s="64" t="str">
        <x:v>V6-Q028</x:v>
      </x:c>
      <x:c r="D279" s="40" t="str">
        <x:v>云南白药</x:v>
      </x:c>
      <x:c r="E279" s="64" t="str">
        <x:v>000538</x:v>
      </x:c>
      <x:c r="F279" s="87" t="n">
        <x:v>46260.75</x:v>
      </x:c>
      <x:c r="G279" s="51" t="str">
        <x:v>医药商业应收与存货变化是否影响经营现金流质量</x:v>
      </x:c>
      <x:c r="H279" s="64" t="str">
        <x:v>DOC-EVT-000538-00210</x:v>
      </x:c>
      <x:c r="I279" s="51" t="str">
        <x:v>非经营性资金占用及其他关联资金往来情况汇总表</x:v>
      </x:c>
      <x:c r="J279" s="87" t="n">
        <x:v>46113</x:v>
      </x:c>
      <x:c r="K279" s="73" t="str">
        <x:v>http://static.cninfo.com.cn/finalpage/2026-04-01/1225067979.PDF</x:v>
      </x:c>
      <x:c r="L279" s="40" t="str">
        <x:v>第1页</x:v>
      </x:c>
      <x:c r="M279" s="51" t="str">
        <x:v>149.17 代垫款项 非经营性往来 云南省凤庆茶厂有限公司 子公司的子公司 其他应收款 43.25 411.00 454.25 - 代垫款项 非经营性往来 杭州山七健康产业有限公司 子公司的子公司 其他应收款 100.19 905.60 771.85 233.94 代垫款项 非经营性往来 昆明云臻医疗科技有限公司 子公司的子公司 其他应收款 766.42 1,009.04 1,035.18 740.28 代垫款项 非经营性往来 云南白药集团丽江药业有限公司 子公司的子公司 其他应收款 1.65 4,472.80 4,474.45 代垫款项 非经营性往来 陕西智云问枢健康服务有限公司 子公司的子公司 其他应收款 71.22 62.75 8.47 代垫款项 非经营性往来 非经营性资金占用及其他关联资金往来情况汇总表 2025年度 非经营性资金占用 其它关联资金往来 资金占用方名称 资金往来方名称 占用方与上市公司的关联 关系 往来方与上市公司的关联 关系 上市公司核算的会 计科目 上市公司核算的会 计科目 2025年期初 占用资金余额 2025年期初 往来资金余额 2025年度占用累 计发生金额 （不含利息） 2025年度往来累 计发生金额 （不含利息） 2025年度占 用资金的利 息 （如有） 2025年度往 来资金的利 息 （如有） 占用形成原因 往来形成原因 占用性质 往来性质（经营性往 来、 非经营性往来 ） 2025年度偿还累计发生金额 2025年度偿还累计发生金额…</x:v>
      </x:c>
      <x:c r="N279" s="41" t="str">
        <x:v>2-间接相关</x:v>
      </x:c>
      <x:c r="O279" s="41" t="str">
        <x:v>是</x:v>
      </x:c>
      <x:c r="P279" s="57" t="str">
        <x:v>汇总表披露子公司其他应收款和非经营性往来余额变化；该事实可通过应收或库存占用向经营现金流传导，间接验证医药商业应收、存货和经营现金流的联动，关系清晰且可复核。</x:v>
      </x:c>
      <x:c r="Q279" s="41" t="str">
        <x:v>B-CODEX-FIN-01</x:v>
      </x:c>
      <x:c r="R279" s="80" t="inlineStr">
        <x:is>
          <x:t>2026-08-30T13:30:00+08:00</x:t>
        </x:is>
      </x:c>
    </x:row>
    <x:row r="280" ht="72" customHeight="1">
      <x:c r="A280" s="64" t="str">
        <x:v>V6-R-Q028-C06</x:v>
      </x:c>
      <x:c r="B280" s="64" t="str">
        <x:v>V6-E-000538-C06</x:v>
      </x:c>
      <x:c r="C280" s="64" t="str">
        <x:v>V6-Q028</x:v>
      </x:c>
      <x:c r="D280" s="40" t="str">
        <x:v>云南白药</x:v>
      </x:c>
      <x:c r="E280" s="64" t="str">
        <x:v>000538</x:v>
      </x:c>
      <x:c r="F280" s="87" t="n">
        <x:v>46260.75</x:v>
      </x:c>
      <x:c r="G280" s="51" t="str">
        <x:v>医药商业应收与存货变化是否影响经营现金流质量</x:v>
      </x:c>
      <x:c r="H280" s="64" t="str">
        <x:v>DOC-EVT-000538-00179</x:v>
      </x:c>
      <x:c r="I280" s="51" t="str">
        <x:v>2025年三季度报告</x:v>
      </x:c>
      <x:c r="J280" s="87" t="n">
        <x:v>45961</x:v>
      </x:c>
      <x:c r="K280" s="73" t="str">
        <x:v>http://static.cninfo.com.cn/finalpage/2025-10-31/1224773417.PDF</x:v>
      </x:c>
      <x:c r="L280" s="40" t="str">
        <x:v>第3页</x:v>
      </x:c>
      <x:c r="M280" s="51" t="str">
        <x:v>云南白药集团股份有限公司 2025 年第三季度报告 2 一、主要财务数据 （一） 主要会计数据和财务指标 公司是否需追溯调整或重述以前年度会计数据 □是 否 本报告期 本报告期比上年同 期增减 年初至报告期末 年初至报告期末比上 年同期增减 营业收入（元） 9,397,111,312.99 -0.66% 30,654,214,209.01 2.47% 归属于上市公司股东的净利润 （元） 1,144,208,354.35 0.55% 4,777,119,657.47 10.41% 归属于上市公司股东的扣除非 经常性损益的净利润（元） 1,089,023,837.43 -3.61% 4,549,939,286.91 6.68% 经营活动产生的现金流量净额 （元） — — 4,455,969,511.54 9.40% 基本每股收益（元/股） 0.64 1.59% 2.68 10.74% 稀释每股收益（元/股） 0.64 1.59% 2.68 10.74% 加权平均净资产收益率 2.80% -0.04% 11.92% 增加 1.10 个百分点 本报告期末 上年度末 本报告期末比上年度末增减 总资产（元） 53,343,484,721.39 52,914,181,333.05 0.81% 归属于上市公司股东的所有者 权益（元） 39,733,402,690.02 38,831,946,424.51 2.32% 注：2025年前三季度，公司工业收入115.82亿元，较上年同期增长9.…</x:v>
      </x:c>
      <x:c r="N280" s="41" t="str">
        <x:v>3-直接相关</x:v>
      </x:c>
      <x:c r="O280" s="41" t="str">
        <x:v>是</x:v>
      </x:c>
      <x:c r="P280" s="57" t="str">
        <x:v>三季报披露工业收入、净利润、扣非利润及经营现金流增长；证据直接披露或决定医药商业应收、存货和经营现金流的联动，可直接用于回答当前查询。</x:v>
      </x:c>
      <x:c r="Q280" s="41" t="str">
        <x:v>B-CODEX-FIN-01</x:v>
      </x:c>
      <x:c r="R280" s="80" t="inlineStr">
        <x:is>
          <x:t>2026-08-30T13:30:00+08:00</x:t>
        </x:is>
      </x:c>
    </x:row>
    <x:row r="281" ht="72" customHeight="1">
      <x:c r="A281" s="64" t="str">
        <x:v>V6-R-Q028-C09</x:v>
      </x:c>
      <x:c r="B281" s="64" t="str">
        <x:v>V6-E-000538-C09</x:v>
      </x:c>
      <x:c r="C281" s="64" t="str">
        <x:v>V6-Q028</x:v>
      </x:c>
      <x:c r="D281" s="40" t="str">
        <x:v>云南白药</x:v>
      </x:c>
      <x:c r="E281" s="64" t="str">
        <x:v>000538</x:v>
      </x:c>
      <x:c r="F281" s="87" t="n">
        <x:v>46260.75</x:v>
      </x:c>
      <x:c r="G281" s="51" t="str">
        <x:v>医药商业应收与存货变化是否影响经营现金流质量</x:v>
      </x:c>
      <x:c r="H281" s="64" t="str">
        <x:v>DOC-EVT-000538-00232</x:v>
      </x:c>
      <x:c r="I281" s="51" t="str">
        <x:v>关于持股5％以上股东非公开发行可交换公司债券换股价格调整的提示性公告</x:v>
      </x:c>
      <x:c r="J281" s="87" t="n">
        <x:v>46140</x:v>
      </x:c>
      <x:c r="K281" s="73" t="str">
        <x:v>http://static.cninfo.com.cn/finalpage/2026-04-28/1225202736.PDF</x:v>
      </x:c>
      <x:c r="L281" s="40" t="str">
        <x:v>第1页</x:v>
      </x:c>
      <x:c r="M281" s="51" t="str">
        <x:v>1 / 3 股票代码：000538 股票简称：云南白药 公告编号：2026-17 云南白药集团股份有限公司 关于持股5％以上股东非公开发行可交换公司债券 换股价格调整的提示性公告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月27 日收到持股5%以上股东新华都实业集团股份有限公司（以 下简称“新华都”）的书面通知，新华都实业集团股份有限公司2025 年面 向专业投资者非公开发行可交换公司债券（以下简称“本期债券”）的换 股价格将进行调整，现将相关信息公告如下： 一、本期债券的基本信息及换股价格调整情况 债券名称：新华都实业集团股份有限公司2025 年面向专业投资者非公 开发行可交换公司债券 债券简称：25 新华都EB01 债券代码：117241.SZ 发行总额：20 亿元 期限：3 年 标的股票简称：云南白药 标的股票代码：000538.SZ</x:v>
      </x:c>
      <x:c r="N281" s="41" t="str">
        <x:v>0-无关</x:v>
      </x:c>
      <x:c r="O281" s="41" t="str">
        <x:v>否</x:v>
      </x:c>
      <x:c r="P281" s="57" t="str">
        <x:v>公告仅调整主要股东可交换债券换股价格；内容与营运资金和现金质量缺少业务传导，未提供医药商业应收、存货和经营现金流的联动，不能支持当前判断。</x:v>
      </x:c>
      <x:c r="Q281" s="41" t="str">
        <x:v>B-CODEX-FIN-01</x:v>
      </x:c>
      <x:c r="R281" s="80" t="inlineStr">
        <x:is>
          <x:t>2026-08-30T13:30:00+08:00</x:t>
        </x:is>
      </x:c>
    </x:row>
    <x:row r="282" ht="72" customHeight="1">
      <x:c r="A282" s="64" t="str">
        <x:v>V6-R-Q029-C09</x:v>
      </x:c>
      <x:c r="B282" s="64" t="str">
        <x:v>V6-E-000538-C09</x:v>
      </x:c>
      <x:c r="C282" s="64" t="str">
        <x:v>V6-Q029</x:v>
      </x:c>
      <x:c r="D282" s="40" t="str">
        <x:v>云南白药</x:v>
      </x:c>
      <x:c r="E282" s="64" t="str">
        <x:v>000538</x:v>
      </x:c>
      <x:c r="F282" s="87" t="n">
        <x:v>46260.75</x:v>
      </x:c>
      <x:c r="G282" s="51" t="str">
        <x:v>牙膏等健康品增长能否提升核心品牌利润贡献</x:v>
      </x:c>
      <x:c r="H282" s="64" t="str">
        <x:v>DOC-EVT-000538-00232</x:v>
      </x:c>
      <x:c r="I282" s="51" t="str">
        <x:v>关于持股5％以上股东非公开发行可交换公司债券换股价格调整的提示性公告</x:v>
      </x:c>
      <x:c r="J282" s="87" t="n">
        <x:v>46140</x:v>
      </x:c>
      <x:c r="K282" s="73" t="str">
        <x:v>http://static.cninfo.com.cn/finalpage/2026-04-28/1225202736.PDF</x:v>
      </x:c>
      <x:c r="L282" s="40" t="str">
        <x:v>第1页</x:v>
      </x:c>
      <x:c r="M282" s="51" t="str">
        <x:v>1 / 3 股票代码：000538 股票简称：云南白药 公告编号：2026-17 云南白药集团股份有限公司 关于持股5％以上股东非公开发行可交换公司债券 换股价格调整的提示性公告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月27 日收到持股5%以上股东新华都实业集团股份有限公司（以 下简称“新华都”）的书面通知，新华都实业集团股份有限公司2025 年面 向专业投资者非公开发行可交换公司债券（以下简称“本期债券”）的换 股价格将进行调整，现将相关信息公告如下： 一、本期债券的基本信息及换股价格调整情况 债券名称：新华都实业集团股份有限公司2025 年面向专业投资者非公 开发行可交换公司债券 债券简称：25 新华都EB01 债券代码：117241.SZ 发行总额：20 亿元 期限：3 年 标的股票简称：云南白药 标的股票代码：000538.SZ</x:v>
      </x:c>
      <x:c r="N282" s="41" t="str">
        <x:v>0-无关</x:v>
      </x:c>
      <x:c r="O282" s="41" t="str">
        <x:v>否</x:v>
      </x:c>
      <x:c r="P282" s="57" t="str">
        <x:v>公告仅调整主要股东可交换债券换股价格；内容与健康品增长与品牌盈利缺少业务传导，未提供牙膏等健康品收入增长和核心品牌利润贡献，不能支持当前判断。</x:v>
      </x:c>
      <x:c r="Q282" s="41" t="str">
        <x:v>B-CODEX-FIN-01</x:v>
      </x:c>
      <x:c r="R282" s="80" t="inlineStr">
        <x:is>
          <x:t>2026-08-30T13:30:00+08:00</x:t>
        </x:is>
      </x:c>
    </x:row>
    <x:row r="283" ht="72" customHeight="1">
      <x:c r="A283" s="64" t="str">
        <x:v>V6-R-Q029-C05</x:v>
      </x:c>
      <x:c r="B283" s="64" t="str">
        <x:v>V6-E-000538-C05</x:v>
      </x:c>
      <x:c r="C283" s="64" t="str">
        <x:v>V6-Q029</x:v>
      </x:c>
      <x:c r="D283" s="40" t="str">
        <x:v>云南白药</x:v>
      </x:c>
      <x:c r="E283" s="64" t="str">
        <x:v>000538</x:v>
      </x:c>
      <x:c r="F283" s="87" t="n">
        <x:v>46260.75</x:v>
      </x:c>
      <x:c r="G283" s="51" t="str">
        <x:v>牙膏等健康品增长能否提升核心品牌利润贡献</x:v>
      </x:c>
      <x:c r="H283" s="64" t="str">
        <x:v>DOC-EVT-000538-00098</x:v>
      </x:c>
      <x:c r="I283" s="51" t="str">
        <x:v>关于与专业投资机构共同投资设立基金的进展公告</x:v>
      </x:c>
      <x:c r="J283" s="87" t="n">
        <x:v>45666</x:v>
      </x:c>
      <x:c r="K283" s="73" t="str">
        <x:v>http://static.cninfo.com.cn/finalpage/2025-01-09/1222270305.PDF</x:v>
      </x:c>
      <x:c r="L283" s="40" t="str">
        <x:v>第1页</x:v>
      </x:c>
      <x:c r="M283" s="51" t="str">
        <x:v>1 / 3 证券代码:000538 证券简称:云南白药 公告编号:2025-01 云南白药集团股份有限公司 关于与专业投资机构共同投资设立基金的进展公告 重要提示：本公司及董事会全体成员保证信息披露内容的真实、准 确、完整，没有虚假记载、误导性陈述或重大遗漏。 一、基本情况 云南白药集团股份有限公司（以下简称“云南白药”或“公司”）与 中银国际投资有限责任公司（以下简称“中银国际投资”或“基金管理 人”）共同投资设立云南中医药大健康创新股权投资基金合伙企业（有限 合伙）（以下简称“合伙企业”）。其中，云南白药作为有限合伙人以自 有资金认缴出资人民币50亿元，占合伙企业认缴出资总额的 71.43%，中 银国际投资作为普通合伙人以自有资金认缴出资人民币20亿元，占合伙企 业认缴出资总额的 28.57%。具体内容详见公司于 2024年11月30日在巨潮 资讯网（网址：http://www.cninfo.com.cn）挂网披露的《关于拟与专业投 资机构共同投资设立基金的公告》（公告编号：2024-58）。 二、进展情况 （一）签署合伙协议之补充协议 根据合伙企业申请基金备案阶段的沟通，合伙企业全体合伙人于2025 年1月7日签署《云南中医药大健康创新股权投资基金合伙企业（有限合伙） 合伙协议之补充协议》（以下简称“补充协议”），对此前签署的《云南 中医药大健康创新股权投资基金合伙企业（有限合伙）合伙协议》（以下 简称“合伙协议”）进行补充约定，补充协议主要内容为：</x:v>
      </x:c>
      <x:c r="N283" s="41" t="str">
        <x:v>1-弱相关</x:v>
      </x:c>
      <x:c r="O283" s="41" t="str">
        <x:v>否</x:v>
      </x:c>
      <x:c r="P283" s="57" t="str">
        <x:v>公告披露以自有资金认缴50亿元大健康股权投资基金；虽与健康品增长与品牌盈利主题相近，但未提供牙膏等健康品收入增长和核心品牌利润贡献，不足以建立可靠传导链。</x:v>
      </x:c>
      <x:c r="Q283" s="41" t="str">
        <x:v>B-CODEX-FIN-01</x:v>
      </x:c>
      <x:c r="R283" s="80" t="inlineStr">
        <x:is>
          <x:t>2026-08-30T13:30:00+08:00</x:t>
        </x:is>
      </x:c>
    </x:row>
    <x:row r="284" ht="72" customHeight="1">
      <x:c r="A284" s="64" t="str">
        <x:v>V6-R-Q029-C10</x:v>
      </x:c>
      <x:c r="B284" s="64" t="str">
        <x:v>V6-E-000538-C10</x:v>
      </x:c>
      <x:c r="C284" s="64" t="str">
        <x:v>V6-Q029</x:v>
      </x:c>
      <x:c r="D284" s="40" t="str">
        <x:v>云南白药</x:v>
      </x:c>
      <x:c r="E284" s="64" t="str">
        <x:v>000538</x:v>
      </x:c>
      <x:c r="F284" s="87" t="n">
        <x:v>46260.75</x:v>
      </x:c>
      <x:c r="G284" s="51" t="str">
        <x:v>牙膏等健康品增长能否提升核心品牌利润贡献</x:v>
      </x:c>
      <x:c r="H284" s="64" t="str">
        <x:v>DOC-EVT-000538-00229</x:v>
      </x:c>
      <x:c r="I284" s="51" t="str">
        <x:v>2025年度股东会决议公告</x:v>
      </x:c>
      <x:c r="J284" s="87" t="n">
        <x:v>46134</x:v>
      </x:c>
      <x:c r="K284" s="73" t="str">
        <x:v>http://static.cninfo.com.cn/finalpage/2026-04-22/1225136413.PDF</x:v>
      </x:c>
      <x:c r="L284" s="40" t="str">
        <x:v>第1页</x:v>
      </x:c>
      <x:c r="M284" s="51" t="str">
        <x:v>1 / 6 股票代码：000538 股票简称：云南白药 公告编号：2026-15 云南白药集团股份有限公司 2025年度股东会决议公告 本公司及董事会全体成员保证信息披露内容的真实、准确、完整，没 有虚假记载、误导性陈述或重大遗漏。 重要提示： 1、本次股东会未出现否决议案的情形。 2、本次股东会未涉及变更前次股东会决议。 一、会议召开和出席情况 （一）会议召开情况 1、召开时间： （1）现场会议召开时间：2026 年4 月21 日上午9:30。 （2）网络投票时间：通过深圳证券交易所交易系统进行网络投票的 时间为 2026 年 4 月 21 日 9:15-9:25，9:30-11:30 和 13:00-15:00；通过深 圳证券交易所互联网投票系统投票的时间为2026年4月21日9:15-15:00。 2、现场会议召开地点：云南省昆明市呈贡区云南白药街 3686 号云 南白药集团股份有限公司总部白药空间二楼会议室。 3、会议召开方式：本次股东会以现场表决和网络投票相结合的方式 召开。公司将通过深圳证券交易所交易系统和互联网投票系统</x:v>
      </x:c>
      <x:c r="N284" s="41" t="str">
        <x:v>0-无关</x:v>
      </x:c>
      <x:c r="O284" s="41" t="str">
        <x:v>否</x:v>
      </x:c>
      <x:c r="P284" s="57" t="str">
        <x:v>公告仅披露股东会召开及表决程序；内容与健康品增长与品牌盈利缺少业务传导，未提供牙膏等健康品收入增长和核心品牌利润贡献，不能支持当前判断。</x:v>
      </x:c>
      <x:c r="Q284" s="41" t="str">
        <x:v>B-CODEX-FIN-01</x:v>
      </x:c>
      <x:c r="R284" s="80" t="inlineStr">
        <x:is>
          <x:t>2026-08-30T13:30:00+08:00</x:t>
        </x:is>
      </x:c>
    </x:row>
    <x:row r="285" ht="72" customHeight="1">
      <x:c r="A285" s="64" t="str">
        <x:v>V6-R-Q029-C02</x:v>
      </x:c>
      <x:c r="B285" s="64" t="str">
        <x:v>V6-E-000538-C02</x:v>
      </x:c>
      <x:c r="C285" s="64" t="str">
        <x:v>V6-Q029</x:v>
      </x:c>
      <x:c r="D285" s="40" t="str">
        <x:v>云南白药</x:v>
      </x:c>
      <x:c r="E285" s="64" t="str">
        <x:v>000538</x:v>
      </x:c>
      <x:c r="F285" s="87" t="n">
        <x:v>46260.75</x:v>
      </x:c>
      <x:c r="G285" s="51" t="str">
        <x:v>牙膏等健康品增长能否提升核心品牌利润贡献</x:v>
      </x:c>
      <x:c r="H285" s="64" t="str">
        <x:v>DOC-EVT-000538-00188</x:v>
      </x:c>
      <x:c r="I285" s="51" t="str">
        <x:v>关于2026年利用闲置自有资金开展投资理财的公告</x:v>
      </x:c>
      <x:c r="J285" s="87" t="n">
        <x:v>46022.78787037037</x:v>
      </x:c>
      <x:c r="K285" s="73" t="str">
        <x:v>http://static.cninfo.com.cn/finalpage/2025-12-31/1224913540.PDF</x:v>
      </x:c>
      <x:c r="L285" s="40" t="str">
        <x:v>第1页</x:v>
      </x:c>
      <x:c r="M285" s="51" t="str">
        <x:v>1 / 3 股票代码：000538 股票简称：云南白药 公告编号：2025-53 云南白药集团股份有限公司 关于2026 年利用闲置自有资金开展投资理财的公告 本公司及董事会全体成员保证信息披露内容的真实、准确、完整，没有虚 假记载、误导性陈述或重大遗漏。 云南白药集团股份有限公司（以下简称“公司”）第十一届董事会 2025 年第二次会议（以下简称“会议”）于2025 年12 月31 日以通讯表决方式召 开，会议审议通过了《关于2026年利用闲置自有资金开展投资理财的议案》。 具体情况如下： 一、投资情况概述 为确保资金安全及保持合理的流动性，并充分满足公司日常经营和战略 投资的资金需求，同时兼顾公司自有闲置资金收益水平，为公司和股东争取 投资回报，公司拟对2026年理财投资范围、额度等进行合理预计，具体如下： （一）资金来源：公司闲置自有资金。 （二）投资范围： 1、银行的存款类产品，包括大额存单、通知存款、协定存款等。 2、各大金融机构的理财产品，包括银行及其理财子公司、券商、基金 公司等。 3、结构性存款、保本收益凭证、货币市场基金、国债逆回购及债券、 债券型基金/资管计划。 4、其它经董事会批准的理财对象及理财方式。</x:v>
      </x:c>
      <x:c r="N285" s="41" t="str">
        <x:v>0-无关</x:v>
      </x:c>
      <x:c r="O285" s="41" t="str">
        <x:v>否</x:v>
      </x:c>
      <x:c r="P285" s="57" t="str">
        <x:v>公告拟用闲置资金配置存款、理财、债券和基金等投资资产；内容与健康品增长与品牌盈利缺少业务传导，未提供牙膏等健康品收入增长和核心品牌利润贡献，不能支持当前判断。</x:v>
      </x:c>
      <x:c r="Q285" s="41" t="str">
        <x:v>B-CODEX-FIN-01</x:v>
      </x:c>
      <x:c r="R285" s="80" t="inlineStr">
        <x:is>
          <x:t>2026-08-30T13:30:00+08:00</x:t>
        </x:is>
      </x:c>
    </x:row>
    <x:row r="286" ht="72" customHeight="1">
      <x:c r="A286" s="64" t="str">
        <x:v>V6-R-Q029-C03</x:v>
      </x:c>
      <x:c r="B286" s="64" t="str">
        <x:v>V6-E-000538-C03</x:v>
      </x:c>
      <x:c r="C286" s="64" t="str">
        <x:v>V6-Q029</x:v>
      </x:c>
      <x:c r="D286" s="40" t="str">
        <x:v>云南白药</x:v>
      </x:c>
      <x:c r="E286" s="64" t="str">
        <x:v>000538</x:v>
      </x:c>
      <x:c r="F286" s="87" t="n">
        <x:v>46260.75</x:v>
      </x:c>
      <x:c r="G286" s="51" t="str">
        <x:v>牙膏等健康品增长能否提升核心品牌利润贡献</x:v>
      </x:c>
      <x:c r="H286" s="64" t="str">
        <x:v>DOC-EVT-000538-00067</x:v>
      </x:c>
      <x:c r="I286" s="51" t="str">
        <x:v>云南白药集团股份有限公司投资理财管理制度（2024年8月）</x:v>
      </x:c>
      <x:c r="J286" s="87" t="n">
        <x:v>45531</x:v>
      </x:c>
      <x:c r="K286" s="73" t="str">
        <x:v>http://static.cninfo.com.cn/finalpage/2024-08-27/1220987155.PDF</x:v>
      </x:c>
      <x:c r="L286" s="40" t="str">
        <x:v>第1页</x:v>
      </x:c>
      <x:c r="M286" s="51" t="str">
        <x:v>1 / 6 云南白药集团股份有限公司 投资理财管理制度 第一章 总则 第一条 目的 为规范云南白药集团股份有限公司（以下简称“公司”）的投资 理财管理，提高资金运作效率，防范投资理财决策和执行过程中的相 关风险，提升公司经济效益，根据财政部颁布的《企业内部控制基本 规范》及配套指引等有关法律法规，结合公司实际情况，特制定本制 度。 第二条 适用范围 本制度适用于公司及下属各子公司、分公司的投资理财管理。未 经集团授权许可，分子公司不得开展委托理财业务。 第三条 定义 本制度所称投资理财是指公司以提高资金使用效率和收益水平为 目标，对自有闲置资金通过利用银行存款产品、金融机构理财及其他 投资和理财工具进行的现金运作和管理，在确保安全性、流动性的基 础上实现闲置资金保值增值的过程。 第四条 原则 （一）投资理财管理应以安全性为首要原则，在确保资金安全可 控以及合理的资金流动性的前提下，并遵循规范程序，对投资产品作 充分评估后再进行运作，不片面追求高收益。 （二）在确定投资理财的运作方式及投资期限时，应考虑适度分 散原则，并与资金计划相匹配，避免投资过于集中而加大市场风险和 流动性风险。</x:v>
      </x:c>
      <x:c r="N286" s="41" t="str">
        <x:v>0-无关</x:v>
      </x:c>
      <x:c r="O286" s="41" t="str">
        <x:v>否</x:v>
      </x:c>
      <x:c r="P286" s="57" t="str">
        <x:v>制度要求定期报告投资资产质量、盈亏和风险监控；内容与健康品增长与品牌盈利缺少业务传导，未提供牙膏等健康品收入增长和核心品牌利润贡献，不能支持当前判断。</x:v>
      </x:c>
      <x:c r="Q286" s="41" t="str">
        <x:v>B-CODEX-FIN-01</x:v>
      </x:c>
      <x:c r="R286" s="80" t="inlineStr">
        <x:is>
          <x:t>2026-08-30T13:30:00+08:00</x:t>
        </x:is>
      </x:c>
    </x:row>
    <x:row r="287" ht="72" customHeight="1">
      <x:c r="A287" s="64" t="str">
        <x:v>V6-R-Q029-C08</x:v>
      </x:c>
      <x:c r="B287" s="64" t="str">
        <x:v>V6-E-000538-C08</x:v>
      </x:c>
      <x:c r="C287" s="64" t="str">
        <x:v>V6-Q029</x:v>
      </x:c>
      <x:c r="D287" s="40" t="str">
        <x:v>云南白药</x:v>
      </x:c>
      <x:c r="E287" s="64" t="str">
        <x:v>000538</x:v>
      </x:c>
      <x:c r="F287" s="87" t="n">
        <x:v>46260.75</x:v>
      </x:c>
      <x:c r="G287" s="51" t="str">
        <x:v>牙膏等健康品增长能否提升核心品牌利润贡献</x:v>
      </x:c>
      <x:c r="H287" s="64" t="str">
        <x:v>DOC-EVT-000538-00157</x:v>
      </x:c>
      <x:c r="I287" s="51" t="str">
        <x:v>关于持股5％以上股东非公开发行可交换公司债券发行完成的公告</x:v>
      </x:c>
      <x:c r="J287" s="87" t="n">
        <x:v>45954</x:v>
      </x:c>
      <x:c r="K287" s="73" t="str">
        <x:v>http://static.cninfo.com.cn/finalpage/2025-10-24/1224728702.PDF</x:v>
      </x:c>
      <x:c r="L287" s="40" t="str">
        <x:v>第1页</x:v>
      </x:c>
      <x:c r="M287" s="51" t="str">
        <x:v>1 / 2 股票代码：000538 股票简称：云南白药 公告编号：2025-35 云南白药集团股份有限公司 关于持股 5％以上股东非公开发行可交换公司债券发行 完成的公告 本公司及董事会全体成员保证信息披露内容的真实、准确、完整，没有虚 假记载、误导性陈述或重大遗漏。 云南白药集团股份有限公司（以下简称“公司”或“云南白药”）持股 5%以上股东新华都实业集团股份有限公司（以下简称“新华都”）拟以其 持有的部分公司A 股股票为标的非公开发行可交换公司债券（以下简称“本 次可交换债券”），并已取得深圳证券交易所出具的《关于新华都实业集团 股份有限公司非公开发行可交换公司债券符合深交所挂牌条件的无异议函》 （深证函〔2025〕881 号），发行规模不超过20 亿元人民币。新华都将持有 的云南白药56,000,000股无限售流通股划转至在中国证券登记结算有限责任 公司深圳分公司开立的“新华都集团-国信证券-25 新华都EB01 担保及信托 财产专户”，由本期债券受托管理人国信证券股份有限公司（以下简称“国 信证券”）作为名义持有人，并以“新华都集团-国信证券-25 新华都 EB01 担保及信托财产专户”作为证券持有人登记在公司证券持有人名册上，用于 为本期可交换公司债券持有人交换股票和本期债券本息偿付提供担保。上述 事项详见公司于2025 年9 月 23 日披露的《关于持股5％以上股东拟非公开 发行可交换公司债券及拟对其持有的部分股票办理担保及信托登记的公告》</x:v>
      </x:c>
      <x:c r="N287" s="41" t="str">
        <x:v>0-无关</x:v>
      </x:c>
      <x:c r="O287" s="41" t="str">
        <x:v>否</x:v>
      </x:c>
      <x:c r="P287" s="57" t="str">
        <x:v>公告仅涉及主要股东发行可交换债券；内容与健康品增长与品牌盈利缺少业务传导，未提供牙膏等健康品收入增长和核心品牌利润贡献，不能支持当前判断。</x:v>
      </x:c>
      <x:c r="Q287" s="41" t="str">
        <x:v>B-CODEX-FIN-01</x:v>
      </x:c>
      <x:c r="R287" s="80" t="inlineStr">
        <x:is>
          <x:t>2026-08-30T13:30:00+08:00</x:t>
        </x:is>
      </x:c>
    </x:row>
    <x:row r="288" ht="72" customHeight="1">
      <x:c r="A288" s="64" t="str">
        <x:v>V6-R-Q029-C04</x:v>
      </x:c>
      <x:c r="B288" s="64" t="str">
        <x:v>V6-E-000538-C04</x:v>
      </x:c>
      <x:c r="C288" s="64" t="str">
        <x:v>V6-Q029</x:v>
      </x:c>
      <x:c r="D288" s="40" t="str">
        <x:v>云南白药</x:v>
      </x:c>
      <x:c r="E288" s="64" t="str">
        <x:v>000538</x:v>
      </x:c>
      <x:c r="F288" s="87" t="n">
        <x:v>46260.75</x:v>
      </x:c>
      <x:c r="G288" s="51" t="str">
        <x:v>牙膏等健康品增长能否提升核心品牌利润贡献</x:v>
      </x:c>
      <x:c r="H288" s="64" t="str">
        <x:v>DOC-EVT-000538-00131</x:v>
      </x:c>
      <x:c r="I288" s="51" t="str">
        <x:v>2024年年度报告（英文版）</x:v>
      </x:c>
      <x:c r="J288" s="87" t="n">
        <x:v>45770</x:v>
      </x:c>
      <x:c r="K288" s="73" t="str">
        <x:v>http://static.cninfo.com.cn/finalpage/2025-04-23/1223214596.PDF</x:v>
      </x:c>
      <x:c r="L288" s="40" t="str">
        <x:v>第2页</x:v>
      </x:c>
      <x:c r="M288" s="51" t="str">
        <x:v>y special attention to “XI. Outlook of the Company” in the “Section III Management Discussion and Analysis.” This part does not constitute our substantial commitments to investors. Investors are advised to pay attention to investment risks. The profit distribution plan considered and approved by the Board of Directors is as follows: Based on the total share capital of the Company of 1,784,262,603 shares at the end of 2024, a cash dividend of RMB 11.85 (tax inclusive) for every 10 shares will be paid to all shareholders, with no bonus shares issued (tax inclusive), and no capital reserve to increase the share capital. At the same time, the…</x:v>
      </x:c>
      <x:c r="N288" s="41" t="str">
        <x:v>1-弱相关</x:v>
      </x:c>
      <x:c r="O288" s="41" t="str">
        <x:v>否</x:v>
      </x:c>
      <x:c r="P288" s="57" t="str">
        <x:v>英文年报摘录仅披露分红方案和风险提示；虽与健康品增长与品牌盈利主题相近，但未提供牙膏等健康品收入增长和核心品牌利润贡献，不足以建立可靠传导链。</x:v>
      </x:c>
      <x:c r="Q288" s="41" t="str">
        <x:v>B-CODEX-FIN-01</x:v>
      </x:c>
      <x:c r="R288" s="80" t="inlineStr">
        <x:is>
          <x:t>2026-08-30T13:30:00+08:00</x:t>
        </x:is>
      </x:c>
    </x:row>
    <x:row r="289" ht="72" customHeight="1">
      <x:c r="A289" s="64" t="str">
        <x:v>V6-R-Q029-C06</x:v>
      </x:c>
      <x:c r="B289" s="64" t="str">
        <x:v>V6-E-000538-C06</x:v>
      </x:c>
      <x:c r="C289" s="64" t="str">
        <x:v>V6-Q029</x:v>
      </x:c>
      <x:c r="D289" s="40" t="str">
        <x:v>云南白药</x:v>
      </x:c>
      <x:c r="E289" s="64" t="str">
        <x:v>000538</x:v>
      </x:c>
      <x:c r="F289" s="87" t="n">
        <x:v>46260.75</x:v>
      </x:c>
      <x:c r="G289" s="51" t="str">
        <x:v>牙膏等健康品增长能否提升核心品牌利润贡献</x:v>
      </x:c>
      <x:c r="H289" s="64" t="str">
        <x:v>DOC-EVT-000538-00179</x:v>
      </x:c>
      <x:c r="I289" s="51" t="str">
        <x:v>2025年三季度报告</x:v>
      </x:c>
      <x:c r="J289" s="87" t="n">
        <x:v>45961</x:v>
      </x:c>
      <x:c r="K289" s="73" t="str">
        <x:v>http://static.cninfo.com.cn/finalpage/2025-10-31/1224773417.PDF</x:v>
      </x:c>
      <x:c r="L289" s="40" t="str">
        <x:v>第3页</x:v>
      </x:c>
      <x:c r="M289" s="51" t="str">
        <x:v>云南白药集团股份有限公司 2025 年第三季度报告 2 一、主要财务数据 （一） 主要会计数据和财务指标 公司是否需追溯调整或重述以前年度会计数据 □是 否 本报告期 本报告期比上年同 期增减 年初至报告期末 年初至报告期末比上 年同期增减 营业收入（元） 9,397,111,312.99 -0.66% 30,654,214,209.01 2.47% 归属于上市公司股东的净利润 （元） 1,144,208,354.35 0.55% 4,777,119,657.47 10.41% 归属于上市公司股东的扣除非 经常性损益的净利润（元） 1,089,023,837.43 -3.61% 4,549,939,286.91 6.68% 经营活动产生的现金流量净额 （元） — — 4,455,969,511.54 9.40% 基本每股收益（元/股） 0.64 1.59% 2.68 10.74% 稀释每股收益（元/股） 0.64 1.59% 2.68 10.74% 加权平均净资产收益率 2.80% -0.04% 11.92% 增加 1.10 个百分点 本报告期末 上年度末 本报告期末比上年度末增减 总资产（元） 53,343,484,721.39 52,914,181,333.05 0.81% 归属于上市公司股东的所有者 权益（元） 39,733,402,690.02 38,831,946,424.51 2.32% 注：2025年前三季度，公司工业收入115.82亿元，较上年同期增长9.…</x:v>
      </x:c>
      <x:c r="N289" s="41" t="str">
        <x:v>2-间接相关</x:v>
      </x:c>
      <x:c r="O289" s="41" t="str">
        <x:v>是</x:v>
      </x:c>
      <x:c r="P289" s="57" t="str">
        <x:v>三季报披露工业收入、净利润、扣非利润及经营现金流增长；该事实可通过工业或健康品收入增长向核心品牌利润传导，间接验证牙膏等健康品收入增长和核心品牌利润贡献，关系清晰且可复核。</x:v>
      </x:c>
      <x:c r="Q289" s="41" t="str">
        <x:v>B-CODEX-FIN-01</x:v>
      </x:c>
      <x:c r="R289" s="80" t="inlineStr">
        <x:is>
          <x:t>2026-08-30T13:30:00+08:00</x:t>
        </x:is>
      </x:c>
    </x:row>
    <x:row r="290" ht="72" customHeight="1">
      <x:c r="A290" s="64" t="str">
        <x:v>V6-R-Q029-C01</x:v>
      </x:c>
      <x:c r="B290" s="64" t="str">
        <x:v>V6-E-000538-C01</x:v>
      </x:c>
      <x:c r="C290" s="64" t="str">
        <x:v>V6-Q029</x:v>
      </x:c>
      <x:c r="D290" s="40" t="str">
        <x:v>云南白药</x:v>
      </x:c>
      <x:c r="E290" s="64" t="str">
        <x:v>000538</x:v>
      </x:c>
      <x:c r="F290" s="87" t="n">
        <x:v>46260.75</x:v>
      </x:c>
      <x:c r="G290" s="51" t="str">
        <x:v>牙膏等健康品增长能否提升核心品牌利润贡献</x:v>
      </x:c>
      <x:c r="H290" s="64" t="str">
        <x:v>DOC-EVT-000538-00210</x:v>
      </x:c>
      <x:c r="I290" s="51" t="str">
        <x:v>非经营性资金占用及其他关联资金往来情况汇总表</x:v>
      </x:c>
      <x:c r="J290" s="87" t="n">
        <x:v>46113</x:v>
      </x:c>
      <x:c r="K290" s="73" t="str">
        <x:v>http://static.cninfo.com.cn/finalpage/2026-04-01/1225067979.PDF</x:v>
      </x:c>
      <x:c r="L290" s="40" t="str">
        <x:v>第1页</x:v>
      </x:c>
      <x:c r="M290" s="51" t="str">
        <x:v>149.17 代垫款项 非经营性往来 云南省凤庆茶厂有限公司 子公司的子公司 其他应收款 43.25 411.00 454.25 - 代垫款项 非经营性往来 杭州山七健康产业有限公司 子公司的子公司 其他应收款 100.19 905.60 771.85 233.94 代垫款项 非经营性往来 昆明云臻医疗科技有限公司 子公司的子公司 其他应收款 766.42 1,009.04 1,035.18 740.28 代垫款项 非经营性往来 云南白药集团丽江药业有限公司 子公司的子公司 其他应收款 1.65 4,472.80 4,474.45 代垫款项 非经营性往来 陕西智云问枢健康服务有限公司 子公司的子公司 其他应收款 71.22 62.75 8.47 代垫款项 非经营性往来 非经营性资金占用及其他关联资金往来情况汇总表 2025年度 非经营性资金占用 其它关联资金往来 资金占用方名称 资金往来方名称 占用方与上市公司的关联 关系 往来方与上市公司的关联 关系 上市公司核算的会 计科目 上市公司核算的会 计科目 2025年期初 占用资金余额 2025年期初 往来资金余额 2025年度占用累 计发生金额 （不含利息） 2025年度往来累 计发生金额 （不含利息） 2025年度占 用资金的利 息 （如有） 2025年度往 来资金的利 息 （如有） 占用形成原因 往来形成原因 占用性质 往来性质（经营性往 来、 非经营性往来 ） 2025年度偿还累计发生金额 2025年度偿还累计发生金额…</x:v>
      </x:c>
      <x:c r="N290" s="41" t="str">
        <x:v>0-无关</x:v>
      </x:c>
      <x:c r="O290" s="41" t="str">
        <x:v>否</x:v>
      </x:c>
      <x:c r="P290" s="57" t="str">
        <x:v>汇总表披露子公司其他应收款和非经营性往来余额变化；内容与健康品增长与品牌盈利缺少业务传导，未提供牙膏等健康品收入增长和核心品牌利润贡献，不能支持当前判断。</x:v>
      </x:c>
      <x:c r="Q290" s="41" t="str">
        <x:v>B-CODEX-FIN-01</x:v>
      </x:c>
      <x:c r="R290" s="80" t="inlineStr">
        <x:is>
          <x:t>2026-08-30T13:30:00+08:00</x:t>
        </x:is>
      </x:c>
    </x:row>
    <x:row r="291" ht="72" customHeight="1">
      <x:c r="A291" s="64" t="str">
        <x:v>V6-R-Q029-C07</x:v>
      </x:c>
      <x:c r="B291" s="64" t="str">
        <x:v>V6-E-000538-C07</x:v>
      </x:c>
      <x:c r="C291" s="64" t="str">
        <x:v>V6-Q029</x:v>
      </x:c>
      <x:c r="D291" s="40" t="str">
        <x:v>云南白药</x:v>
      </x:c>
      <x:c r="E291" s="64" t="str">
        <x:v>000538</x:v>
      </x:c>
      <x:c r="F291" s="87" t="n">
        <x:v>46260.75</x:v>
      </x:c>
      <x:c r="G291" s="51" t="str">
        <x:v>牙膏等健康品增长能否提升核心品牌利润贡献</x:v>
      </x:c>
      <x:c r="H291" s="64" t="str">
        <x:v>DOC-EVT-000538-00047</x:v>
      </x:c>
      <x:c r="I291" s="51" t="str">
        <x:v>2024年一季度报告</x:v>
      </x:c>
      <x:c r="J291" s="87" t="n">
        <x:v>45409</x:v>
      </x:c>
      <x:c r="K291" s="73" t="str">
        <x:v>http://static.cninfo.com.cn/finalpage/2024-04-27/1219860291.PDF</x:v>
      </x:c>
      <x:c r="L291" s="40" t="str">
        <x:v>第3页</x:v>
      </x:c>
      <x:c r="M291" s="51" t="str">
        <x:v>云南白药集团股份有限公司 2024 年第一季度报告 2 一、主要财务数据 （一） 主要会计数据和财务指标 公司是否需追溯调整或重述以前年度会计数据 □是 否 本报告期 上年同期 本报告期比上年同期增减（%） 营业收入（元） 10,774,290,921.49 10,512,750,996.14 2.49% 归属于上市公司股东的净利润（元） 1,701,931,446.00 1,517,988,356.56 12.12% 归属于上市公司股东的扣除非经常性损 益的净利润（元） 1,690,411,601.12 1,402,680,418.31 20.51% 经营活动产生的现金流量净额（元） 527,059,804.98 733,744,202.46 -28.17% 基本每股收益（元/股） 0.95 0.85 11.76% 稀释每股收益（元/股） 0.95 0.85 11.76% 加权平均净资产收益率 4.18% 3.87% 增加 0.31 个百分点 本报告期末 上年度末 本报告期末比上年度末增减（%） 总资产（元） 56,874,351,095.19 53,784,293,183.93 5.75% 归属于上市公司股东的所有者权益 （元） 41,580,117,445.10 39,879,122,031.51 4.27% 截止披露前一交易日的公司总股本： 截止披露前一交易日的公司总股本（股） 1,784,262,603.00 用最新股本计算的全面摊薄每股收益： 支付的优先股股利…</x:v>
      </x:c>
      <x:c r="N291" s="41" t="str">
        <x:v>1-弱相关</x:v>
      </x:c>
      <x:c r="O291" s="41" t="str">
        <x:v>否</x:v>
      </x:c>
      <x:c r="P291" s="57" t="str">
        <x:v>一季报披露净利润、扣非净利润及经营现金流同比下降28.17%；虽与健康品增长与品牌盈利主题相近，但未提供牙膏等健康品收入增长和核心品牌利润贡献，不足以建立可靠传导链。</x:v>
      </x:c>
      <x:c r="Q291" s="41" t="str">
        <x:v>B-CODEX-FIN-01</x:v>
      </x:c>
      <x:c r="R291" s="80" t="inlineStr">
        <x:is>
          <x:t>2026-08-30T13:30:00+08:00</x:t>
        </x:is>
      </x:c>
    </x:row>
    <x:row r="292" ht="72" customHeight="1">
      <x:c r="A292" s="64" t="str">
        <x:v>V6-R-Q030-C08</x:v>
      </x:c>
      <x:c r="B292" s="64" t="str">
        <x:v>V6-E-000538-C08</x:v>
      </x:c>
      <x:c r="C292" s="64" t="str">
        <x:v>V6-Q030</x:v>
      </x:c>
      <x:c r="D292" s="40" t="str">
        <x:v>云南白药</x:v>
      </x:c>
      <x:c r="E292" s="64" t="str">
        <x:v>000538</x:v>
      </x:c>
      <x:c r="F292" s="87" t="n">
        <x:v>46260.75</x:v>
      </x:c>
      <x:c r="G292" s="51" t="str">
        <x:v>投资资产处置与公允价值波动是否影响扣非盈利稳定性</x:v>
      </x:c>
      <x:c r="H292" s="64" t="str">
        <x:v>DOC-EVT-000538-00157</x:v>
      </x:c>
      <x:c r="I292" s="51" t="str">
        <x:v>关于持股5％以上股东非公开发行可交换公司债券发行完成的公告</x:v>
      </x:c>
      <x:c r="J292" s="87" t="n">
        <x:v>45954</x:v>
      </x:c>
      <x:c r="K292" s="73" t="str">
        <x:v>http://static.cninfo.com.cn/finalpage/2025-10-24/1224728702.PDF</x:v>
      </x:c>
      <x:c r="L292" s="40" t="str">
        <x:v>第1页</x:v>
      </x:c>
      <x:c r="M292" s="51" t="str">
        <x:v>1 / 2 股票代码：000538 股票简称：云南白药 公告编号：2025-35 云南白药集团股份有限公司 关于持股 5％以上股东非公开发行可交换公司债券发行 完成的公告 本公司及董事会全体成员保证信息披露内容的真实、准确、完整，没有虚 假记载、误导性陈述或重大遗漏。 云南白药集团股份有限公司（以下简称“公司”或“云南白药”）持股 5%以上股东新华都实业集团股份有限公司（以下简称“新华都”）拟以其 持有的部分公司A 股股票为标的非公开发行可交换公司债券（以下简称“本 次可交换债券”），并已取得深圳证券交易所出具的《关于新华都实业集团 股份有限公司非公开发行可交换公司债券符合深交所挂牌条件的无异议函》 （深证函〔2025〕881 号），发行规模不超过20 亿元人民币。新华都将持有 的云南白药56,000,000股无限售流通股划转至在中国证券登记结算有限责任 公司深圳分公司开立的“新华都集团-国信证券-25 新华都EB01 担保及信托 财产专户”，由本期债券受托管理人国信证券股份有限公司（以下简称“国 信证券”）作为名义持有人，并以“新华都集团-国信证券-25 新华都 EB01 担保及信托财产专户”作为证券持有人登记在公司证券持有人名册上，用于 为本期可交换公司债券持有人交换股票和本期债券本息偿付提供担保。上述 事项详见公司于2025 年9 月 23 日披露的《关于持股5％以上股东拟非公开 发行可交换公司债券及拟对其持有的部分股票办理担保及信托登记的公告》</x:v>
      </x:c>
      <x:c r="N292" s="41" t="str">
        <x:v>0-无关</x:v>
      </x:c>
      <x:c r="O292" s="41" t="str">
        <x:v>否</x:v>
      </x:c>
      <x:c r="P292" s="57" t="str">
        <x:v>公告仅涉及主要股东发行可交换债券；内容与投资收益和扣非盈利缺少业务传导，未提供投资资产处置、公允价值变动和扣非利润稳定性，不能支持当前判断。</x:v>
      </x:c>
      <x:c r="Q292" s="41" t="str">
        <x:v>B-CODEX-FIN-01</x:v>
      </x:c>
      <x:c r="R292" s="80" t="inlineStr">
        <x:is>
          <x:t>2026-08-30T13:30:00+08:00</x:t>
        </x:is>
      </x:c>
    </x:row>
    <x:row r="293" ht="72" customHeight="1">
      <x:c r="A293" s="64" t="str">
        <x:v>V6-R-Q030-C09</x:v>
      </x:c>
      <x:c r="B293" s="64" t="str">
        <x:v>V6-E-000538-C09</x:v>
      </x:c>
      <x:c r="C293" s="64" t="str">
        <x:v>V6-Q030</x:v>
      </x:c>
      <x:c r="D293" s="40" t="str">
        <x:v>云南白药</x:v>
      </x:c>
      <x:c r="E293" s="64" t="str">
        <x:v>000538</x:v>
      </x:c>
      <x:c r="F293" s="87" t="n">
        <x:v>46260.75</x:v>
      </x:c>
      <x:c r="G293" s="51" t="str">
        <x:v>投资资产处置与公允价值波动是否影响扣非盈利稳定性</x:v>
      </x:c>
      <x:c r="H293" s="64" t="str">
        <x:v>DOC-EVT-000538-00232</x:v>
      </x:c>
      <x:c r="I293" s="51" t="str">
        <x:v>关于持股5％以上股东非公开发行可交换公司债券换股价格调整的提示性公告</x:v>
      </x:c>
      <x:c r="J293" s="87" t="n">
        <x:v>46140</x:v>
      </x:c>
      <x:c r="K293" s="73" t="str">
        <x:v>http://static.cninfo.com.cn/finalpage/2026-04-28/1225202736.PDF</x:v>
      </x:c>
      <x:c r="L293" s="40" t="str">
        <x:v>第1页</x:v>
      </x:c>
      <x:c r="M293" s="51" t="str">
        <x:v>1 / 3 股票代码：000538 股票简称：云南白药 公告编号：2026-17 云南白药集团股份有限公司 关于持股5％以上股东非公开发行可交换公司债券 换股价格调整的提示性公告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月27 日收到持股5%以上股东新华都实业集团股份有限公司（以 下简称“新华都”）的书面通知，新华都实业集团股份有限公司2025 年面 向专业投资者非公开发行可交换公司债券（以下简称“本期债券”）的换 股价格将进行调整，现将相关信息公告如下： 一、本期债券的基本信息及换股价格调整情况 债券名称：新华都实业集团股份有限公司2025 年面向专业投资者非公 开发行可交换公司债券 债券简称：25 新华都EB01 债券代码：117241.SZ 发行总额：20 亿元 期限：3 年 标的股票简称：云南白药 标的股票代码：000538.SZ</x:v>
      </x:c>
      <x:c r="N293" s="41" t="str">
        <x:v>0-无关</x:v>
      </x:c>
      <x:c r="O293" s="41" t="str">
        <x:v>否</x:v>
      </x:c>
      <x:c r="P293" s="57" t="str">
        <x:v>公告仅调整主要股东可交换债券换股价格；内容与投资收益和扣非盈利缺少业务传导，未提供投资资产处置、公允价值变动和扣非利润稳定性，不能支持当前判断。</x:v>
      </x:c>
      <x:c r="Q293" s="41" t="str">
        <x:v>B-CODEX-FIN-01</x:v>
      </x:c>
      <x:c r="R293" s="80" t="inlineStr">
        <x:is>
          <x:t>2026-08-30T13:30:00+08:00</x:t>
        </x:is>
      </x:c>
    </x:row>
    <x:row r="294" ht="72" customHeight="1">
      <x:c r="A294" s="64" t="str">
        <x:v>V6-R-Q030-C01</x:v>
      </x:c>
      <x:c r="B294" s="64" t="str">
        <x:v>V6-E-000538-C01</x:v>
      </x:c>
      <x:c r="C294" s="64" t="str">
        <x:v>V6-Q030</x:v>
      </x:c>
      <x:c r="D294" s="40" t="str">
        <x:v>云南白药</x:v>
      </x:c>
      <x:c r="E294" s="64" t="str">
        <x:v>000538</x:v>
      </x:c>
      <x:c r="F294" s="87" t="n">
        <x:v>46260.75</x:v>
      </x:c>
      <x:c r="G294" s="51" t="str">
        <x:v>投资资产处置与公允价值波动是否影响扣非盈利稳定性</x:v>
      </x:c>
      <x:c r="H294" s="64" t="str">
        <x:v>DOC-EVT-000538-00210</x:v>
      </x:c>
      <x:c r="I294" s="51" t="str">
        <x:v>非经营性资金占用及其他关联资金往来情况汇总表</x:v>
      </x:c>
      <x:c r="J294" s="87" t="n">
        <x:v>46113</x:v>
      </x:c>
      <x:c r="K294" s="73" t="str">
        <x:v>http://static.cninfo.com.cn/finalpage/2026-04-01/1225067979.PDF</x:v>
      </x:c>
      <x:c r="L294" s="40" t="str">
        <x:v>第1页</x:v>
      </x:c>
      <x:c r="M294" s="51" t="str">
        <x:v>149.17 代垫款项 非经营性往来 云南省凤庆茶厂有限公司 子公司的子公司 其他应收款 43.25 411.00 454.25 - 代垫款项 非经营性往来 杭州山七健康产业有限公司 子公司的子公司 其他应收款 100.19 905.60 771.85 233.94 代垫款项 非经营性往来 昆明云臻医疗科技有限公司 子公司的子公司 其他应收款 766.42 1,009.04 1,035.18 740.28 代垫款项 非经营性往来 云南白药集团丽江药业有限公司 子公司的子公司 其他应收款 1.65 4,472.80 4,474.45 代垫款项 非经营性往来 陕西智云问枢健康服务有限公司 子公司的子公司 其他应收款 71.22 62.75 8.47 代垫款项 非经营性往来 非经营性资金占用及其他关联资金往来情况汇总表 2025年度 非经营性资金占用 其它关联资金往来 资金占用方名称 资金往来方名称 占用方与上市公司的关联 关系 往来方与上市公司的关联 关系 上市公司核算的会 计科目 上市公司核算的会 计科目 2025年期初 占用资金余额 2025年期初 往来资金余额 2025年度占用累 计发生金额 （不含利息） 2025年度往来累 计发生金额 （不含利息） 2025年度占 用资金的利 息 （如有） 2025年度往 来资金的利 息 （如有） 占用形成原因 往来形成原因 占用性质 往来性质（经营性往 来、 非经营性往来 ） 2025年度偿还累计发生金额 2025年度偿还累计发生金额…</x:v>
      </x:c>
      <x:c r="N294" s="41" t="str">
        <x:v>0-无关</x:v>
      </x:c>
      <x:c r="O294" s="41" t="str">
        <x:v>否</x:v>
      </x:c>
      <x:c r="P294" s="57" t="str">
        <x:v>汇总表披露子公司其他应收款和非经营性往来余额变化；内容与投资收益和扣非盈利缺少业务传导，未提供投资资产处置、公允价值变动和扣非利润稳定性，不能支持当前判断。</x:v>
      </x:c>
      <x:c r="Q294" s="41" t="str">
        <x:v>B-CODEX-FIN-01</x:v>
      </x:c>
      <x:c r="R294" s="80" t="inlineStr">
        <x:is>
          <x:t>2026-08-30T13:30:00+08:00</x:t>
        </x:is>
      </x:c>
    </x:row>
    <x:row r="295" ht="72" customHeight="1">
      <x:c r="A295" s="64" t="str">
        <x:v>V6-R-Q030-C04</x:v>
      </x:c>
      <x:c r="B295" s="64" t="str">
        <x:v>V6-E-000538-C04</x:v>
      </x:c>
      <x:c r="C295" s="64" t="str">
        <x:v>V6-Q030</x:v>
      </x:c>
      <x:c r="D295" s="40" t="str">
        <x:v>云南白药</x:v>
      </x:c>
      <x:c r="E295" s="64" t="str">
        <x:v>000538</x:v>
      </x:c>
      <x:c r="F295" s="87" t="n">
        <x:v>46260.75</x:v>
      </x:c>
      <x:c r="G295" s="51" t="str">
        <x:v>投资资产处置与公允价值波动是否影响扣非盈利稳定性</x:v>
      </x:c>
      <x:c r="H295" s="64" t="str">
        <x:v>DOC-EVT-000538-00131</x:v>
      </x:c>
      <x:c r="I295" s="51" t="str">
        <x:v>2024年年度报告（英文版）</x:v>
      </x:c>
      <x:c r="J295" s="87" t="n">
        <x:v>45770</x:v>
      </x:c>
      <x:c r="K295" s="73" t="str">
        <x:v>http://static.cninfo.com.cn/finalpage/2025-04-23/1223214596.PDF</x:v>
      </x:c>
      <x:c r="L295" s="40" t="str">
        <x:v>第2页</x:v>
      </x:c>
      <x:c r="M295" s="51" t="str">
        <x:v>y special attention to “XI. Outlook of the Company” in the “Section III Management Discussion and Analysis.” This part does not constitute our substantial commitments to investors. Investors are advised to pay attention to investment risks. The profit distribution plan considered and approved by the Board of Directors is as follows: Based on the total share capital of the Company of 1,784,262,603 shares at the end of 2024, a cash dividend of RMB 11.85 (tax inclusive) for every 10 shares will be paid to all shareholders, with no bonus shares issued (tax inclusive), and no capital reserve to increase the share capital. At the same time, the…</x:v>
      </x:c>
      <x:c r="N295" s="41" t="str">
        <x:v>1-弱相关</x:v>
      </x:c>
      <x:c r="O295" s="41" t="str">
        <x:v>否</x:v>
      </x:c>
      <x:c r="P295" s="57" t="str">
        <x:v>英文年报摘录仅披露分红方案和风险提示；虽与投资收益和扣非盈利主题相近，但未提供投资资产处置、公允价值变动和扣非利润稳定性，不足以建立可靠传导链。</x:v>
      </x:c>
      <x:c r="Q295" s="41" t="str">
        <x:v>B-CODEX-FIN-01</x:v>
      </x:c>
      <x:c r="R295" s="80" t="inlineStr">
        <x:is>
          <x:t>2026-08-30T13:30:00+08:00</x:t>
        </x:is>
      </x:c>
    </x:row>
    <x:row r="296" ht="72" customHeight="1">
      <x:c r="A296" s="64" t="str">
        <x:v>V6-R-Q030-C02</x:v>
      </x:c>
      <x:c r="B296" s="64" t="str">
        <x:v>V6-E-000538-C02</x:v>
      </x:c>
      <x:c r="C296" s="64" t="str">
        <x:v>V6-Q030</x:v>
      </x:c>
      <x:c r="D296" s="40" t="str">
        <x:v>云南白药</x:v>
      </x:c>
      <x:c r="E296" s="64" t="str">
        <x:v>000538</x:v>
      </x:c>
      <x:c r="F296" s="87" t="n">
        <x:v>46260.75</x:v>
      </x:c>
      <x:c r="G296" s="51" t="str">
        <x:v>投资资产处置与公允价值波动是否影响扣非盈利稳定性</x:v>
      </x:c>
      <x:c r="H296" s="64" t="str">
        <x:v>DOC-EVT-000538-00188</x:v>
      </x:c>
      <x:c r="I296" s="51" t="str">
        <x:v>关于2026年利用闲置自有资金开展投资理财的公告</x:v>
      </x:c>
      <x:c r="J296" s="87" t="n">
        <x:v>46022.78787037037</x:v>
      </x:c>
      <x:c r="K296" s="73" t="str">
        <x:v>http://static.cninfo.com.cn/finalpage/2025-12-31/1224913540.PDF</x:v>
      </x:c>
      <x:c r="L296" s="40" t="str">
        <x:v>第1页</x:v>
      </x:c>
      <x:c r="M296" s="51" t="str">
        <x:v>1 / 3 股票代码：000538 股票简称：云南白药 公告编号：2025-53 云南白药集团股份有限公司 关于2026 年利用闲置自有资金开展投资理财的公告 本公司及董事会全体成员保证信息披露内容的真实、准确、完整，没有虚 假记载、误导性陈述或重大遗漏。 云南白药集团股份有限公司（以下简称“公司”）第十一届董事会 2025 年第二次会议（以下简称“会议”）于2025 年12 月31 日以通讯表决方式召 开，会议审议通过了《关于2026年利用闲置自有资金开展投资理财的议案》。 具体情况如下： 一、投资情况概述 为确保资金安全及保持合理的流动性，并充分满足公司日常经营和战略 投资的资金需求，同时兼顾公司自有闲置资金收益水平，为公司和股东争取 投资回报，公司拟对2026年理财投资范围、额度等进行合理预计，具体如下： （一）资金来源：公司闲置自有资金。 （二）投资范围： 1、银行的存款类产品，包括大额存单、通知存款、协定存款等。 2、各大金融机构的理财产品，包括银行及其理财子公司、券商、基金 公司等。 3、结构性存款、保本收益凭证、货币市场基金、国债逆回购及债券、 债券型基金/资管计划。 4、其它经董事会批准的理财对象及理财方式。</x:v>
      </x:c>
      <x:c r="N296" s="41" t="str">
        <x:v>2-间接相关</x:v>
      </x:c>
      <x:c r="O296" s="41" t="str">
        <x:v>是</x:v>
      </x:c>
      <x:c r="P296" s="57" t="str">
        <x:v>公告拟用闲置资金配置存款、理财、债券和基金等投资资产；该事实可通过投资资产盈亏向非经常损益及扣非差额传导，间接验证投资资产处置、公允价值变动和扣非利润稳定性，关系清晰且可复核。</x:v>
      </x:c>
      <x:c r="Q296" s="41" t="str">
        <x:v>B-CODEX-FIN-01</x:v>
      </x:c>
      <x:c r="R296" s="80" t="inlineStr">
        <x:is>
          <x:t>2026-08-30T13:30:00+08:00</x:t>
        </x:is>
      </x:c>
    </x:row>
    <x:row r="297" ht="72" customHeight="1">
      <x:c r="A297" s="64" t="str">
        <x:v>V6-R-Q030-C06</x:v>
      </x:c>
      <x:c r="B297" s="64" t="str">
        <x:v>V6-E-000538-C06</x:v>
      </x:c>
      <x:c r="C297" s="64" t="str">
        <x:v>V6-Q030</x:v>
      </x:c>
      <x:c r="D297" s="40" t="str">
        <x:v>云南白药</x:v>
      </x:c>
      <x:c r="E297" s="64" t="str">
        <x:v>000538</x:v>
      </x:c>
      <x:c r="F297" s="87" t="n">
        <x:v>46260.75</x:v>
      </x:c>
      <x:c r="G297" s="51" t="str">
        <x:v>投资资产处置与公允价值波动是否影响扣非盈利稳定性</x:v>
      </x:c>
      <x:c r="H297" s="64" t="str">
        <x:v>DOC-EVT-000538-00179</x:v>
      </x:c>
      <x:c r="I297" s="51" t="str">
        <x:v>2025年三季度报告</x:v>
      </x:c>
      <x:c r="J297" s="87" t="n">
        <x:v>45961</x:v>
      </x:c>
      <x:c r="K297" s="73" t="str">
        <x:v>http://static.cninfo.com.cn/finalpage/2025-10-31/1224773417.PDF</x:v>
      </x:c>
      <x:c r="L297" s="40" t="str">
        <x:v>第5页</x:v>
      </x:c>
      <x:c r="M297" s="51" t="str">
        <x:v>云南白药集团股份有限公司 2025 年第三季度报告 4 预计负债 22,242,422.01 12,726,280.09 74.78% 本期计提的应付退货款增加。 递延所得税负债 128,394,961.52 93,867,331.53 36.78% 主要是子公司所得税税率变动导致递延所得税负债增 加。 少数股东权益 84,470,920.59 34,138,137.76 147.44% 主要是报告期内非全资子公司实现盈利及非全资子公司 向少数股东配售股份。 财务费用 -39,030,091.52 -128,382,373.67 69.60% 主要是本期利息收入较上年同期减少。 投资收益（损失以“－” 号填列） 951,171,248.80 685,143,202.78 38.83% 主要构成为上海医药投资收益及处置的交易性金融资 产、其他非流动金融资产取得的投资收益。 公允价值变动收益（损失 以“－”号填列） 81,760,362.06 -18,774,131.35 535.49% 主要构成为公司持有的交易性金融资产、其他非流动金 融资产净值的变化。 信用减值损失（损失以 “-”号填列） -13,090,132.20 -130,560,162.10 89.97% 主要构成为商业板块计提的坏账准备。 资产减值损失（损失以 “-”号填列） -66,216,984.74 -14,007,824.42 -372.71% 主要构成为计提的存货跌价准备。 资产处置收益（损失以 “-”…</x:v>
      </x:c>
      <x:c r="N297" s="41" t="str">
        <x:v>2-间接相关</x:v>
      </x:c>
      <x:c r="O297" s="41" t="str">
        <x:v>是</x:v>
      </x:c>
      <x:c r="P297" s="57" t="str">
        <x:v>三季报披露工业收入、净利润、扣非利润及经营现金流增长；该事实可通过投资资产盈亏向非经常损益及扣非差额传导，间接验证投资资产处置、公允价值变动和扣非利润稳定性，关系清晰且可复核。</x:v>
      </x:c>
      <x:c r="Q297" s="41" t="str">
        <x:v>B-CODEX-FIN-01</x:v>
      </x:c>
      <x:c r="R297" s="80" t="inlineStr">
        <x:is>
          <x:t>2026-08-30T13:30:00+08:00</x:t>
        </x:is>
      </x:c>
    </x:row>
    <x:row r="298" ht="72" customHeight="1">
      <x:c r="A298" s="64" t="str">
        <x:v>V6-R-Q030-C07</x:v>
      </x:c>
      <x:c r="B298" s="64" t="str">
        <x:v>V6-E-000538-C07</x:v>
      </x:c>
      <x:c r="C298" s="64" t="str">
        <x:v>V6-Q030</x:v>
      </x:c>
      <x:c r="D298" s="40" t="str">
        <x:v>云南白药</x:v>
      </x:c>
      <x:c r="E298" s="64" t="str">
        <x:v>000538</x:v>
      </x:c>
      <x:c r="F298" s="87" t="n">
        <x:v>46260.75</x:v>
      </x:c>
      <x:c r="G298" s="51" t="str">
        <x:v>投资资产处置与公允价值波动是否影响扣非盈利稳定性</x:v>
      </x:c>
      <x:c r="H298" s="64" t="str">
        <x:v>DOC-EVT-000538-00047</x:v>
      </x:c>
      <x:c r="I298" s="51" t="str">
        <x:v>2024年一季度报告</x:v>
      </x:c>
      <x:c r="J298" s="87" t="n">
        <x:v>45409</x:v>
      </x:c>
      <x:c r="K298" s="73" t="str">
        <x:v>http://static.cninfo.com.cn/finalpage/2024-04-27/1219860291.PDF</x:v>
      </x:c>
      <x:c r="L298" s="40" t="str">
        <x:v>第12页</x:v>
      </x:c>
      <x:c r="M298" s="51" t="str">
        <x:v>云南白药集团股份有限公司 2024 年第一季度报告 11 五、净利润（净亏损以“－”号填列） 1,699,046,405.00 1,515,723,471.89 （一）按经营持续性分类 1.持续经营净利润（净亏损以“－”号填列） 1,699,046,405.00 1,515,723,471.89 2.终止经营净利润（净亏损以“－”号填列） （二）按所有权归属分类 1.归属于母公司所有者的净利润 1,701,931,446.00 1,517,988,356.56 2.少数股东损益 -2,885,041.00 -2,264,884.67 六、其他综合收益的税后净额 -962,931.86 6,561,595.30 归属母公司所有者的其他综合收益的税后净额 -1,009,331.56 4,785,778.46 （一）不能重分类进损益的其他综合收益 1,924,245.96 -8,751,379.34 1.重新计量设定受益计划变动额 2.权益法下不能转损益的其他综合收益 1,924,245.96 -8,751,379.34 3.其他权益工具投资公允价值变动 4.企业自身信用风险公允价值变动 5.其他 （二）将重分类进损益的其他综合收益 -2,933,577.52 13,537,157.80 1.权益法下可转损益的其他综合收益 -2,807,332.65 3,250,733.80 2.其他债权投资公允价值变动 3.金融资产重分类计入其他综合收益的金额 4.其他债权投资信用减值准备 5…</x:v>
      </x:c>
      <x:c r="N298" s="41" t="str">
        <x:v>2-间接相关</x:v>
      </x:c>
      <x:c r="O298" s="41" t="str">
        <x:v>是</x:v>
      </x:c>
      <x:c r="P298" s="57" t="str">
        <x:v>一季报披露净利润、扣非净利润及经营现金流同比下降28.17%；该事实可通过投资资产盈亏向非经常损益及扣非差额传导，间接验证投资资产处置、公允价值变动和扣非利润稳定性，关系清晰且可复核。</x:v>
      </x:c>
      <x:c r="Q298" s="41" t="str">
        <x:v>B-CODEX-FIN-01</x:v>
      </x:c>
      <x:c r="R298" s="80" t="inlineStr">
        <x:is>
          <x:t>2026-08-30T13:30:00+08:00</x:t>
        </x:is>
      </x:c>
    </x:row>
    <x:row r="299" ht="72" customHeight="1">
      <x:c r="A299" s="64" t="str">
        <x:v>V6-R-Q030-C03</x:v>
      </x:c>
      <x:c r="B299" s="64" t="str">
        <x:v>V6-E-000538-C03</x:v>
      </x:c>
      <x:c r="C299" s="64" t="str">
        <x:v>V6-Q030</x:v>
      </x:c>
      <x:c r="D299" s="40" t="str">
        <x:v>云南白药</x:v>
      </x:c>
      <x:c r="E299" s="64" t="str">
        <x:v>000538</x:v>
      </x:c>
      <x:c r="F299" s="87" t="n">
        <x:v>46260.75</x:v>
      </x:c>
      <x:c r="G299" s="51" t="str">
        <x:v>投资资产处置与公允价值波动是否影响扣非盈利稳定性</x:v>
      </x:c>
      <x:c r="H299" s="64" t="str">
        <x:v>DOC-EVT-000538-00067</x:v>
      </x:c>
      <x:c r="I299" s="51" t="str">
        <x:v>云南白药集团股份有限公司投资理财管理制度（2024年8月）</x:v>
      </x:c>
      <x:c r="J299" s="87" t="n">
        <x:v>45531</x:v>
      </x:c>
      <x:c r="K299" s="73" t="str">
        <x:v>http://static.cninfo.com.cn/finalpage/2024-08-27/1220987155.PDF</x:v>
      </x:c>
      <x:c r="L299" s="40" t="str">
        <x:v>第6页</x:v>
      </x:c>
      <x:c r="M299" s="51" t="str">
        <x:v>6 / 6 第二十五条 集团审计部对投资理财业务的风险管理进行检查和 评价并出具报告，检查评价内容包括理财情况和资金账户的检查、业 务流程中风险点识别的全面性、风险控制措施有效性、理财业务运作 和内部管理的合规性的评价。 第六章 投资理财的报告 第二十六条 资金管理部负责人应定期 （每月） 和不定期 （需要时） 编制投资理财报告。报告内容包括但不限于：投资决策执行情况、投 资资产质量、投资盈亏情况、风险监控情况和其他重大事项等。 第二十七条 资金管理部应向董事会、监事会和经营管理层提交 投资理财报告。 第七章 附则 第二十八条 本制度由公司资金管理部负责解释和修订。 第二十九条 公司现行《证券投资管理制度》《证券投资风险 管理办法》所规定的委托理财相关管理及风险管理相关内容如与本制 度存在不一致的，按照本制度执行。 第三十条 本制度自董事会审议通过之后执行， 原 《云南白药集 团股份有限公司投资理财管理制度（试行）》相应废止。</x:v>
      </x:c>
      <x:c r="N299" s="41" t="str">
        <x:v>2-间接相关</x:v>
      </x:c>
      <x:c r="O299" s="41" t="str">
        <x:v>是</x:v>
      </x:c>
      <x:c r="P299" s="57" t="str">
        <x:v>制度要求定期报告投资资产质量、盈亏和风险监控；该事实可通过投资资产盈亏向非经常损益及扣非差额传导，间接验证投资资产处置、公允价值变动和扣非利润稳定性，关系清晰且可复核。</x:v>
      </x:c>
      <x:c r="Q299" s="41" t="str">
        <x:v>B-CODEX-FIN-01</x:v>
      </x:c>
      <x:c r="R299" s="80" t="inlineStr">
        <x:is>
          <x:t>2026-08-30T13:30:00+08:00</x:t>
        </x:is>
      </x:c>
    </x:row>
    <x:row r="300" ht="72" customHeight="1">
      <x:c r="A300" s="64" t="str">
        <x:v>V6-R-Q030-C05</x:v>
      </x:c>
      <x:c r="B300" s="64" t="str">
        <x:v>V6-E-000538-C05</x:v>
      </x:c>
      <x:c r="C300" s="64" t="str">
        <x:v>V6-Q030</x:v>
      </x:c>
      <x:c r="D300" s="40" t="str">
        <x:v>云南白药</x:v>
      </x:c>
      <x:c r="E300" s="64" t="str">
        <x:v>000538</x:v>
      </x:c>
      <x:c r="F300" s="87" t="n">
        <x:v>46260.75</x:v>
      </x:c>
      <x:c r="G300" s="51" t="str">
        <x:v>投资资产处置与公允价值波动是否影响扣非盈利稳定性</x:v>
      </x:c>
      <x:c r="H300" s="64" t="str">
        <x:v>DOC-EVT-000538-00098</x:v>
      </x:c>
      <x:c r="I300" s="51" t="str">
        <x:v>关于与专业投资机构共同投资设立基金的进展公告</x:v>
      </x:c>
      <x:c r="J300" s="87" t="n">
        <x:v>45666</x:v>
      </x:c>
      <x:c r="K300" s="73" t="str">
        <x:v>http://static.cninfo.com.cn/finalpage/2025-01-09/1222270305.PDF</x:v>
      </x:c>
      <x:c r="L300" s="40" t="str">
        <x:v>第1页</x:v>
      </x:c>
      <x:c r="M300" s="51" t="str">
        <x:v>1 / 3 证券代码:000538 证券简称:云南白药 公告编号:2025-01 云南白药集团股份有限公司 关于与专业投资机构共同投资设立基金的进展公告 重要提示：本公司及董事会全体成员保证信息披露内容的真实、准 确、完整，没有虚假记载、误导性陈述或重大遗漏。 一、基本情况 云南白药集团股份有限公司（以下简称“云南白药”或“公司”）与 中银国际投资有限责任公司（以下简称“中银国际投资”或“基金管理 人”）共同投资设立云南中医药大健康创新股权投资基金合伙企业（有限 合伙）（以下简称“合伙企业”）。其中，云南白药作为有限合伙人以自 有资金认缴出资人民币50亿元，占合伙企业认缴出资总额的 71.43%，中 银国际投资作为普通合伙人以自有资金认缴出资人民币20亿元，占合伙企 业认缴出资总额的 28.57%。具体内容详见公司于 2024年11月30日在巨潮 资讯网（网址：http://www.cninfo.com.cn）挂网披露的《关于拟与专业投 资机构共同投资设立基金的公告》（公告编号：2024-58）。 二、进展情况 （一）签署合伙协议之补充协议 根据合伙企业申请基金备案阶段的沟通，合伙企业全体合伙人于2025 年1月7日签署《云南中医药大健康创新股权投资基金合伙企业（有限合伙） 合伙协议之补充协议》（以下简称“补充协议”），对此前签署的《云南 中医药大健康创新股权投资基金合伙企业（有限合伙）合伙协议》（以下 简称“合伙协议”）进行补充约定，补充协议主要内容为：</x:v>
      </x:c>
      <x:c r="N300" s="41" t="str">
        <x:v>3-直接相关</x:v>
      </x:c>
      <x:c r="O300" s="41" t="str">
        <x:v>是</x:v>
      </x:c>
      <x:c r="P300" s="57" t="str">
        <x:v>公告披露以自有资金认缴50亿元大健康股权投资基金；证据直接披露或决定投资资产处置、公允价值变动和扣非利润稳定性，可直接用于回答当前查询。</x:v>
      </x:c>
      <x:c r="Q300" s="41" t="str">
        <x:v>B-CODEX-FIN-01</x:v>
      </x:c>
      <x:c r="R300" s="80" t="inlineStr">
        <x:is>
          <x:t>2026-08-30T13:30:00+08:00</x:t>
        </x:is>
      </x:c>
    </x:row>
    <x:row r="301" ht="72" customHeight="1">
      <x:c r="A301" s="65" t="str">
        <x:v>V6-R-Q030-C10</x:v>
      </x:c>
      <x:c r="B301" s="65" t="str">
        <x:v>V6-E-000538-C10</x:v>
      </x:c>
      <x:c r="C301" s="65" t="str">
        <x:v>V6-Q030</x:v>
      </x:c>
      <x:c r="D301" s="42" t="str">
        <x:v>云南白药</x:v>
      </x:c>
      <x:c r="E301" s="65" t="str">
        <x:v>000538</x:v>
      </x:c>
      <x:c r="F301" s="88" t="n">
        <x:v>46260.75</x:v>
      </x:c>
      <x:c r="G301" s="52" t="str">
        <x:v>投资资产处置与公允价值波动是否影响扣非盈利稳定性</x:v>
      </x:c>
      <x:c r="H301" s="65" t="str">
        <x:v>DOC-EVT-000538-00229</x:v>
      </x:c>
      <x:c r="I301" s="52" t="str">
        <x:v>2025年度股东会决议公告</x:v>
      </x:c>
      <x:c r="J301" s="88" t="n">
        <x:v>46134</x:v>
      </x:c>
      <x:c r="K301" s="74" t="str">
        <x:v>http://static.cninfo.com.cn/finalpage/2026-04-22/1225136413.PDF</x:v>
      </x:c>
      <x:c r="L301" s="42" t="str">
        <x:v>第1页</x:v>
      </x:c>
      <x:c r="M301" s="52" t="str">
        <x:v>1 / 6 股票代码：000538 股票简称：云南白药 公告编号：2026-15 云南白药集团股份有限公司 2025年度股东会决议公告 本公司及董事会全体成员保证信息披露内容的真实、准确、完整，没 有虚假记载、误导性陈述或重大遗漏。 重要提示： 1、本次股东会未出现否决议案的情形。 2、本次股东会未涉及变更前次股东会决议。 一、会议召开和出席情况 （一）会议召开情况 1、召开时间： （1）现场会议召开时间：2026 年4 月21 日上午9:30。 （2）网络投票时间：通过深圳证券交易所交易系统进行网络投票的 时间为 2026 年 4 月 21 日 9:15-9:25，9:30-11:30 和 13:00-15:00；通过深 圳证券交易所互联网投票系统投票的时间为2026年4月21日9:15-15:00。 2、现场会议召开地点：云南省昆明市呈贡区云南白药街 3686 号云 南白药集团股份有限公司总部白药空间二楼会议室。 3、会议召开方式：本次股东会以现场表决和网络投票相结合的方式 召开。公司将通过深圳证券交易所交易系统和互联网投票系统</x:v>
      </x:c>
      <x:c r="N301" s="43" t="str">
        <x:v>0-无关</x:v>
      </x:c>
      <x:c r="O301" s="43" t="str">
        <x:v>否</x:v>
      </x:c>
      <x:c r="P301" s="58" t="str">
        <x:v>公告仅披露股东会召开及表决程序；内容与投资收益和扣非盈利缺少业务传导，未提供投资资产处置、公允价值变动和扣非利润稳定性，不能支持当前判断。</x:v>
      </x:c>
      <x:c r="Q301" s="43" t="str">
        <x:v>B-CODEX-FIN-01</x:v>
      </x:c>
      <x:c r="R301" s="81" t="inlineStr">
        <x:is>
          <x:t>2026-08-30T13:30:00+08:00</x:t>
        </x:is>
      </x:c>
    </x:row>
  </x:sheetData>
  <x:conditionalFormatting sqref="N2:N301">
    <x:cfRule type="containsBlanks" dxfId="0" priority="1"/>
    <x:cfRule type="containsText" dxfId="5" priority="6" operator="containsText" text="3-直接相关"/>
    <x:cfRule type="containsText" dxfId="6" priority="7" operator="containsText" text="2-间接相关"/>
    <x:cfRule type="containsText" dxfId="7" priority="8" operator="containsText" text="1-弱相关"/>
    <x:cfRule type="containsText" dxfId="8" priority="9" operator="containsText" text="0-无关"/>
  </x:conditionalFormatting>
  <x:conditionalFormatting sqref="O2:O301">
    <x:cfRule type="containsBlanks" dxfId="1" priority="2"/>
    <x:cfRule type="containsText" dxfId="9" priority="10" operator="containsText" text="是"/>
    <x:cfRule type="containsText" dxfId="10" priority="11" operator="containsText" text="否"/>
  </x:conditionalFormatting>
  <x:conditionalFormatting sqref="P2:P301">
    <x:cfRule type="containsBlanks" dxfId="2" priority="3"/>
  </x:conditionalFormatting>
  <x:conditionalFormatting sqref="Q2:Q301">
    <x:cfRule type="containsBlanks" dxfId="3" priority="4"/>
  </x:conditionalFormatting>
  <x:conditionalFormatting sqref="R2:R301">
    <x:cfRule type="containsBlanks" dxfId="4" priority="5"/>
  </x:conditionalFormatting>
  <x:dataValidations count="2">
    <x:dataValidation type="list" sqref="N2:N301">
      <x:formula1>"0-无关,1-弱相关,2-间接相关,3-直接相关"</x:formula1>
    </x:dataValidation>
    <x:dataValidation type="list" sqref="O2:O301">
      <x:formula1>"是,否"</x:formula1>
    </x:dataValidation>
  </x:dataValidations>
  <x:pageMargins left="0.7" right="0.7" top="0.75" bottom="0.75" header="0.3" footer="0.3"/>
  <x:legacyDrawing xmlns:r="http://schemas.openxmlformats.org/officeDocument/2006/relationships" r:id="R0dd5cd9b747b4d63"/>
  <x:tableParts count="1">
    <x:tablePart xmlns:r="http://schemas.openxmlformats.org/officeDocument/2006/relationships" r:id="R1bb1f601fe4542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18" hidden="0" customWidth="1"/>
    <x:col min="4" max="4" width="38" hidden="0" customWidth="1"/>
    <x:col min="5" max="5" width="13" hidden="0" customWidth="1"/>
    <x:col min="6" max="6" width="13" hidden="0" customWidth="1"/>
    <x:col min="7" max="7" width="13" hidden="0" customWidth="1"/>
    <x:col min="8" max="8" width="13" hidden="0" customWidth="1"/>
  </x:cols>
  <x:sheetData>
    <x:row r="1">
      <x:c r="A1" s="98" t="str">
        <x:v>Graph RAG v6 专业研究员独立盲标说明</x:v>
      </x:c>
      <x:c r="B1" s="98" t="str">
        <x:v>Graph RAG v6 专业研究员独立盲标说明</x:v>
      </x:c>
      <x:c r="C1" s="98" t="str">
        <x:v>Graph RAG v6 专业研究员独立盲标说明</x:v>
      </x:c>
      <x:c r="D1" s="98" t="str">
        <x:v>Graph RAG v6 专业研究员独立盲标说明</x:v>
      </x:c>
      <x:c r="E1" s="98" t="str">
        <x:v>Graph RAG v6 专业研究员独立盲标说明</x:v>
      </x:c>
      <x:c r="F1" s="98" t="str">
        <x:v>Graph RAG v6 专业研究员独立盲标说明</x:v>
      </x:c>
      <x:c r="G1" s="98" t="str">
        <x:v>Graph RAG v6 专业研究员独立盲标说明</x:v>
      </x:c>
      <x:c r="H1" s="98" t="str">
        <x:v>Graph RAG v6 专业研究员独立盲标说明</x:v>
      </x:c>
    </x:row>
    <x:row r="2">
      <x:c r="A2" s="98" t="str">
        <x:v>Graph RAG v6 专业研究员独立盲标说明</x:v>
      </x:c>
      <x:c r="B2" s="98" t="str">
        <x:v>Graph RAG v6 专业研究员独立盲标说明</x:v>
      </x:c>
      <x:c r="C2" s="98" t="str">
        <x:v>Graph RAG v6 专业研究员独立盲标说明</x:v>
      </x:c>
      <x:c r="D2" s="98" t="str">
        <x:v>Graph RAG v6 专业研究员独立盲标说明</x:v>
      </x:c>
      <x:c r="E2" s="98" t="str">
        <x:v>Graph RAG v6 专业研究员独立盲标说明</x:v>
      </x:c>
      <x:c r="F2" s="98" t="str">
        <x:v>Graph RAG v6 专业研究员独立盲标说明</x:v>
      </x:c>
      <x:c r="G2" s="98" t="str">
        <x:v>Graph RAG v6 专业研究员独立盲标说明</x:v>
      </x:c>
      <x:c r="H2" s="98" t="str">
        <x:v>Graph RAG v6 专业研究员独立盲标说明</x:v>
      </x:c>
    </x:row>
    <x:row r="4">
      <x:c r="A4" s="128" t="str">
        <x:v>本工作簿包含 30 个全新查询、每个查询 10 个候选，共 300 行。每家公司采用相同的共享候选池，以避免通过候选集合反推相关性。题面与模型均已冻结；请独立阅读证据和原文后完成 N:R 五个黄色字段，禁止修改 A:M。</x:v>
      </x:c>
      <x:c r="B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C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D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E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F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G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H4" s="130"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5">
      <x:c r="A5" s="131" t="str">
        <x:v>本工作簿包含 30 个全新查询、每个查询 10 个候选，共 300 行。每家公司采用相同的共享候选池，以避免通过候选集合反推相关性。题面与模型均已冻结；请独立阅读证据和原文后完成 N:R 五个黄色字段，禁止修改 A:M。</x:v>
      </x:c>
      <x:c r="B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C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D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E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F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G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H5" s="133"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6">
      <x:c r="A6" s="2"/>
      <x:c r="B6" s="2"/>
      <x:c r="C6" s="2"/>
      <x:c r="D6" s="2"/>
      <x:c r="E6" s="2"/>
      <x:c r="F6" s="2"/>
      <x:c r="G6" s="2"/>
      <x:c r="H6" s="2"/>
    </x:row>
    <x:row r="7">
      <x:c r="A7" s="144" t="str">
        <x:v>数据版本</x:v>
      </x:c>
      <x:c r="B7" s="145" t="str">
        <x:v>graph-relevance-v6-blind</x:v>
      </x:c>
      <x:c r="C7" s="2"/>
      <x:c r="D7" s="2"/>
      <x:c r="E7" s="2"/>
      <x:c r="F7" s="2"/>
      <x:c r="G7" s="2"/>
      <x:c r="H7" s="2"/>
    </x:row>
    <x:row r="8">
      <x:c r="A8" s="144" t="str">
        <x:v>查询数</x:v>
      </x:c>
      <x:c r="B8" s="145" t="n">
        <x:v>30</x:v>
      </x:c>
      <x:c r="C8" s="2"/>
      <x:c r="D8" s="2"/>
      <x:c r="E8" s="2"/>
      <x:c r="F8" s="2"/>
      <x:c r="G8" s="2"/>
      <x:c r="H8" s="2"/>
    </x:row>
    <x:row r="9">
      <x:c r="A9" s="144" t="str">
        <x:v>每查询候选数</x:v>
      </x:c>
      <x:c r="B9" s="145" t="n">
        <x:v>10</x:v>
      </x:c>
      <x:c r="C9" s="2"/>
      <x:c r="D9" s="2"/>
      <x:c r="E9" s="2"/>
      <x:c r="F9" s="2"/>
      <x:c r="G9" s="2"/>
      <x:c r="H9" s="2"/>
    </x:row>
    <x:row r="10">
      <x:c r="A10" s="144" t="str">
        <x:v>候选关系数</x:v>
      </x:c>
      <x:c r="B10" s="145" t="n">
        <x:v>300</x:v>
      </x:c>
      <x:c r="C10" s="2"/>
      <x:c r="D10" s="2"/>
      <x:c r="E10" s="2"/>
      <x:c r="F10" s="2"/>
      <x:c r="G10" s="2"/>
      <x:c r="H10" s="2"/>
    </x:row>
    <x:row r="11">
      <x:c r="A11" s="144" t="str">
        <x:v>唯一候选文档数</x:v>
      </x:c>
      <x:c r="B11" s="145" t="n">
        <x:v>90</x:v>
      </x:c>
      <x:c r="C11" s="2"/>
      <x:c r="D11" s="2"/>
      <x:c r="E11" s="2"/>
      <x:c r="F11" s="2"/>
      <x:c r="G11" s="2"/>
      <x:c r="H11" s="2"/>
    </x:row>
    <x:row r="12">
      <x:c r="A12" s="144" t="str">
        <x:v>覆盖公司数</x:v>
      </x:c>
      <x:c r="B12" s="145" t="n">
        <x:v>9</x:v>
      </x:c>
      <x:c r="C12" s="2"/>
      <x:c r="D12" s="2"/>
      <x:c r="E12" s="2"/>
      <x:c r="F12" s="2"/>
      <x:c r="G12" s="2"/>
      <x:c r="H12" s="2"/>
    </x:row>
    <x:row r="13">
      <x:c r="A13" s="144" t="str">
        <x:v>检索截止时间</x:v>
      </x:c>
      <x:c r="B13" s="145" t="str">
        <x:v>2026-08-26 18:00:00（UTC+08:00）</x:v>
      </x:c>
      <x:c r="C13" s="2"/>
      <x:c r="D13" s="2"/>
      <x:c r="E13" s="2"/>
      <x:c r="F13" s="2"/>
      <x:c r="G13" s="2"/>
      <x:c r="H13" s="2"/>
    </x:row>
    <x:row r="14">
      <x:c r="A14" s="144" t="str">
        <x:v>需要填写</x:v>
      </x:c>
      <x:c r="B14" s="145" t="str">
        <x:v>相关性等级、关系路径、理由、标注员、标注时间</x:v>
      </x:c>
      <x:c r="C14" s="2"/>
      <x:c r="D14" s="2"/>
      <x:c r="E14" s="2"/>
      <x:c r="F14" s="2"/>
      <x:c r="G14" s="2"/>
      <x:c r="H14" s="2"/>
    </x:row>
    <x:row r="15">
      <x:c r="A15" s="2"/>
      <x:c r="B15" s="2"/>
      <x:c r="C15" s="2"/>
      <x:c r="D15" s="2"/>
      <x:c r="E15" s="2"/>
      <x:c r="F15" s="2"/>
      <x:c r="G15" s="2"/>
      <x:c r="H15" s="2"/>
    </x:row>
    <x:row r="16">
      <x:c r="A16" s="150" t="str">
        <x:v>相关性等级口径</x:v>
      </x:c>
      <x:c r="B16" s="150" t="str">
        <x:v>相关性等级口径</x:v>
      </x:c>
      <x:c r="C16" s="150" t="str">
        <x:v>相关性等级口径</x:v>
      </x:c>
      <x:c r="D16" s="150" t="str">
        <x:v>相关性等级口径</x:v>
      </x:c>
      <x:c r="E16" s="150" t="str">
        <x:v>相关性等级口径</x:v>
      </x:c>
      <x:c r="F16" s="150" t="str">
        <x:v>相关性等级口径</x:v>
      </x:c>
      <x:c r="G16" s="150" t="str">
        <x:v>相关性等级口径</x:v>
      </x:c>
      <x:c r="H16" s="150" t="str">
        <x:v>相关性等级口径</x:v>
      </x:c>
    </x:row>
    <x:row r="17">
      <x:c r="A17" s="160" t="str">
        <x:v>等级</x:v>
      </x:c>
      <x:c r="B17" s="160" t="str">
        <x:v>定义</x:v>
      </x:c>
      <x:c r="C17" s="160" t="str">
        <x:v>路径通常判断</x:v>
      </x:c>
      <x:c r="D17" s="160" t="str">
        <x:v>示例判断方式</x:v>
      </x:c>
      <x:c r="E17" s="2"/>
      <x:c r="F17" s="2"/>
      <x:c r="G17" s="2"/>
      <x:c r="H17" s="2"/>
    </x:row>
    <x:row r="18">
      <x:c r="A18" s="161" t="str">
        <x:v>3-直接相关</x:v>
      </x:c>
      <x:c r="B18" s="161" t="str">
        <x:v>候选直接测量、披露或决定查询中的核心变量</x:v>
      </x:c>
      <x:c r="C18" s="161" t="str">
        <x:v>是</x:v>
      </x:c>
      <x:c r="D18" s="161" t="str">
        <x:v>销量表直接披露交付量；财报直接披露毛利率</x:v>
      </x:c>
      <x:c r="E18" s="2"/>
      <x:c r="F18" s="2"/>
      <x:c r="G18" s="2"/>
      <x:c r="H18" s="2"/>
    </x:row>
    <x:row r="19">
      <x:c r="A19" s="161" t="str">
        <x:v>2-间接相关</x:v>
      </x:c>
      <x:c r="B19" s="161" t="str">
        <x:v>可通过一条清晰且有业务依据的因果链影响查询</x:v>
      </x:c>
      <x:c r="C19" s="161" t="str">
        <x:v>是</x:v>
      </x:c>
      <x:c r="D19" s="161" t="str">
        <x:v>产品获批可经商业化放量影响收入，但尚未披露销售</x:v>
      </x:c>
      <x:c r="E19" s="2"/>
      <x:c r="F19" s="2"/>
      <x:c r="G19" s="2"/>
      <x:c r="H19" s="2"/>
    </x:row>
    <x:row r="20">
      <x:c r="A20" s="161" t="str">
        <x:v>1-弱相关</x:v>
      </x:c>
      <x:c r="B20" s="161" t="str">
        <x:v>主题相近，但缺少可靠或充分的传导链</x:v>
      </x:c>
      <x:c r="C20" s="161" t="str">
        <x:v>通常否</x:v>
      </x:c>
      <x:c r="D20" s="161" t="str">
        <x:v>同属该业务领域，但只披露程序性进展</x:v>
      </x:c>
      <x:c r="E20" s="2"/>
      <x:c r="F20" s="2"/>
      <x:c r="G20" s="2"/>
      <x:c r="H20" s="2"/>
    </x:row>
    <x:row r="21">
      <x:c r="A21" s="161" t="str">
        <x:v>0-无关</x:v>
      </x:c>
      <x:c r="B21" s="161" t="str">
        <x:v>不能帮助判断查询，或仅为治理/证券程序事项</x:v>
      </x:c>
      <x:c r="C21" s="161" t="str">
        <x:v>否</x:v>
      </x:c>
      <x:c r="D21" s="161" t="str">
        <x:v>股东持股变化无法判断产品收入</x:v>
      </x:c>
      <x:c r="E21" s="2"/>
      <x:c r="F21" s="2"/>
      <x:c r="G21" s="2"/>
      <x:c r="H21" s="2"/>
    </x:row>
    <x:row r="22">
      <x:c r="A22" s="2"/>
      <x:c r="B22" s="2"/>
      <x:c r="C22" s="2"/>
      <x:c r="D22" s="2"/>
      <x:c r="E22" s="2"/>
      <x:c r="F22" s="2"/>
      <x:c r="G22" s="2"/>
      <x:c r="H22" s="2"/>
    </x:row>
    <x:row r="23">
      <x:c r="A23" s="150" t="str">
        <x:v>填写与回收规则</x:v>
      </x:c>
      <x:c r="B23" s="150" t="str">
        <x:v>填写与回收规则</x:v>
      </x:c>
      <x:c r="C23" s="150" t="str">
        <x:v>填写与回收规则</x:v>
      </x:c>
      <x:c r="D23" s="150" t="str">
        <x:v>填写与回收规则</x:v>
      </x:c>
      <x:c r="E23" s="150" t="str">
        <x:v>填写与回收规则</x:v>
      </x:c>
      <x:c r="F23" s="150" t="str">
        <x:v>填写与回收规则</x:v>
      </x:c>
      <x:c r="G23" s="150" t="str">
        <x:v>填写与回收规则</x:v>
      </x:c>
      <x:c r="H23" s="150" t="str">
        <x:v>填写与回收规则</x:v>
      </x:c>
    </x:row>
    <x:row r="24" ht="40" customHeight="1">
      <x:c r="A24" s="170" t="str">
        <x:v>1</x:v>
      </x:c>
      <x:c r="B24" s="171" t="str">
        <x:v>只填写 v6盲标 工作表的 N:R 黄色区域；A:M 是冻结题面，不得修改。</x:v>
      </x:c>
      <x:c r="C24" s="171"/>
      <x:c r="D24" s="171"/>
      <x:c r="E24" s="171"/>
      <x:c r="F24" s="171"/>
      <x:c r="G24" s="171"/>
      <x:c r="H24" s="171"/>
    </x:row>
    <x:row r="25" ht="40" customHeight="1">
      <x:c r="A25" s="170" t="str">
        <x:v>2</x:v>
      </x:c>
      <x:c r="B25" s="171" t="str">
        <x:v>先阅读查询假设、公告标题和关键证据原文；有疑问时打开候选原文链接并核对页码。</x:v>
      </x:c>
      <x:c r="C25" s="171"/>
      <x:c r="D25" s="171"/>
      <x:c r="E25" s="171"/>
      <x:c r="F25" s="171"/>
      <x:c r="G25" s="171"/>
      <x:c r="H25" s="171"/>
    </x:row>
    <x:row r="26" ht="40" customHeight="1">
      <x:c r="A26" s="170" t="str">
        <x:v>3</x:v>
      </x:c>
      <x:c r="B26" s="171" t="str">
        <x:v>每行必须选择相关性等级和路径判断，并填写可复核的具体理由；即使多个查询共享同一候选，也要按当前查询独立判断。</x:v>
      </x:c>
      <x:c r="C26" s="171"/>
      <x:c r="D26" s="171"/>
      <x:c r="E26" s="171"/>
      <x:c r="F26" s="171"/>
      <x:c r="G26" s="171"/>
      <x:c r="H26" s="171"/>
    </x:row>
    <x:row r="27" ht="40" customHeight="1">
      <x:c r="A27" s="170" t="str">
        <x:v>4</x:v>
      </x:c>
      <x:c r="B27" s="171" t="str">
        <x:v>标注员填写稳定的研究员代号；标注时间使用带时区 ISO 8601，例如 2026-08-28T10:30:00+08:00。</x:v>
      </x:c>
      <x:c r="C27" s="171"/>
      <x:c r="D27" s="171"/>
      <x:c r="E27" s="171"/>
      <x:c r="F27" s="171"/>
      <x:c r="G27" s="171"/>
      <x:c r="H27" s="171"/>
    </x:row>
    <x:row r="28" ht="40" customHeight="1">
      <x:c r="A28" s="170" t="str">
        <x:v>5</x:v>
      </x:c>
      <x:c r="B28" s="171" t="str">
        <x:v>可以筛选和临时排序，但回传前不要删除、增加、合并或替换任何候选行。</x:v>
      </x:c>
      <x:c r="C28" s="171"/>
      <x:c r="D28" s="171"/>
      <x:c r="E28" s="171"/>
      <x:c r="F28" s="171"/>
      <x:c r="G28" s="171"/>
      <x:c r="H28" s="171"/>
    </x:row>
    <x:row r="29" ht="40" customHeight="1">
      <x:c r="A29" s="170" t="str">
        <x:v>6</x:v>
      </x:c>
      <x:c r="B29" s="171" t="str">
        <x:v>完成后查看 质检概览：完成数应为 300，剩余数和无效选项均应为 0，每个查询应完成 10 条。</x:v>
      </x:c>
      <x:c r="C29" s="171"/>
      <x:c r="D29" s="171"/>
      <x:c r="E29" s="171"/>
      <x:c r="F29" s="171"/>
      <x:c r="G29" s="171"/>
      <x:c r="H29" s="171"/>
    </x:row>
    <x:row r="30" ht="40" customHeight="1">
      <x:c r="A30" s="170" t="str">
        <x:v>7</x:v>
      </x:c>
      <x:c r="B30" s="171" t="str">
        <x:v>回传原始 XLSX 文件，不要复制到新表，也不要使用会改变字段名、公式或下拉选项的软件另存。</x:v>
      </x:c>
      <x:c r="C30" s="171"/>
      <x:c r="D30" s="171"/>
      <x:c r="E30" s="171"/>
      <x:c r="F30" s="171"/>
      <x:c r="G30" s="171"/>
      <x:c r="H30" s="171"/>
    </x:row>
  </x:sheetData>
  <x:mergeCells>
    <x:mergeCell ref="A1:H2"/>
    <x:mergeCell ref="A4:H5"/>
    <x:mergeCell ref="A16:H16"/>
    <x:mergeCell ref="A23:H23"/>
    <x:mergeCell ref="B24:H24"/>
    <x:mergeCell ref="B25:H25"/>
    <x:mergeCell ref="B26:H26"/>
    <x:mergeCell ref="B27:H27"/>
    <x:mergeCell ref="B28:H28"/>
    <x:mergeCell ref="B29:H29"/>
    <x:mergeCell ref="B30:H3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6" hidden="0" customWidth="1"/>
  </x:cols>
  <x:sheetData>
    <x:row r="1">
      <x:c r="A1" s="176" t="str">
        <x:v>v6 盲标完成度与回收质检</x:v>
      </x:c>
      <x:c r="B1" s="176" t="str">
        <x:v>v6 盲标完成度与回收质检</x:v>
      </x:c>
      <x:c r="C1" s="176" t="str">
        <x:v>v6 盲标完成度与回收质检</x:v>
      </x:c>
      <x:c r="D1" s="176" t="str">
        <x:v>v6 盲标完成度与回收质检</x:v>
      </x:c>
      <x:c r="E1" s="176" t="str">
        <x:v>v6 盲标完成度与回收质检</x:v>
      </x:c>
      <x:c r="F1" s="176" t="str">
        <x:v>v6 盲标完成度与回收质检</x:v>
      </x:c>
    </x:row>
    <x:row r="2">
      <x:c r="A2" s="176" t="str">
        <x:v>v6 盲标完成度与回收质检</x:v>
      </x:c>
      <x:c r="B2" s="176" t="str">
        <x:v>v6 盲标完成度与回收质检</x:v>
      </x:c>
      <x:c r="C2" s="176" t="str">
        <x:v>v6 盲标完成度与回收质检</x:v>
      </x:c>
      <x:c r="D2" s="176" t="str">
        <x:v>v6 盲标完成度与回收质检</x:v>
      </x:c>
      <x:c r="E2" s="176" t="str">
        <x:v>v6 盲标完成度与回收质检</x:v>
      </x:c>
      <x:c r="F2" s="176" t="str">
        <x:v>v6 盲标完成度与回收质检</x:v>
      </x:c>
    </x:row>
    <x:row r="4">
      <x:c r="A4" s="184" t="str">
        <x:v>检查项</x:v>
      </x:c>
      <x:c r="B4" s="184" t="str">
        <x:v>结果</x:v>
      </x:c>
      <x:c r="C4" s="2"/>
      <x:c r="D4" s="2"/>
    </x:row>
    <x:row r="5">
      <x:c r="A5" s="185" t="str">
        <x:v>候选总数</x:v>
      </x:c>
      <x:c r="B5" s="145" t="n">
        <x:v>300</x:v>
      </x:c>
      <x:c r="C5" s="2"/>
      <x:c r="D5" s="2"/>
    </x:row>
    <x:row r="6">
      <x:c r="A6" s="185" t="str">
        <x:v>相关性等级已填</x:v>
      </x:c>
      <x:c r="B6" s="145" t="n">
        <x:f>COUNTA('v6盲标'!N2:N301)</x:f>
        <x:v>300</x:v>
      </x:c>
      <x:c r="C6" s="2"/>
      <x:c r="D6" s="2"/>
    </x:row>
    <x:row r="7">
      <x:c r="A7" s="185" t="str">
        <x:v>关系路径已填</x:v>
      </x:c>
      <x:c r="B7" s="145" t="n">
        <x:f>COUNTA('v6盲标'!O2:O301)</x:f>
        <x:v>300</x:v>
      </x:c>
      <x:c r="C7" s="2"/>
      <x:c r="D7" s="2"/>
    </x:row>
    <x:row r="8">
      <x:c r="A8" s="185" t="str">
        <x:v>标注理由已填</x:v>
      </x:c>
      <x:c r="B8" s="145" t="n">
        <x:f>COUNTA('v6盲标'!P2:P301)</x:f>
        <x:v>300</x:v>
      </x:c>
      <x:c r="C8" s="2"/>
      <x:c r="D8" s="2"/>
    </x:row>
    <x:row r="9">
      <x:c r="A9" s="185" t="str">
        <x:v>标注员已填</x:v>
      </x:c>
      <x:c r="B9" s="145" t="n">
        <x:f>COUNTA('v6盲标'!Q2:Q301)</x:f>
        <x:v>300</x:v>
      </x:c>
      <x:c r="C9" s="2"/>
      <x:c r="D9" s="2"/>
    </x:row>
    <x:row r="10">
      <x:c r="A10" s="185" t="str">
        <x:v>标注时间已填</x:v>
      </x:c>
      <x:c r="B10" s="145" t="n">
        <x:f>COUNTA('v6盲标'!R2:R301)</x:f>
        <x:v>300</x:v>
      </x:c>
      <x:c r="C10" s="2"/>
      <x:c r="D10" s="2"/>
    </x:row>
    <x:row r="11">
      <x:c r="A11" s="185" t="str">
        <x:v>五项全部完成</x:v>
      </x:c>
      <x:c r="B11" s="145" t="n">
        <x:f>COUNTIFS('v6盲标'!N2:N301,"&lt;&gt;",'v6盲标'!O2:O301,"&lt;&gt;",'v6盲标'!P2:P301,"&lt;&gt;",'v6盲标'!Q2:Q301,"&lt;&gt;",'v6盲标'!R2:R301,"&lt;&gt;")</x:f>
        <x:v>300</x:v>
      </x:c>
      <x:c r="C11" s="2"/>
      <x:c r="D11" s="2"/>
    </x:row>
    <x:row r="12">
      <x:c r="A12" s="185" t="str">
        <x:v>剩余未完成</x:v>
      </x:c>
      <x:c r="B12" s="145" t="n">
        <x:f>B5-B11</x:f>
        <x:v>0</x:v>
      </x:c>
      <x:c r="C12" s="2"/>
      <x:c r="D12" s="2"/>
    </x:row>
    <x:row r="13">
      <x:c r="A13" s="185" t="str">
        <x:v>完成率</x:v>
      </x:c>
      <x:c r="B13" s="186" t="n">
        <x:f>IFERROR(B11/B5,0)</x:f>
        <x:v>1</x:v>
      </x:c>
      <x:c r="C13" s="2"/>
      <x:c r="D13" s="2"/>
    </x:row>
    <x:row r="14">
      <x:c r="A14" s="185" t="str">
        <x:v>无效相关性等级</x:v>
      </x:c>
      <x:c r="B14" s="145" t="n">
        <x:f>B6-COUNTIF('v6盲标'!N2:N301,"0-无关")-COUNTIF('v6盲标'!N2:N301,"1-弱相关")-COUNTIF('v6盲标'!N2:N301,"2-间接相关")-COUNTIF('v6盲标'!N2:N301,"3-直接相关")</x:f>
        <x:v>0</x:v>
      </x:c>
      <x:c r="C14" s="2"/>
      <x:c r="D14" s="2"/>
    </x:row>
    <x:row r="15">
      <x:c r="A15" s="185" t="str">
        <x:v>无效路径选项</x:v>
      </x:c>
      <x:c r="B15" s="145" t="n">
        <x:f>B7-COUNTIF('v6盲标'!O2:O301,"是")-COUNTIF('v6盲标'!O2:O301,"否")</x:f>
        <x:v>0</x:v>
      </x:c>
      <x:c r="C15" s="2"/>
      <x:c r="D15" s="2"/>
    </x:row>
    <x:row r="16">
      <x:c r="A16" s="2"/>
      <x:c r="B16" s="2"/>
      <x:c r="C16" s="2"/>
      <x:c r="D16" s="2"/>
    </x:row>
    <x:row r="17">
      <x:c r="A17" s="2"/>
      <x:c r="B17" s="2"/>
      <x:c r="C17" s="2"/>
      <x:c r="D17" s="2"/>
    </x:row>
    <x:row r="18">
      <x:c r="A18" s="192" t="str">
        <x:v>查询ID</x:v>
      </x:c>
      <x:c r="B18" s="192" t="str">
        <x:v>公司</x:v>
      </x:c>
      <x:c r="C18" s="192" t="str">
        <x:v>完成候选数</x:v>
      </x:c>
      <x:c r="D18" s="192" t="str">
        <x:v>状态</x:v>
      </x:c>
    </x:row>
    <x:row r="19">
      <x:c r="A19" s="145" t="str">
        <x:v>V6-Q001</x:v>
      </x:c>
      <x:c r="B19" s="145" t="str">
        <x:v>比亚迪</x:v>
      </x:c>
      <x:c r="C19" s="145" t="n">
        <x:f>COUNTIFS('v6盲标'!C2:C301,"V6-Q001",'v6盲标'!N2:N301,"&lt;&gt;",'v6盲标'!O2:O301,"&lt;&gt;",'v6盲标'!P2:P301,"&lt;&gt;",'v6盲标'!Q2:Q301,"&lt;&gt;",'v6盲标'!R2:R301,"&lt;&gt;")</x:f>
        <x:v>10</x:v>
      </x:c>
      <x:c r="D19" s="145" t="str">
        <x:f>IF(C19=10,"已完成",IF(C19=0,"未开始","进行中"))</x:f>
        <x:v>已完成</x:v>
      </x:c>
    </x:row>
    <x:row r="20">
      <x:c r="A20" s="145" t="str">
        <x:v>V6-Q002</x:v>
      </x:c>
      <x:c r="B20" s="145" t="str">
        <x:v>比亚迪</x:v>
      </x:c>
      <x:c r="C20" s="145" t="n">
        <x:f>COUNTIFS('v6盲标'!C2:C301,"V6-Q002",'v6盲标'!N2:N301,"&lt;&gt;",'v6盲标'!O2:O301,"&lt;&gt;",'v6盲标'!P2:P301,"&lt;&gt;",'v6盲标'!Q2:Q301,"&lt;&gt;",'v6盲标'!R2:R301,"&lt;&gt;")</x:f>
        <x:v>10</x:v>
      </x:c>
      <x:c r="D20" s="145" t="str">
        <x:f>IF(C20=10,"已完成",IF(C20=0,"未开始","进行中"))</x:f>
        <x:v>已完成</x:v>
      </x:c>
    </x:row>
    <x:row r="21">
      <x:c r="A21" s="145" t="str">
        <x:v>V6-Q003</x:v>
      </x:c>
      <x:c r="B21" s="145" t="str">
        <x:v>比亚迪</x:v>
      </x:c>
      <x:c r="C21" s="145" t="n">
        <x:f>COUNTIFS('v6盲标'!C2:C301,"V6-Q003",'v6盲标'!N2:N301,"&lt;&gt;",'v6盲标'!O2:O301,"&lt;&gt;",'v6盲标'!P2:P301,"&lt;&gt;",'v6盲标'!Q2:Q301,"&lt;&gt;",'v6盲标'!R2:R301,"&lt;&gt;")</x:f>
        <x:v>10</x:v>
      </x:c>
      <x:c r="D21" s="145" t="str">
        <x:f>IF(C21=10,"已完成",IF(C21=0,"未开始","进行中"))</x:f>
        <x:v>已完成</x:v>
      </x:c>
    </x:row>
    <x:row r="22">
      <x:c r="A22" s="145" t="str">
        <x:v>V6-Q004</x:v>
      </x:c>
      <x:c r="B22" s="145" t="str">
        <x:v>比亚迪</x:v>
      </x:c>
      <x:c r="C22" s="145" t="n">
        <x:f>COUNTIFS('v6盲标'!C2:C301,"V6-Q004",'v6盲标'!N2:N301,"&lt;&gt;",'v6盲标'!O2:O301,"&lt;&gt;",'v6盲标'!P2:P301,"&lt;&gt;",'v6盲标'!Q2:Q301,"&lt;&gt;",'v6盲标'!R2:R301,"&lt;&gt;")</x:f>
        <x:v>10</x:v>
      </x:c>
      <x:c r="D22" s="145" t="str">
        <x:f>IF(C22=10,"已完成",IF(C22=0,"未开始","进行中"))</x:f>
        <x:v>已完成</x:v>
      </x:c>
    </x:row>
    <x:row r="23">
      <x:c r="A23" s="145" t="str">
        <x:v>V6-Q005</x:v>
      </x:c>
      <x:c r="B23" s="145" t="str">
        <x:v>吉利汽车</x:v>
      </x:c>
      <x:c r="C23" s="145" t="n">
        <x:f>COUNTIFS('v6盲标'!C2:C301,"V6-Q005",'v6盲标'!N2:N301,"&lt;&gt;",'v6盲标'!O2:O301,"&lt;&gt;",'v6盲标'!P2:P301,"&lt;&gt;",'v6盲标'!Q2:Q301,"&lt;&gt;",'v6盲标'!R2:R301,"&lt;&gt;")</x:f>
        <x:v>10</x:v>
      </x:c>
      <x:c r="D23" s="145" t="str">
        <x:f>IF(C23=10,"已完成",IF(C23=0,"未开始","进行中"))</x:f>
        <x:v>已完成</x:v>
      </x:c>
    </x:row>
    <x:row r="24">
      <x:c r="A24" s="145" t="str">
        <x:v>V6-Q006</x:v>
      </x:c>
      <x:c r="B24" s="145" t="str">
        <x:v>吉利汽车</x:v>
      </x:c>
      <x:c r="C24" s="145" t="n">
        <x:f>COUNTIFS('v6盲标'!C2:C301,"V6-Q006",'v6盲标'!N2:N301,"&lt;&gt;",'v6盲标'!O2:O301,"&lt;&gt;",'v6盲标'!P2:P301,"&lt;&gt;",'v6盲标'!Q2:Q301,"&lt;&gt;",'v6盲标'!R2:R301,"&lt;&gt;")</x:f>
        <x:v>10</x:v>
      </x:c>
      <x:c r="D24" s="145" t="str">
        <x:f>IF(C24=10,"已完成",IF(C24=0,"未开始","进行中"))</x:f>
        <x:v>已完成</x:v>
      </x:c>
    </x:row>
    <x:row r="25">
      <x:c r="A25" s="145" t="str">
        <x:v>V6-Q007</x:v>
      </x:c>
      <x:c r="B25" s="145" t="str">
        <x:v>吉利汽车</x:v>
      </x:c>
      <x:c r="C25" s="145" t="n">
        <x:f>COUNTIFS('v6盲标'!C2:C301,"V6-Q007",'v6盲标'!N2:N301,"&lt;&gt;",'v6盲标'!O2:O301,"&lt;&gt;",'v6盲标'!P2:P301,"&lt;&gt;",'v6盲标'!Q2:Q301,"&lt;&gt;",'v6盲标'!R2:R301,"&lt;&gt;")</x:f>
        <x:v>10</x:v>
      </x:c>
      <x:c r="D25" s="145" t="str">
        <x:f>IF(C25=10,"已完成",IF(C25=0,"未开始","进行中"))</x:f>
        <x:v>已完成</x:v>
      </x:c>
    </x:row>
    <x:row r="26">
      <x:c r="A26" s="145" t="str">
        <x:v>V6-Q008</x:v>
      </x:c>
      <x:c r="B26" s="145" t="str">
        <x:v>小鹏汽车</x:v>
      </x:c>
      <x:c r="C26" s="145" t="n">
        <x:f>COUNTIFS('v6盲标'!C2:C301,"V6-Q008",'v6盲标'!N2:N301,"&lt;&gt;",'v6盲标'!O2:O301,"&lt;&gt;",'v6盲标'!P2:P301,"&lt;&gt;",'v6盲标'!Q2:Q301,"&lt;&gt;",'v6盲标'!R2:R301,"&lt;&gt;")</x:f>
        <x:v>10</x:v>
      </x:c>
      <x:c r="D26" s="145" t="str">
        <x:f>IF(C26=10,"已完成",IF(C26=0,"未开始","进行中"))</x:f>
        <x:v>已完成</x:v>
      </x:c>
    </x:row>
    <x:row r="27">
      <x:c r="A27" s="145" t="str">
        <x:v>V6-Q009</x:v>
      </x:c>
      <x:c r="B27" s="145" t="str">
        <x:v>小鹏汽车</x:v>
      </x:c>
      <x:c r="C27" s="145" t="n">
        <x:f>COUNTIFS('v6盲标'!C2:C301,"V6-Q009",'v6盲标'!N2:N301,"&lt;&gt;",'v6盲标'!O2:O301,"&lt;&gt;",'v6盲标'!P2:P301,"&lt;&gt;",'v6盲标'!Q2:Q301,"&lt;&gt;",'v6盲标'!R2:R301,"&lt;&gt;")</x:f>
        <x:v>10</x:v>
      </x:c>
      <x:c r="D27" s="145" t="str">
        <x:f>IF(C27=10,"已完成",IF(C27=0,"未开始","进行中"))</x:f>
        <x:v>已完成</x:v>
      </x:c>
    </x:row>
    <x:row r="28">
      <x:c r="A28" s="145" t="str">
        <x:v>V6-Q010</x:v>
      </x:c>
      <x:c r="B28" s="145" t="str">
        <x:v>小鹏汽车</x:v>
      </x:c>
      <x:c r="C28" s="145" t="n">
        <x:f>COUNTIFS('v6盲标'!C2:C301,"V6-Q010",'v6盲标'!N2:N301,"&lt;&gt;",'v6盲标'!O2:O301,"&lt;&gt;",'v6盲标'!P2:P301,"&lt;&gt;",'v6盲标'!Q2:Q301,"&lt;&gt;",'v6盲标'!R2:R301,"&lt;&gt;")</x:f>
        <x:v>10</x:v>
      </x:c>
      <x:c r="D28" s="145" t="str">
        <x:f>IF(C28=10,"已完成",IF(C28=0,"未开始","进行中"))</x:f>
        <x:v>已完成</x:v>
      </x:c>
    </x:row>
    <x:row r="29">
      <x:c r="A29" s="145" t="str">
        <x:v>V6-Q011</x:v>
      </x:c>
      <x:c r="B29" s="145" t="str">
        <x:v>北方华创</x:v>
      </x:c>
      <x:c r="C29" s="145" t="n">
        <x:f>COUNTIFS('v6盲标'!C2:C301,"V6-Q011",'v6盲标'!N2:N301,"&lt;&gt;",'v6盲标'!O2:O301,"&lt;&gt;",'v6盲标'!P2:P301,"&lt;&gt;",'v6盲标'!Q2:Q301,"&lt;&gt;",'v6盲标'!R2:R301,"&lt;&gt;")</x:f>
        <x:v>10</x:v>
      </x:c>
      <x:c r="D29" s="145" t="str">
        <x:f>IF(C29=10,"已完成",IF(C29=0,"未开始","进行中"))</x:f>
        <x:v>已完成</x:v>
      </x:c>
    </x:row>
    <x:row r="30">
      <x:c r="A30" s="145" t="str">
        <x:v>V6-Q012</x:v>
      </x:c>
      <x:c r="B30" s="145" t="str">
        <x:v>北方华创</x:v>
      </x:c>
      <x:c r="C30" s="145" t="n">
        <x:f>COUNTIFS('v6盲标'!C2:C301,"V6-Q012",'v6盲标'!N2:N301,"&lt;&gt;",'v6盲标'!O2:O301,"&lt;&gt;",'v6盲标'!P2:P301,"&lt;&gt;",'v6盲标'!Q2:Q301,"&lt;&gt;",'v6盲标'!R2:R301,"&lt;&gt;")</x:f>
        <x:v>10</x:v>
      </x:c>
      <x:c r="D30" s="145" t="str">
        <x:f>IF(C30=10,"已完成",IF(C30=0,"未开始","进行中"))</x:f>
        <x:v>已完成</x:v>
      </x:c>
    </x:row>
    <x:row r="31">
      <x:c r="A31" s="145" t="str">
        <x:v>V6-Q013</x:v>
      </x:c>
      <x:c r="B31" s="145" t="str">
        <x:v>北方华创</x:v>
      </x:c>
      <x:c r="C31" s="145" t="n">
        <x:f>COUNTIFS('v6盲标'!C2:C301,"V6-Q013",'v6盲标'!N2:N301,"&lt;&gt;",'v6盲标'!O2:O301,"&lt;&gt;",'v6盲标'!P2:P301,"&lt;&gt;",'v6盲标'!Q2:Q301,"&lt;&gt;",'v6盲标'!R2:R301,"&lt;&gt;")</x:f>
        <x:v>10</x:v>
      </x:c>
      <x:c r="D31" s="145" t="str">
        <x:f>IF(C31=10,"已完成",IF(C31=0,"未开始","进行中"))</x:f>
        <x:v>已完成</x:v>
      </x:c>
    </x:row>
    <x:row r="32">
      <x:c r="A32" s="145" t="str">
        <x:v>V6-Q014</x:v>
      </x:c>
      <x:c r="B32" s="145" t="str">
        <x:v>中芯国际</x:v>
      </x:c>
      <x:c r="C32" s="145" t="n">
        <x:f>COUNTIFS('v6盲标'!C2:C301,"V6-Q014",'v6盲标'!N2:N301,"&lt;&gt;",'v6盲标'!O2:O301,"&lt;&gt;",'v6盲标'!P2:P301,"&lt;&gt;",'v6盲标'!Q2:Q301,"&lt;&gt;",'v6盲标'!R2:R301,"&lt;&gt;")</x:f>
        <x:v>10</x:v>
      </x:c>
      <x:c r="D32" s="145" t="str">
        <x:f>IF(C32=10,"已完成",IF(C32=0,"未开始","进行中"))</x:f>
        <x:v>已完成</x:v>
      </x:c>
    </x:row>
    <x:row r="33">
      <x:c r="A33" s="145" t="str">
        <x:v>V6-Q015</x:v>
      </x:c>
      <x:c r="B33" s="145" t="str">
        <x:v>中芯国际</x:v>
      </x:c>
      <x:c r="C33" s="145" t="n">
        <x:f>COUNTIFS('v6盲标'!C2:C301,"V6-Q015",'v6盲标'!N2:N301,"&lt;&gt;",'v6盲标'!O2:O301,"&lt;&gt;",'v6盲标'!P2:P301,"&lt;&gt;",'v6盲标'!Q2:Q301,"&lt;&gt;",'v6盲标'!R2:R301,"&lt;&gt;")</x:f>
        <x:v>10</x:v>
      </x:c>
      <x:c r="D33" s="145" t="str">
        <x:f>IF(C33=10,"已完成",IF(C33=0,"未开始","进行中"))</x:f>
        <x:v>已完成</x:v>
      </x:c>
    </x:row>
    <x:row r="34">
      <x:c r="A34" s="145" t="str">
        <x:v>V6-Q016</x:v>
      </x:c>
      <x:c r="B34" s="145" t="str">
        <x:v>中芯国际</x:v>
      </x:c>
      <x:c r="C34" s="145" t="n">
        <x:f>COUNTIFS('v6盲标'!C2:C301,"V6-Q016",'v6盲标'!N2:N301,"&lt;&gt;",'v6盲标'!O2:O301,"&lt;&gt;",'v6盲标'!P2:P301,"&lt;&gt;",'v6盲标'!Q2:Q301,"&lt;&gt;",'v6盲标'!R2:R301,"&lt;&gt;")</x:f>
        <x:v>10</x:v>
      </x:c>
      <x:c r="D34" s="145" t="str">
        <x:f>IF(C34=10,"已完成",IF(C34=0,"未开始","进行中"))</x:f>
        <x:v>已完成</x:v>
      </x:c>
    </x:row>
    <x:row r="35">
      <x:c r="A35" s="145" t="str">
        <x:v>V6-Q017</x:v>
      </x:c>
      <x:c r="B35" s="145" t="str">
        <x:v>中芯国际</x:v>
      </x:c>
      <x:c r="C35" s="145" t="n">
        <x:f>COUNTIFS('v6盲标'!C2:C301,"V6-Q017",'v6盲标'!N2:N301,"&lt;&gt;",'v6盲标'!O2:O301,"&lt;&gt;",'v6盲标'!P2:P301,"&lt;&gt;",'v6盲标'!Q2:Q301,"&lt;&gt;",'v6盲标'!R2:R301,"&lt;&gt;")</x:f>
        <x:v>10</x:v>
      </x:c>
      <x:c r="D35" s="145" t="str">
        <x:f>IF(C35=10,"已完成",IF(C35=0,"未开始","进行中"))</x:f>
        <x:v>已完成</x:v>
      </x:c>
    </x:row>
    <x:row r="36">
      <x:c r="A36" s="145" t="str">
        <x:v>V6-Q018</x:v>
      </x:c>
      <x:c r="B36" s="145" t="str">
        <x:v>兆易创新</x:v>
      </x:c>
      <x:c r="C36" s="145" t="n">
        <x:f>COUNTIFS('v6盲标'!C2:C301,"V6-Q018",'v6盲标'!N2:N301,"&lt;&gt;",'v6盲标'!O2:O301,"&lt;&gt;",'v6盲标'!P2:P301,"&lt;&gt;",'v6盲标'!Q2:Q301,"&lt;&gt;",'v6盲标'!R2:R301,"&lt;&gt;")</x:f>
        <x:v>10</x:v>
      </x:c>
      <x:c r="D36" s="145" t="str">
        <x:f>IF(C36=10,"已完成",IF(C36=0,"未开始","进行中"))</x:f>
        <x:v>已完成</x:v>
      </x:c>
    </x:row>
    <x:row r="37">
      <x:c r="A37" s="145" t="str">
        <x:v>V6-Q019</x:v>
      </x:c>
      <x:c r="B37" s="145" t="str">
        <x:v>兆易创新</x:v>
      </x:c>
      <x:c r="C37" s="145" t="n">
        <x:f>COUNTIFS('v6盲标'!C2:C301,"V6-Q019",'v6盲标'!N2:N301,"&lt;&gt;",'v6盲标'!O2:O301,"&lt;&gt;",'v6盲标'!P2:P301,"&lt;&gt;",'v6盲标'!Q2:Q301,"&lt;&gt;",'v6盲标'!R2:R301,"&lt;&gt;")</x:f>
        <x:v>10</x:v>
      </x:c>
      <x:c r="D37" s="145" t="str">
        <x:f>IF(C37=10,"已完成",IF(C37=0,"未开始","进行中"))</x:f>
        <x:v>已完成</x:v>
      </x:c>
    </x:row>
    <x:row r="38">
      <x:c r="A38" s="145" t="str">
        <x:v>V6-Q020</x:v>
      </x:c>
      <x:c r="B38" s="145" t="str">
        <x:v>兆易创新</x:v>
      </x:c>
      <x:c r="C38" s="145" t="n">
        <x:f>COUNTIFS('v6盲标'!C2:C301,"V6-Q020",'v6盲标'!N2:N301,"&lt;&gt;",'v6盲标'!O2:O301,"&lt;&gt;",'v6盲标'!P2:P301,"&lt;&gt;",'v6盲标'!Q2:Q301,"&lt;&gt;",'v6盲标'!R2:R301,"&lt;&gt;")</x:f>
        <x:v>10</x:v>
      </x:c>
      <x:c r="D38" s="145" t="str">
        <x:f>IF(C38=10,"已完成",IF(C38=0,"未开始","进行中"))</x:f>
        <x:v>已完成</x:v>
      </x:c>
    </x:row>
    <x:row r="39">
      <x:c r="A39" s="145" t="str">
        <x:v>V6-Q021</x:v>
      </x:c>
      <x:c r="B39" s="145" t="str">
        <x:v>恒瑞医药</x:v>
      </x:c>
      <x:c r="C39" s="145" t="n">
        <x:f>COUNTIFS('v6盲标'!C2:C301,"V6-Q021",'v6盲标'!N2:N301,"&lt;&gt;",'v6盲标'!O2:O301,"&lt;&gt;",'v6盲标'!P2:P301,"&lt;&gt;",'v6盲标'!Q2:Q301,"&lt;&gt;",'v6盲标'!R2:R301,"&lt;&gt;")</x:f>
        <x:v>10</x:v>
      </x:c>
      <x:c r="D39" s="145" t="str">
        <x:f>IF(C39=10,"已完成",IF(C39=0,"未开始","进行中"))</x:f>
        <x:v>已完成</x:v>
      </x:c>
    </x:row>
    <x:row r="40">
      <x:c r="A40" s="145" t="str">
        <x:v>V6-Q022</x:v>
      </x:c>
      <x:c r="B40" s="145" t="str">
        <x:v>恒瑞医药</x:v>
      </x:c>
      <x:c r="C40" s="145" t="n">
        <x:f>COUNTIFS('v6盲标'!C2:C301,"V6-Q022",'v6盲标'!N2:N301,"&lt;&gt;",'v6盲标'!O2:O301,"&lt;&gt;",'v6盲标'!P2:P301,"&lt;&gt;",'v6盲标'!Q2:Q301,"&lt;&gt;",'v6盲标'!R2:R301,"&lt;&gt;")</x:f>
        <x:v>10</x:v>
      </x:c>
      <x:c r="D40" s="145" t="str">
        <x:f>IF(C40=10,"已完成",IF(C40=0,"未开始","进行中"))</x:f>
        <x:v>已完成</x:v>
      </x:c>
    </x:row>
    <x:row r="41">
      <x:c r="A41" s="145" t="str">
        <x:v>V6-Q023</x:v>
      </x:c>
      <x:c r="B41" s="145" t="str">
        <x:v>恒瑞医药</x:v>
      </x:c>
      <x:c r="C41" s="145" t="n">
        <x:f>COUNTIFS('v6盲标'!C2:C301,"V6-Q023",'v6盲标'!N2:N301,"&lt;&gt;",'v6盲标'!O2:O301,"&lt;&gt;",'v6盲标'!P2:P301,"&lt;&gt;",'v6盲标'!Q2:Q301,"&lt;&gt;",'v6盲标'!R2:R301,"&lt;&gt;")</x:f>
        <x:v>10</x:v>
      </x:c>
      <x:c r="D41" s="145" t="str">
        <x:f>IF(C41=10,"已完成",IF(C41=0,"未开始","进行中"))</x:f>
        <x:v>已完成</x:v>
      </x:c>
    </x:row>
    <x:row r="42">
      <x:c r="A42" s="145" t="str">
        <x:v>V6-Q024</x:v>
      </x:c>
      <x:c r="B42" s="145" t="str">
        <x:v>恒瑞医药</x:v>
      </x:c>
      <x:c r="C42" s="145" t="n">
        <x:f>COUNTIFS('v6盲标'!C2:C301,"V6-Q024",'v6盲标'!N2:N301,"&lt;&gt;",'v6盲标'!O2:O301,"&lt;&gt;",'v6盲标'!P2:P301,"&lt;&gt;",'v6盲标'!Q2:Q301,"&lt;&gt;",'v6盲标'!R2:R301,"&lt;&gt;")</x:f>
        <x:v>10</x:v>
      </x:c>
      <x:c r="D42" s="145" t="str">
        <x:f>IF(C42=10,"已完成",IF(C42=0,"未开始","进行中"))</x:f>
        <x:v>已完成</x:v>
      </x:c>
    </x:row>
    <x:row r="43">
      <x:c r="A43" s="145" t="str">
        <x:v>V6-Q025</x:v>
      </x:c>
      <x:c r="B43" s="145" t="str">
        <x:v>药明康德</x:v>
      </x:c>
      <x:c r="C43" s="145" t="n">
        <x:f>COUNTIFS('v6盲标'!C2:C301,"V6-Q025",'v6盲标'!N2:N301,"&lt;&gt;",'v6盲标'!O2:O301,"&lt;&gt;",'v6盲标'!P2:P301,"&lt;&gt;",'v6盲标'!Q2:Q301,"&lt;&gt;",'v6盲标'!R2:R301,"&lt;&gt;")</x:f>
        <x:v>10</x:v>
      </x:c>
      <x:c r="D43" s="145" t="str">
        <x:f>IF(C43=10,"已完成",IF(C43=0,"未开始","进行中"))</x:f>
        <x:v>已完成</x:v>
      </x:c>
    </x:row>
    <x:row r="44">
      <x:c r="A44" s="145" t="str">
        <x:v>V6-Q026</x:v>
      </x:c>
      <x:c r="B44" s="145" t="str">
        <x:v>药明康德</x:v>
      </x:c>
      <x:c r="C44" s="145" t="n">
        <x:f>COUNTIFS('v6盲标'!C2:C301,"V6-Q026",'v6盲标'!N2:N301,"&lt;&gt;",'v6盲标'!O2:O301,"&lt;&gt;",'v6盲标'!P2:P301,"&lt;&gt;",'v6盲标'!Q2:Q301,"&lt;&gt;",'v6盲标'!R2:R301,"&lt;&gt;")</x:f>
        <x:v>10</x:v>
      </x:c>
      <x:c r="D44" s="145" t="str">
        <x:f>IF(C44=10,"已完成",IF(C44=0,"未开始","进行中"))</x:f>
        <x:v>已完成</x:v>
      </x:c>
    </x:row>
    <x:row r="45">
      <x:c r="A45" s="145" t="str">
        <x:v>V6-Q027</x:v>
      </x:c>
      <x:c r="B45" s="145" t="str">
        <x:v>药明康德</x:v>
      </x:c>
      <x:c r="C45" s="145" t="n">
        <x:f>COUNTIFS('v6盲标'!C2:C301,"V6-Q027",'v6盲标'!N2:N301,"&lt;&gt;",'v6盲标'!O2:O301,"&lt;&gt;",'v6盲标'!P2:P301,"&lt;&gt;",'v6盲标'!Q2:Q301,"&lt;&gt;",'v6盲标'!R2:R301,"&lt;&gt;")</x:f>
        <x:v>10</x:v>
      </x:c>
      <x:c r="D45" s="145" t="str">
        <x:f>IF(C45=10,"已完成",IF(C45=0,"未开始","进行中"))</x:f>
        <x:v>已完成</x:v>
      </x:c>
    </x:row>
    <x:row r="46">
      <x:c r="A46" s="145" t="str">
        <x:v>V6-Q028</x:v>
      </x:c>
      <x:c r="B46" s="145" t="str">
        <x:v>云南白药</x:v>
      </x:c>
      <x:c r="C46" s="145" t="n">
        <x:f>COUNTIFS('v6盲标'!C2:C301,"V6-Q028",'v6盲标'!N2:N301,"&lt;&gt;",'v6盲标'!O2:O301,"&lt;&gt;",'v6盲标'!P2:P301,"&lt;&gt;",'v6盲标'!Q2:Q301,"&lt;&gt;",'v6盲标'!R2:R301,"&lt;&gt;")</x:f>
        <x:v>10</x:v>
      </x:c>
      <x:c r="D46" s="145" t="str">
        <x:f>IF(C46=10,"已完成",IF(C46=0,"未开始","进行中"))</x:f>
        <x:v>已完成</x:v>
      </x:c>
    </x:row>
    <x:row r="47">
      <x:c r="A47" s="145" t="str">
        <x:v>V6-Q029</x:v>
      </x:c>
      <x:c r="B47" s="145" t="str">
        <x:v>云南白药</x:v>
      </x:c>
      <x:c r="C47" s="145" t="n">
        <x:f>COUNTIFS('v6盲标'!C2:C301,"V6-Q029",'v6盲标'!N2:N301,"&lt;&gt;",'v6盲标'!O2:O301,"&lt;&gt;",'v6盲标'!P2:P301,"&lt;&gt;",'v6盲标'!Q2:Q301,"&lt;&gt;",'v6盲标'!R2:R301,"&lt;&gt;")</x:f>
        <x:v>10</x:v>
      </x:c>
      <x:c r="D47" s="145" t="str">
        <x:f>IF(C47=10,"已完成",IF(C47=0,"未开始","进行中"))</x:f>
        <x:v>已完成</x:v>
      </x:c>
    </x:row>
    <x:row r="48">
      <x:c r="A48" s="145" t="str">
        <x:v>V6-Q030</x:v>
      </x:c>
      <x:c r="B48" s="145" t="str">
        <x:v>云南白药</x:v>
      </x:c>
      <x:c r="C48" s="145" t="n">
        <x:f>COUNTIFS('v6盲标'!C2:C301,"V6-Q030",'v6盲标'!N2:N301,"&lt;&gt;",'v6盲标'!O2:O301,"&lt;&gt;",'v6盲标'!P2:P301,"&lt;&gt;",'v6盲标'!Q2:Q301,"&lt;&gt;",'v6盲标'!R2:R301,"&lt;&gt;")</x:f>
        <x:v>10</x:v>
      </x:c>
      <x:c r="D48" s="145" t="str">
        <x:f>IF(C48=10,"已完成",IF(C48=0,"未开始","进行中"))</x:f>
        <x:v>已完成</x:v>
      </x:c>
    </x:row>
  </x:sheetData>
  <x:mergeCells>
    <x:mergeCell ref="A1:F2"/>
  </x:mergeCells>
  <x:conditionalFormatting sqref="B11:B11">
    <x:cfRule type="cellIs" dxfId="11" priority="1" operator="equal">
      <x:formula>300</x:formula>
    </x:cfRule>
  </x:conditionalFormatting>
  <x:conditionalFormatting sqref="B12:B12">
    <x:cfRule type="cellIs" dxfId="12" priority="2" operator="greaterThan">
      <x:formula>0</x:formula>
    </x:cfRule>
  </x:conditionalFormatting>
  <x:conditionalFormatting sqref="B14:B15">
    <x:cfRule type="cellIs" dxfId="13" priority="3" operator="greaterThan">
      <x:formula>0</x:formula>
    </x:cfRule>
  </x:conditionalFormatting>
  <x:conditionalFormatting sqref="D19:D48">
    <x:cfRule type="containsText" dxfId="14" priority="4" operator="containsText" text="已完成"/>
    <x:cfRule type="containsText" dxfId="15" priority="5" operator="containsText" text="进行中"/>
    <x:cfRule type="containsText" dxfId="16" priority="6" operator="containsText" text="未开始"/>
  </x:conditionalFormatting>
  <x:pageMargins left="0.7" right="0.7" top="0.75" bottom="0.75" header="0.3" footer="0.3"/>
</x:worksheet>
</file>