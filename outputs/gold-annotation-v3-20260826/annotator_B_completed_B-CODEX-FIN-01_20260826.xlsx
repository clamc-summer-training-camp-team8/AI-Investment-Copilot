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f901aa83e98444a" /></Relationships>
</file>

<file path=xl/workbook.xml><?xml version="1.0" encoding="utf-8"?>
<x:workbook xmlns:x="http://schemas.openxmlformats.org/spreadsheetml/2006/main">
  <x:sheets>
    <x:sheet xmlns:r="http://schemas.openxmlformats.org/officeDocument/2006/relationships" name="使用说明" sheetId="1" r:id="Rf032e192a83042cd"/>
    <x:sheet xmlns:r="http://schemas.openxmlformats.org/officeDocument/2006/relationships" name="进度" sheetId="2" r:id="Rc8a5f1bbfe89431b"/>
    <x:sheet xmlns:r="http://schemas.openxmlformats.org/officeDocument/2006/relationships" name="事件语义_120" sheetId="3" r:id="Ra6461542b8fd405f"/>
    <x:sheet xmlns:r="http://schemas.openxmlformats.org/officeDocument/2006/relationships" name="正文事实_60" sheetId="4" r:id="R352548b734b94f80"/>
    <x:sheet xmlns:r="http://schemas.openxmlformats.org/officeDocument/2006/relationships" name="GraphRAG相关性_180" sheetId="5" r:id="R9fd1b01439be4855"/>
    <x:sheet xmlns:r="http://schemas.openxmlformats.org/officeDocument/2006/relationships" name="枚举字典" sheetId="6" r:id="R997ac6c204d84c85"/>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
    <x:numFmt numFmtId="201" formatCode="@"/>
  </x:numFmts>
  <x:fonts count="9">
    <x:font>
      <x:sz val="11"/>
      <x:name val="Carlito"/>
    </x:font>
    <x:font>
      <x:b/>
      <x:sz val="22"/>
      <x:color rgb="FFFFFFFF"/>
      <x:name val="Calibri"/>
    </x:font>
    <x:font>
      <x:b/>
      <x:sz val="12"/>
      <x:color rgb="FF17365D"/>
      <x:name val="Calibri"/>
    </x:font>
    <x:font>
      <x:b/>
      <x:sz val="11"/>
      <x:color rgb="FFFFFFFF"/>
      <x:name val="Calibri"/>
    </x:font>
    <x:font>
      <x:sz val="11"/>
      <x:color rgb="FF1F2937"/>
      <x:name val="Calibri"/>
    </x:font>
    <x:font>
      <x:b/>
      <x:sz val="18"/>
      <x:color rgb="FFFFFFFF"/>
      <x:name val="Calibri"/>
    </x:font>
    <x:font>
      <x:b/>
      <x:sz val="11"/>
      <x:color rgb="FF17365D"/>
      <x:name val="Calibri"/>
    </x:font>
    <x:font>
      <x:sz val="10"/>
      <x:color rgb="FF1F2937"/>
      <x:name val="Calibri"/>
    </x:font>
    <x:font>
      <x:b/>
      <x:sz val="10"/>
      <x:color rgb="FFFFFFFF"/>
      <x:name val="Calibri"/>
    </x:font>
  </x:fonts>
  <x:fills count="8">
    <x:fill>
      <x:patternFill patternType="none"/>
    </x:fill>
    <x:fill>
      <x:patternFill patternType="gray125"/>
    </x:fill>
    <x:fill>
      <x:patternFill patternType="solid">
        <x:fgColor rgb="FF17365D"/>
      </x:patternFill>
    </x:fill>
    <x:fill>
      <x:patternFill patternType="solid">
        <x:fgColor rgb="FFD9EAF7"/>
      </x:patternFill>
    </x:fill>
    <x:fill>
      <x:patternFill patternType="solid">
        <x:fgColor rgb="FF2E75B6"/>
      </x:patternFill>
    </x:fill>
    <x:fill>
      <x:patternFill patternType="solid">
        <x:fgColor rgb="FFFFF2CC"/>
      </x:patternFill>
    </x:fill>
    <x:fill>
      <x:patternFill patternType="solid">
        <x:fgColor rgb="FFE2F0D9"/>
      </x:patternFill>
    </x:fill>
    <x:fill>
      <x:patternFill patternType="solid">
        <x:fgColor rgb="FFF2F2F2"/>
      </x:patternFill>
    </x:fill>
  </x:fills>
  <x:borders count="5">
    <x:border/>
    <x:border>
      <x:left style="thin">
        <x:color rgb="FFB4C6E7"/>
      </x:left>
      <x:right style="thin">
        <x:color rgb="FFB4C6E7"/>
      </x:right>
      <x:top style="thin">
        <x:color rgb="FFB4C6E7"/>
      </x:top>
      <x:bottom style="thin">
        <x:color rgb="FFB4C6E7"/>
      </x:bottom>
    </x:border>
    <x:border>
      <x:left style="medium">
        <x:color rgb="FF2E75B6"/>
      </x:left>
      <x:right style="medium">
        <x:color rgb="FF2E75B6"/>
      </x:right>
      <x:top style="medium">
        <x:color rgb="FF2E75B6"/>
      </x:top>
      <x:bottom style="medium">
        <x:color rgb="FF2E75B6"/>
      </x:bottom>
    </x:border>
    <x:border>
      <x:left style="thin">
        <x:color rgb="FFD9E2F3"/>
      </x:left>
      <x:right style="thin">
        <x:color rgb="FFD9E2F3"/>
      </x:right>
      <x:top style="thin">
        <x:color rgb="FFD9E2F3"/>
      </x:top>
      <x:bottom style="thin">
        <x:color rgb="FFD9E2F3"/>
      </x:bottom>
    </x:border>
    <x:border>
      <x:left style="thin">
        <x:color rgb="FFFFFFFF"/>
      </x:left>
      <x:right style="thin">
        <x:color rgb="FFFFFFFF"/>
      </x:right>
      <x:top style="thin">
        <x:color rgb="FFFFFFFF"/>
      </x:top>
      <x:bottom style="thin">
        <x:color rgb="FFFFFFFF"/>
      </x:bottom>
    </x:border>
  </x:borders>
  <x:cellStyleXfs count="1">
    <x:xf numFmtId="0" fontId="0" fillId="0" borderId="0"/>
  </x:cellStyleXfs>
  <x:cellXfs count="50">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vertical="center"/>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horizontal="center"/>
    </x:xf>
    <x:xf numFmtId="0" fontId="3" fillId="4" borderId="0" xfId="0" applyNumberFormat="1" applyFont="1" applyFill="1" applyBorder="1" applyAlignment="1">
      <x:alignment horizontal="center" vertical="center"/>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wrapText="1"/>
    </x:xf>
    <x:xf numFmtId="0" fontId="4" fillId="5" borderId="0" xfId="0" applyNumberFormat="1" applyFont="1" applyFill="1" applyBorder="1" applyAlignment="1">
      <x:alignment vertical="center" wrapText="1"/>
    </x:xf>
    <x:xf numFmtId="0" fontId="3" fillId="4" borderId="1" xfId="0" applyNumberFormat="1" applyFont="1" applyFill="1" applyBorder="1" applyAlignment="1">
      <x:alignment horizontal="center" vertical="center"/>
    </x:xf>
    <x:xf numFmtId="0" fontId="4" fillId="5" borderId="1" xfId="0" applyNumberFormat="1" applyFont="1" applyFill="1" applyBorder="1" applyAlignment="1">
      <x:alignment vertical="center" wrapText="1"/>
    </x:xf>
    <x:xf numFmtId="0" fontId="5" fillId="2" borderId="0" xfId="0" applyNumberFormat="1" applyFont="1" applyFill="1" applyBorder="1"/>
    <x:xf numFmtId="0" fontId="5" fillId="2" borderId="0" xfId="0" applyNumberFormat="1" applyFont="1" applyFill="1" applyBorder="1" applyAlignment="1">
      <x:alignment horizontal="left"/>
    </x:xf>
    <x:xf numFmtId="0" fontId="4" fillId="3" borderId="0" xfId="0" applyNumberFormat="1" applyFont="1" applyFill="1" applyBorder="1"/>
    <x:xf numFmtId="0" fontId="4" fillId="3" borderId="1" xfId="0" applyNumberFormat="1" applyFont="1" applyFill="1" applyBorder="1"/>
    <x:xf numFmtId="0" fontId="4" fillId="3" borderId="1" xfId="0" applyNumberFormat="1" applyFont="1" applyFill="1" applyBorder="1" applyAlignment="1">
      <x:alignment horizontal="center"/>
    </x:xf>
    <x:xf numFmtId="0" fontId="4" fillId="6" borderId="1" xfId="0" applyNumberFormat="1" applyFont="1" applyFill="1" applyBorder="1" applyAlignment="1">
      <x:alignment horizontal="center"/>
    </x:xf>
    <x:xf numFmtId="0" fontId="6" fillId="6" borderId="1" xfId="0" applyNumberFormat="1" applyFont="1" applyFill="1" applyBorder="1" applyAlignment="1">
      <x:alignment horizontal="center"/>
    </x:xf>
    <x:xf numFmtId="0" fontId="6" fillId="6" borderId="2" xfId="0" applyNumberFormat="1" applyFont="1" applyFill="1" applyBorder="1" applyAlignment="1">
      <x:alignment horizontal="center"/>
    </x:xf>
    <x:xf numFmtId="200" fontId="4" fillId="3" borderId="1" xfId="0" applyNumberFormat="1" applyFont="1" applyFill="1" applyBorder="1" applyAlignment="1">
      <x:alignment horizontal="center"/>
    </x:xf>
    <x:xf numFmtId="200" fontId="6" fillId="6" borderId="2" xfId="0" applyNumberFormat="1" applyFont="1" applyFill="1" applyBorder="1" applyAlignment="1">
      <x:alignment horizontal="center"/>
    </x:xf>
    <x:xf numFmtId="201" fontId="0" fillId="0" borderId="0" xfId="0" applyNumberFormat="1" applyFont="1" applyFill="1" applyBorder="1"/>
    <x:xf numFmtId="0" fontId="7" fillId="0" borderId="0" xfId="0" applyNumberFormat="1" applyFont="1" applyFill="1" applyBorder="1"/>
    <x:xf numFmtId="201" fontId="7" fillId="0" borderId="0" xfId="0" applyNumberFormat="1" applyFont="1" applyFill="1" applyBorder="1"/>
    <x:xf numFmtId="0" fontId="7" fillId="0" borderId="0" xfId="0" applyNumberFormat="1" applyFont="1" applyFill="1" applyBorder="1" applyAlignment="1">
      <x:alignment vertical="center"/>
    </x:xf>
    <x:xf numFmtId="201" fontId="7" fillId="0" borderId="0" xfId="0" applyNumberFormat="1" applyFont="1" applyFill="1" applyBorder="1" applyAlignment="1">
      <x:alignment vertical="center"/>
    </x:xf>
    <x:xf numFmtId="0" fontId="7" fillId="0" borderId="0" xfId="0" applyNumberFormat="1" applyFont="1" applyFill="1" applyBorder="1" applyAlignment="1">
      <x:alignment vertical="center" wrapText="1"/>
    </x:xf>
    <x:xf numFmtId="201" fontId="7" fillId="0" borderId="0" xfId="0" applyNumberFormat="1" applyFont="1" applyFill="1" applyBorder="1" applyAlignment="1">
      <x:alignment vertical="center" wrapText="1"/>
    </x:xf>
    <x:xf numFmtId="0" fontId="7" fillId="0" borderId="3" xfId="0" applyNumberFormat="1" applyFont="1" applyFill="1" applyBorder="1" applyAlignment="1">
      <x:alignment vertical="center" wrapText="1"/>
    </x:xf>
    <x:xf numFmtId="201" fontId="7" fillId="0" borderId="3" xfId="0" applyNumberFormat="1" applyFont="1" applyFill="1" applyBorder="1" applyAlignment="1">
      <x:alignment vertical="center" wrapText="1"/>
    </x:xf>
    <x:xf numFmtId="0" fontId="7" fillId="2" borderId="3" xfId="0" applyNumberFormat="1" applyFont="1" applyFill="1" applyBorder="1" applyAlignment="1">
      <x:alignment vertical="center" wrapText="1"/>
    </x:xf>
    <x:xf numFmtId="0" fontId="8" fillId="2" borderId="3" xfId="0" applyNumberFormat="1" applyFont="1" applyFill="1" applyBorder="1" applyAlignment="1">
      <x:alignment vertical="center" wrapText="1"/>
    </x:xf>
    <x:xf numFmtId="0" fontId="8" fillId="2" borderId="4" xfId="0" applyNumberFormat="1" applyFont="1" applyFill="1" applyBorder="1" applyAlignment="1">
      <x:alignment vertical="center" wrapText="1"/>
    </x:xf>
    <x:xf numFmtId="0" fontId="8" fillId="2" borderId="4" xfId="0" applyNumberFormat="1" applyFont="1" applyFill="1" applyBorder="1" applyAlignment="1">
      <x:alignment horizontal="center" vertical="center" wrapText="1"/>
    </x:xf>
    <x:xf numFmtId="0" fontId="7" fillId="7" borderId="3" xfId="0" applyNumberFormat="1" applyFont="1" applyFill="1" applyBorder="1" applyAlignment="1">
      <x:alignment vertical="center" wrapText="1"/>
    </x:xf>
    <x:xf numFmtId="201" fontId="7" fillId="7" borderId="3" xfId="0" applyNumberFormat="1" applyFont="1" applyFill="1" applyBorder="1" applyAlignment="1">
      <x:alignment vertical="center" wrapText="1"/>
    </x:xf>
    <x:xf numFmtId="0" fontId="7" fillId="5" borderId="3" xfId="0" applyNumberFormat="1" applyFont="1" applyFill="1" applyBorder="1" applyAlignment="1">
      <x:alignment vertical="center" wrapText="1"/>
    </x:xf>
    <x:xf numFmtId="0" fontId="8" fillId="2" borderId="0" xfId="0" applyNumberFormat="1" applyFont="1" applyFill="1" applyBorder="1"/>
    <x:xf numFmtId="0" fontId="8" fillId="2" borderId="0" xfId="0" applyNumberFormat="1" applyFont="1" applyFill="1" applyBorder="1" applyAlignment="1">
      <x:alignment wrapText="1"/>
    </x:xf>
    <x:xf numFmtId="0" fontId="8" fillId="2" borderId="0" xfId="0" applyNumberFormat="1" applyFont="1" applyFill="1" applyBorder="1" applyAlignment="1">
      <x:alignment horizontal="center" wrapText="1"/>
    </x:xf>
    <x:xf numFmtId="0" fontId="7" fillId="3" borderId="0" xfId="0" applyNumberFormat="1" applyFont="1" applyFill="1" applyBorder="1"/>
    <x:xf numFmtId="0" fontId="7" fillId="3" borderId="1" xfId="0" applyNumberFormat="1" applyFont="1" applyFill="1" applyBorder="1"/>
    <x:xf numFmtId="201" fontId="7" fillId="5" borderId="3"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6f1bcb32de68454f" /><Relationship Type="http://schemas.openxmlformats.org/officeDocument/2006/relationships/theme" Target="/xl/theme/theme1.xml" Id="Rca75b6dad6954e6f" /><Relationship Type="http://schemas.openxmlformats.org/officeDocument/2006/relationships/sharedStrings" Target="/xl/sharedStrings.xml" Id="R0a77c3edb2c24940" /><Relationship Type="http://schemas.openxmlformats.org/officeDocument/2006/relationships/worksheet" Target="/xl/worksheets/sheet1.xml" Id="Rf032e192a83042cd" /><Relationship Type="http://schemas.openxmlformats.org/officeDocument/2006/relationships/worksheet" Target="/xl/worksheets/sheet2.xml" Id="Rc8a5f1bbfe89431b" /><Relationship Type="http://schemas.openxmlformats.org/officeDocument/2006/relationships/worksheet" Target="/xl/worksheets/sheet3.xml" Id="Ra6461542b8fd405f" /><Relationship Type="http://schemas.openxmlformats.org/officeDocument/2006/relationships/worksheet" Target="/xl/worksheets/sheet4.xml" Id="R352548b734b94f80" /><Relationship Type="http://schemas.openxmlformats.org/officeDocument/2006/relationships/worksheet" Target="/xl/worksheets/sheet5.xml" Id="R9fd1b01439be4855" /><Relationship Type="http://schemas.openxmlformats.org/officeDocument/2006/relationships/worksheet" Target="/xl/worksheets/sheet6.xml" Id="R997ac6c204d84c85"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18" hidden="0" customWidth="1"/>
    <x:col min="2" max="2" width="82" hidden="0" customWidth="1"/>
  </x:cols>
  <x:sheetData>
    <x:row r="1">
      <x:c r="A1" s="4" t="str">
        <x:v>独立金标 v3 · 标注员 B</x:v>
      </x:c>
      <x:c r="B1" s="4" t="str">
        <x:v>独立金标 v3 · 标注员 B</x:v>
      </x:c>
      <x:c r="C1" s="4" t="str">
        <x:v>独立金标 v3 · 标注员 B</x:v>
      </x:c>
      <x:c r="D1" s="4" t="str">
        <x:v>独立金标 v3 · 标注员 B</x:v>
      </x:c>
      <x:c r="E1" s="4" t="str">
        <x:v>独立金标 v3 · 标注员 B</x:v>
      </x:c>
      <x:c r="F1" s="4" t="str">
        <x:v>独立金标 v3 · 标注员 B</x:v>
      </x:c>
      <x:c r="G1" s="4" t="str">
        <x:v>独立金标 v3 · 标注员 B</x:v>
      </x:c>
      <x:c r="H1" s="4" t="str">
        <x:v>独立金标 v3 · 标注员 B</x:v>
      </x:c>
    </x:row>
    <x:row r="2">
      <x:c r="A2" s="4" t="str">
        <x:v>独立金标 v3 · 标注员 B</x:v>
      </x:c>
      <x:c r="B2" s="4" t="str">
        <x:v>独立金标 v3 · 标注员 B</x:v>
      </x:c>
      <x:c r="C2" s="4" t="str">
        <x:v>独立金标 v3 · 标注员 B</x:v>
      </x:c>
      <x:c r="D2" s="4" t="str">
        <x:v>独立金标 v3 · 标注员 B</x:v>
      </x:c>
      <x:c r="E2" s="4" t="str">
        <x:v>独立金标 v3 · 标注员 B</x:v>
      </x:c>
      <x:c r="F2" s="4" t="str">
        <x:v>独立金标 v3 · 标注员 B</x:v>
      </x:c>
      <x:c r="G2" s="4" t="str">
        <x:v>独立金标 v3 · 标注员 B</x:v>
      </x:c>
      <x:c r="H2" s="4" t="str">
        <x:v>独立金标 v3 · 标注员 B</x:v>
      </x:c>
    </x:row>
    <x:row r="3">
      <x:c r="A3" s="7" t="str">
        <x:v>双人独立盲标｜120 事件 + 60 正文事实 + 180 Graph RAG 关系</x:v>
      </x:c>
      <x:c r="B3" s="7" t="str">
        <x:v>双人独立盲标｜120 事件 + 60 正文事实 + 180 Graph RAG 关系</x:v>
      </x:c>
      <x:c r="C3" s="7" t="str">
        <x:v>双人独立盲标｜120 事件 + 60 正文事实 + 180 Graph RAG 关系</x:v>
      </x:c>
      <x:c r="D3" s="7" t="str">
        <x:v>双人独立盲标｜120 事件 + 60 正文事实 + 180 Graph RAG 关系</x:v>
      </x:c>
      <x:c r="E3" s="7" t="str">
        <x:v>双人独立盲标｜120 事件 + 60 正文事实 + 180 Graph RAG 关系</x:v>
      </x:c>
      <x:c r="F3" s="7" t="str">
        <x:v>双人独立盲标｜120 事件 + 60 正文事实 + 180 Graph RAG 关系</x:v>
      </x:c>
      <x:c r="G3" s="7" t="str">
        <x:v>双人独立盲标｜120 事件 + 60 正文事实 + 180 Graph RAG 关系</x:v>
      </x:c>
      <x:c r="H3" s="7" t="str">
        <x:v>双人独立盲标｜120 事件 + 60 正文事实 + 180 Graph RAG 关系</x:v>
      </x:c>
    </x:row>
    <x:row r="5" ht="42" customHeight="1">
      <x:c r="A5" s="16" t="str">
        <x:v>开始前</x:v>
      </x:c>
      <x:c r="B5" s="17" t="str">
        <x:v>阅读《独立金标 v3 标注手册》；不要查看另一名标注员的文件或项目既有标签。</x:v>
      </x:c>
    </x:row>
    <x:row r="6" ht="42" customHeight="1">
      <x:c r="A6" s="16" t="str">
        <x:v>填写区域</x:v>
      </x:c>
      <x:c r="B6" s="17" t="str">
        <x:v>只填写浅黄色单元格；灰色字段和样本顺序不可修改、删行或增行。</x:v>
      </x:c>
    </x:row>
    <x:row r="7" ht="42" customHeight="1">
      <x:c r="A7" s="16" t="str">
        <x:v>判断依据</x:v>
      </x:c>
      <x:c r="B7" s="17" t="str">
        <x:v>公告标题不足以定方向时必须打开原文；关键证据尽量摘录原文并填写定位。</x:v>
      </x:c>
    </x:row>
    <x:row r="8" ht="42" customHeight="1">
      <x:c r="A8" s="16" t="str">
        <x:v>方向含义</x:v>
      </x:c>
      <x:c r="B8" s="17" t="str">
        <x:v>支持/冲突均相对投资假设，不是股价涨跌、情绪或买卖建议。</x:v>
      </x:c>
    </x:row>
    <x:row r="9" ht="42" customHeight="1">
      <x:c r="A9" s="16" t="str">
        <x:v>信息不足</x:v>
      </x:c>
      <x:c r="B9" s="17" t="str">
        <x:v>原文不可达、正文缺失或信息无法判断时使用，不要勉强猜测。</x:v>
      </x:c>
    </x:row>
    <x:row r="10" ht="42" customHeight="1">
      <x:c r="A10" s="16" t="str">
        <x:v>完成条件</x:v>
      </x:c>
      <x:c r="B10" s="17" t="str">
        <x:v>三张任务表每一行的必填字段完成，进度页显示 100%。</x:v>
      </x:c>
    </x:row>
    <x:row r="11" ht="42" customHeight="1">
      <x:c r="A11" s="16" t="str">
        <x:v>回收命名</x:v>
      </x:c>
      <x:c r="B11" s="17" t="str">
        <x:v>annotator_B_completed_研究员ID_YYYYMMDD.xlsx</x:v>
      </x:c>
    </x:row>
  </x:sheetData>
  <x:mergeCells>
    <x:mergeCell ref="A1:H2"/>
    <x:mergeCell ref="A3:H3"/>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28" hidden="0" customWidth="1"/>
    <x:col min="2" max="2" width="16" hidden="0" customWidth="1"/>
    <x:col min="3" max="3" width="16" hidden="0" customWidth="1"/>
    <x:col min="4" max="4" width="16" hidden="0" customWidth="1"/>
  </x:cols>
  <x:sheetData>
    <x:row r="1">
      <x:c r="A1" s="19" t="str">
        <x:v>标注完成进度</x:v>
      </x:c>
      <x:c r="B1" s="19" t="str">
        <x:v>标注完成进度</x:v>
      </x:c>
      <x:c r="C1" s="19" t="str">
        <x:v>标注完成进度</x:v>
      </x:c>
      <x:c r="D1" s="19" t="str">
        <x:v>标注完成进度</x:v>
      </x:c>
    </x:row>
    <x:row r="3">
      <x:c r="A3" s="10" t="str">
        <x:v>任务</x:v>
      </x:c>
      <x:c r="B3" s="10" t="str">
        <x:v>已完成</x:v>
      </x:c>
      <x:c r="C3" s="10" t="str">
        <x:v>总数</x:v>
      </x:c>
      <x:c r="D3" s="10" t="str">
        <x:v>完成率</x:v>
      </x:c>
    </x:row>
    <x:row r="4">
      <x:c r="A4" s="22" t="str">
        <x:v>事件语义</x:v>
      </x:c>
      <x:c r="B4" s="22" t="n">
        <x:f>COUNT('事件语义_120'!W2:W121)</x:f>
        <x:v>120</x:v>
      </x:c>
      <x:c r="C4" s="22" t="n">
        <x:v>120</x:v>
      </x:c>
      <x:c r="D4" s="26" t="n">
        <x:f>B4/C4</x:f>
        <x:v>1</x:v>
      </x:c>
    </x:row>
    <x:row r="5">
      <x:c r="A5" s="22" t="str">
        <x:v>正文事实</x:v>
      </x:c>
      <x:c r="B5" s="22" t="n">
        <x:f>COUNT('正文事实_60'!U2:U61)</x:f>
        <x:v>60</x:v>
      </x:c>
      <x:c r="C5" s="22" t="n">
        <x:v>60</x:v>
      </x:c>
      <x:c r="D5" s="26" t="n">
        <x:f>B5/C5</x:f>
        <x:v>1</x:v>
      </x:c>
    </x:row>
    <x:row r="6">
      <x:c r="A6" s="22" t="str">
        <x:v>Graph RAG 相关性</x:v>
      </x:c>
      <x:c r="B6" s="22" t="n">
        <x:f>COUNT('GraphRAG相关性_180'!P2:P181)</x:f>
        <x:v>180</x:v>
      </x:c>
      <x:c r="C6" s="22" t="n">
        <x:v>180</x:v>
      </x:c>
      <x:c r="D6" s="26" t="n">
        <x:f>B6/C6</x:f>
        <x:v>1</x:v>
      </x:c>
    </x:row>
    <x:row r="7">
      <x:c r="A7" s="22"/>
      <x:c r="B7" s="22"/>
      <x:c r="C7" s="22"/>
      <x:c r="D7" s="26"/>
    </x:row>
    <x:row r="8">
      <x:c r="A8" s="25" t="str">
        <x:v>总体</x:v>
      </x:c>
      <x:c r="B8" s="25" t="n">
        <x:f>SUM(B4:B6)</x:f>
        <x:v>360</x:v>
      </x:c>
      <x:c r="C8" s="25" t="n">
        <x:v>360</x:v>
      </x:c>
      <x:c r="D8" s="27" t="n">
        <x:f>B8/C8</x:f>
        <x:v>1</x:v>
      </x:c>
    </x:row>
  </x:sheetData>
  <x:mergeCells>
    <x:mergeCell ref="A1:D1"/>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7" hidden="0" customWidth="1"/>
    <x:col min="2" max="2" width="13" hidden="0" customWidth="1"/>
    <x:col min="3" max="3" width="12" hidden="0" customWidth="1"/>
    <x:col min="4" max="4" width="11" hidden="0" customWidth="1"/>
    <x:col min="5" max="5" width="13" hidden="0" customWidth="1"/>
    <x:col min="6" max="6" width="8" hidden="0" customWidth="1"/>
    <x:col min="7" max="7" width="22" hidden="0" customWidth="1"/>
    <x:col min="8" max="8" width="17" hidden="0" customWidth="1"/>
    <x:col min="9" max="9" width="38" hidden="0" customWidth="1"/>
    <x:col min="10" max="10" width="34" hidden="0" customWidth="1"/>
    <x:col min="11" max="11" width="42" hidden="0" customWidth="1"/>
    <x:col min="12" max="12" width="42" hidden="0" customWidth="1"/>
    <x:col min="13" max="13" width="42" hidden="0" customWidth="1"/>
    <x:col min="14" max="14" width="42" hidden="0" customWidth="1"/>
    <x:col min="15" max="15" width="34" hidden="0" customWidth="1"/>
    <x:col min="16" max="16" width="18" hidden="0" customWidth="1"/>
    <x:col min="17" max="17" width="20" hidden="0" customWidth="1"/>
    <x:col min="18" max="18" width="14" hidden="0" customWidth="1"/>
    <x:col min="19" max="19" width="12" hidden="0" customWidth="1"/>
    <x:col min="20" max="20" width="12" hidden="0" customWidth="1"/>
    <x:col min="21" max="21" width="38" hidden="0" customWidth="1"/>
    <x:col min="22" max="22" width="38" hidden="0" customWidth="1"/>
    <x:col min="23" max="23" width="10" hidden="0" customWidth="1"/>
    <x:col min="24" max="24" width="18" hidden="0" customWidth="1"/>
    <x:col min="25" max="25" width="16" hidden="0" customWidth="1"/>
    <x:col min="26" max="26" width="22" hidden="0" customWidth="1"/>
  </x:cols>
  <x:sheetData>
    <x:row r="1" ht="15" hidden="0" customHeight="1">
      <x:c r="A1" s="40" t="str">
        <x:v>序号</x:v>
      </x:c>
      <x:c r="B1" s="40" t="str">
        <x:v>样本ID</x:v>
      </x:c>
      <x:c r="C1" s="40" t="str">
        <x:v>公司</x:v>
      </x:c>
      <x:c r="D1" s="40" t="str">
        <x:v>证券代码</x:v>
      </x:c>
      <x:c r="E1" s="40" t="str">
        <x:v>行业</x:v>
      </x:c>
      <x:c r="F1" s="40" t="str">
        <x:v>市场</x:v>
      </x:c>
      <x:c r="G1" s="40" t="str">
        <x:v>披露时间</x:v>
      </x:c>
      <x:c r="H1" s="40" t="str">
        <x:v>时间精度</x:v>
      </x:c>
      <x:c r="I1" s="40" t="str">
        <x:v>公告标题</x:v>
      </x:c>
      <x:c r="J1" s="40" t="str">
        <x:v>原文链接</x:v>
      </x:c>
      <x:c r="K1" s="40" t="str">
        <x:v>核心观点</x:v>
      </x:c>
      <x:c r="L1" s="40" t="str">
        <x:v>H1-需求与出货</x:v>
      </x:c>
      <x:c r="M1" s="40" t="str">
        <x:v>H2-盈利质量</x:v>
      </x:c>
      <x:c r="N1" s="40" t="str">
        <x:v>H3-产能与扩张</x:v>
      </x:c>
      <x:c r="O1" s="40" t="str">
        <x:v>事件摘要</x:v>
      </x:c>
      <x:c r="P1" s="40" t="str">
        <x:v>事件类别</x:v>
      </x:c>
      <x:c r="Q1" s="40" t="str">
        <x:v>主要关联假设</x:v>
      </x:c>
      <x:c r="R1" s="40" t="str">
        <x:v>影响方向</x:v>
      </x:c>
      <x:c r="S1" s="40" t="str">
        <x:v>影响强度</x:v>
      </x:c>
      <x:c r="T1" s="40" t="str">
        <x:v>直接性</x:v>
      </x:c>
      <x:c r="U1" s="40" t="str">
        <x:v>关键证据原文</x:v>
      </x:c>
      <x:c r="V1" s="40" t="str">
        <x:v>判断理由</x:v>
      </x:c>
      <x:c r="W1" s="40" t="str">
        <x:v>置信度</x:v>
      </x:c>
      <x:c r="X1" s="40" t="str">
        <x:v>数据问题</x:v>
      </x:c>
      <x:c r="Y1" s="40" t="str">
        <x:v>标注人ID</x:v>
      </x:c>
      <x:c r="Z1" s="40" t="str">
        <x:v>标注时间</x:v>
      </x:c>
    </x:row>
    <x:row r="2" ht="56" hidden="0" customHeight="1">
      <x:c r="A2" s="41" t="str">
        <x:v>1</x:v>
      </x:c>
      <x:c r="B2" s="41" t="str">
        <x:v>G3-E107</x:v>
      </x:c>
      <x:c r="C2" s="41" t="str">
        <x:v>小鹏汽车</x:v>
      </x:c>
      <x:c r="D2" s="42" t="str">
        <x:v>​09868</x:v>
      </x:c>
      <x:c r="E2" s="41" t="str">
        <x:v>新能源汽车</x:v>
      </x:c>
      <x:c r="F2" s="41" t="str">
        <x:v>港股</x:v>
      </x:c>
      <x:c r="G2" s="42" t="str">
        <x:v>​2025-08-22T21:24:11+08:00</x:v>
      </x:c>
      <x:c r="H2" s="41" t="str">
        <x:v>精确</x:v>
      </x:c>
      <x:c r="I2" s="41" t="str">
        <x:v>重续持续关连交易 与广东汇天签订2026年合作框架协议</x:v>
      </x:c>
      <x:c r="J2" s="41" t="str">
        <x:v>http://static.cninfo.com.cn/finalpage/2025-08-22/1224561663.PDF</x:v>
      </x:c>
      <x:c r="K2" s="41" t="str">
        <x:v>新势力整车厂，交付量与车型周期决定收入，毛利率从负值修复中，盈利质量仍是主要风险。港股仅披露中报与年报，季度颗粒度不足</x:v>
      </x:c>
      <x:c r="L2" s="41" t="str">
        <x:v>智能车交付量保持增长，新车型周期带动需求回升</x:v>
      </x:c>
      <x:c r="M2" s="41" t="str">
        <x:v>毛利率随规模与技术服务收入改善，不回落到历史低位</x:v>
      </x:c>
      <x:c r="N2" s="41" t="str">
        <x:v>研发与产能投入可持续，现金流不出现明显恶化</x:v>
      </x:c>
      <x:c r="O2" s="43" t="str">
        <x:v>公告披露：2026年合作框架协议年度交易上限为人民币900百万元，合作需求不断增加。</x:v>
      </x:c>
      <x:c r="P2" s="43" t="str">
        <x:v>订单/合同</x:v>
      </x:c>
      <x:c r="Q2" s="43" t="str">
        <x:v>H1-需求与出货</x:v>
      </x:c>
      <x:c r="R2" s="43" t="str">
        <x:v>支持</x:v>
      </x:c>
      <x:c r="S2" s="43" t="str">
        <x:v>中</x:v>
      </x:c>
      <x:c r="T2" s="43" t="str">
        <x:v>直接</x:v>
      </x:c>
      <x:c r="U2" s="43" t="str">
        <x:v>2026年合作框架协议年度交易上限为人民币900百万元，合作需求不断增加。</x:v>
      </x:c>
      <x:c r="V2" s="43" t="str">
        <x:v>该事实提高H1-需求与出货的可信度；判断基于公告直接披露的业务指标、阶段进展或风险信息。</x:v>
      </x:c>
      <x:c r="W2" s="43" t="n">
        <x:v>5</x:v>
      </x:c>
      <x:c r="X2" s="43" t="str">
        <x:v>无</x:v>
      </x:c>
      <x:c r="Y2" s="43" t="str">
        <x:v>B-CODEX-FIN-01</x:v>
      </x:c>
      <x:c r="Z2" s="49" t="str">
        <x:v>20260826T150309+08:00</x:v>
      </x:c>
    </x:row>
    <x:row r="3" ht="56" hidden="0" customHeight="1">
      <x:c r="A3" s="41" t="str">
        <x:v>2</x:v>
      </x:c>
      <x:c r="B3" s="41" t="str">
        <x:v>G3-E049</x:v>
      </x:c>
      <x:c r="C3" s="41" t="str">
        <x:v>比亚迪</x:v>
      </x:c>
      <x:c r="D3" s="42" t="str">
        <x:v>​002594</x:v>
      </x:c>
      <x:c r="E3" s="41" t="str">
        <x:v>新能源汽车</x:v>
      </x:c>
      <x:c r="F3" s="41" t="str">
        <x:v>A股</x:v>
      </x:c>
      <x:c r="G3" s="42" t="str">
        <x:v>​2024-03-02T00:00:00+08:00</x:v>
      </x:c>
      <x:c r="H3" s="41" t="str">
        <x:v>仅日期（按盘后处理）</x:v>
      </x:c>
      <x:c r="I3" s="41" t="str">
        <x:v>关于持股5%以上股东部分股份质押的公告</x:v>
      </x:c>
      <x:c r="J3" s="41" t="str">
        <x:v>http://static.cninfo.com.cn/finalpage/2024-03-02/1219219982.PDF</x:v>
      </x:c>
      <x:c r="K3" s="41" t="str">
        <x:v>新能源汽车销量与出口结构改善支撑收入，垂直一体化对冲价格战，需跟踪毛利率与海外扩张落地</x:v>
      </x:c>
      <x:c r="L3" s="41" t="str">
        <x:v>新能源汽车销量保持增长，出口占比提升对冲国内价格压力</x:v>
      </x:c>
      <x:c r="M3" s="41" t="str">
        <x:v>规模效应与垂直一体化维持毛利率，价格战不导致盈利持续恶化</x:v>
      </x:c>
      <x:c r="N3" s="41" t="str">
        <x:v>海外工厂与产能扩张按计划落地，不出现大额投资减值</x:v>
      </x:c>
      <x:c r="O3" s="43" t="str">
        <x:v>公司披露《关于持股5%以上股东部分股份质押的公告》，事项主要涉及治理、证券变动或程序安排。</x:v>
      </x:c>
      <x:c r="P3" s="43" t="str">
        <x:v>治理/其他</x:v>
      </x:c>
      <x:c r="Q3" s="43" t="str">
        <x:v>无关</x:v>
      </x:c>
      <x:c r="R3" s="43" t="str">
        <x:v>无关</x:v>
      </x:c>
      <x:c r="S3" s="43" t="str">
        <x:v>不适用</x:v>
      </x:c>
      <x:c r="T3" s="43" t="str">
        <x:v>不适用</x:v>
      </x:c>
      <x:c r="U3" s="43" t="str"/>
      <x:c r="V3" s="43" t="str">
        <x:v>公告未提供会改变需求出货、盈利质量或产能扩张判断的新增经营事实，故不进入核心证据链。</x:v>
      </x:c>
      <x:c r="W3" s="43" t="n">
        <x:v>5</x:v>
      </x:c>
      <x:c r="X3" s="43" t="str">
        <x:v>无</x:v>
      </x:c>
      <x:c r="Y3" s="43" t="str">
        <x:v>B-CODEX-FIN-01</x:v>
      </x:c>
      <x:c r="Z3" s="49" t="str">
        <x:v>20260826T150309+08:00</x:v>
      </x:c>
    </x:row>
    <x:row r="4" ht="56" hidden="0" customHeight="1">
      <x:c r="A4" s="41" t="str">
        <x:v>3</x:v>
      </x:c>
      <x:c r="B4" s="41" t="str">
        <x:v>G3-E093</x:v>
      </x:c>
      <x:c r="C4" s="41" t="str">
        <x:v>小鹏汽车</x:v>
      </x:c>
      <x:c r="D4" s="42" t="str">
        <x:v>​09868</x:v>
      </x:c>
      <x:c r="E4" s="41" t="str">
        <x:v>新能源汽车</x:v>
      </x:c>
      <x:c r="F4" s="41" t="str">
        <x:v>港股</x:v>
      </x:c>
      <x:c r="G4" s="42" t="str">
        <x:v>​2025-11-17T20:16:07+08:00</x:v>
      </x:c>
      <x:c r="H4" s="41" t="str">
        <x:v>精确</x:v>
      </x:c>
      <x:c r="I4" s="41" t="str">
        <x:v>委任独立非执行董事</x:v>
      </x:c>
      <x:c r="J4" s="41" t="str">
        <x:v>http://static.cninfo.com.cn/finalpage/2025-11-17/1224811413.PDF</x:v>
      </x:c>
      <x:c r="K4" s="41" t="str">
        <x:v>新势力整车厂，交付量与车型周期决定收入，毛利率从负值修复中，盈利质量仍是主要风险。港股仅披露中报与年报，季度颗粒度不足</x:v>
      </x:c>
      <x:c r="L4" s="41" t="str">
        <x:v>智能车交付量保持增长，新车型周期带动需求回升</x:v>
      </x:c>
      <x:c r="M4" s="41" t="str">
        <x:v>毛利率随规模与技术服务收入改善，不回落到历史低位</x:v>
      </x:c>
      <x:c r="N4" s="41" t="str">
        <x:v>研发与产能投入可持续，现金流不出现明显恶化</x:v>
      </x:c>
      <x:c r="O4" s="43" t="str">
        <x:v>公司披露《委任独立非执行董事》，事项主要涉及治理、证券变动或程序安排。</x:v>
      </x:c>
      <x:c r="P4" s="43" t="str">
        <x:v>治理/其他</x:v>
      </x:c>
      <x:c r="Q4" s="43" t="str">
        <x:v>无关</x:v>
      </x:c>
      <x:c r="R4" s="43" t="str">
        <x:v>无关</x:v>
      </x:c>
      <x:c r="S4" s="43" t="str">
        <x:v>不适用</x:v>
      </x:c>
      <x:c r="T4" s="43" t="str">
        <x:v>不适用</x:v>
      </x:c>
      <x:c r="U4" s="43" t="str"/>
      <x:c r="V4" s="43" t="str">
        <x:v>公告未提供会改变需求出货、盈利质量或产能扩张判断的新增经营事实，故不进入核心证据链。</x:v>
      </x:c>
      <x:c r="W4" s="43" t="n">
        <x:v>5</x:v>
      </x:c>
      <x:c r="X4" s="43" t="str">
        <x:v>无</x:v>
      </x:c>
      <x:c r="Y4" s="43" t="str">
        <x:v>B-CODEX-FIN-01</x:v>
      </x:c>
      <x:c r="Z4" s="49" t="str">
        <x:v>20260826T150309+08:00</x:v>
      </x:c>
    </x:row>
    <x:row r="5" ht="56" hidden="0" customHeight="1">
      <x:c r="A5" s="41" t="str">
        <x:v>4</x:v>
      </x:c>
      <x:c r="B5" s="41" t="str">
        <x:v>G3-E040</x:v>
      </x:c>
      <x:c r="C5" s="41" t="str">
        <x:v>北方华创</x:v>
      </x:c>
      <x:c r="D5" s="42" t="str">
        <x:v>​002371</x:v>
      </x:c>
      <x:c r="E5" s="41" t="str">
        <x:v>芯片半导体</x:v>
      </x:c>
      <x:c r="F5" s="41" t="str">
        <x:v>A股</x:v>
      </x:c>
      <x:c r="G5" s="42" t="str">
        <x:v>​2025-11-06T00:00:00+08:00</x:v>
      </x:c>
      <x:c r="H5" s="41" t="str">
        <x:v>仅日期（按盘后处理）</x:v>
      </x:c>
      <x:c r="I5" s="41" t="str">
        <x:v>关于开立募集资金暂时补充流动资金专项账户并签订募集资金三方监管协议的公告</x:v>
      </x:c>
      <x:c r="J5" s="41" t="str">
        <x:v>http://static.cninfo.com.cn/finalpage/2025-11-06/1224788384.PDF</x:v>
      </x:c>
      <x:c r="K5" s="41" t="str">
        <x:v>前道设备国产化核心标的，晶圆厂扩产与国产化率提升支撑订单与收入，需跟踪毛利率与交付节奏</x:v>
      </x:c>
      <x:c r="L5" s="41" t="str">
        <x:v>半导体设备订单随晶圆厂扩产与国产化率提升保持增长</x:v>
      </x:c>
      <x:c r="M5" s="41" t="str">
        <x:v>规模效应与国产化推进支撑毛利率，不因竞争加剧显著下滑</x:v>
      </x:c>
      <x:c r="N5" s="41" t="str">
        <x:v>产能与交付能力跟上订单增长，合同负债转化不出现明显滞后</x:v>
      </x:c>
      <x:c r="O5" s="43" t="str">
        <x:v>公司披露《关于开立募集资金暂时补充流动资金专项账户并签订募集资金三方监管协议的公告》，事项主要涉及治理、证券变动或程序安排。</x:v>
      </x:c>
      <x:c r="P5" s="43" t="str">
        <x:v>治理/其他</x:v>
      </x:c>
      <x:c r="Q5" s="43" t="str">
        <x:v>无关</x:v>
      </x:c>
      <x:c r="R5" s="43" t="str">
        <x:v>无关</x:v>
      </x:c>
      <x:c r="S5" s="43" t="str">
        <x:v>不适用</x:v>
      </x:c>
      <x:c r="T5" s="43" t="str">
        <x:v>不适用</x:v>
      </x:c>
      <x:c r="U5" s="43" t="str"/>
      <x:c r="V5" s="43" t="str">
        <x:v>公告未提供会改变需求出货、盈利质量或产能扩张判断的新增经营事实，故不进入核心证据链。</x:v>
      </x:c>
      <x:c r="W5" s="43" t="n">
        <x:v>5</x:v>
      </x:c>
      <x:c r="X5" s="43" t="str">
        <x:v>无</x:v>
      </x:c>
      <x:c r="Y5" s="43" t="str">
        <x:v>B-CODEX-FIN-01</x:v>
      </x:c>
      <x:c r="Z5" s="49" t="str">
        <x:v>20260826T150309+08:00</x:v>
      </x:c>
    </x:row>
    <x:row r="6" ht="56" hidden="0" customHeight="1">
      <x:c r="A6" s="41" t="str">
        <x:v>5</x:v>
      </x:c>
      <x:c r="B6" s="41" t="str">
        <x:v>G3-E094</x:v>
      </x:c>
      <x:c r="C6" s="41" t="str">
        <x:v>兆易创新</x:v>
      </x:c>
      <x:c r="D6" s="42" t="str">
        <x:v>​603986</x:v>
      </x:c>
      <x:c r="E6" s="41" t="str">
        <x:v>芯片半导体</x:v>
      </x:c>
      <x:c r="F6" s="41" t="str">
        <x:v>A股</x:v>
      </x:c>
      <x:c r="G6" s="42" t="str">
        <x:v>​2026-03-31T00:00:00+08:00</x:v>
      </x:c>
      <x:c r="H6" s="41" t="str">
        <x:v>仅日期（按盘后处理）</x:v>
      </x:c>
      <x:c r="I6" s="41" t="str">
        <x:v>兆易创新2025年年度报告</x:v>
      </x:c>
      <x:c r="J6" s="41" t="str">
        <x:v>http://static.cninfo.com.cn/finalpage/2026-03-31/1225061352.PDF</x:v>
      </x:c>
      <x:c r="K6" s="41" t="str">
        <x:v>存储与 MCU 设计商，需求随下游复苏与库存去化回升，毛利率对存储价格周期高度敏感，需跟踪产品结构</x:v>
      </x:c>
      <x:c r="L6" s="41" t="str">
        <x:v>存储与 MCU 需求随消费电子与工业复苏回升，库存周期见底</x:v>
      </x:c>
      <x:c r="M6" s="41" t="str">
        <x:v>毛利率随产品结构改善回升，不因存储价格波动持续走低</x:v>
      </x:c>
      <x:c r="N6" s="41" t="str">
        <x:v>新品研发与产能储备按计划推进，不出现存货大额跌价</x:v>
      </x:c>
      <x:c r="O6" s="43" t="str">
        <x:v>公告披露：2025年，公司实现营业收入92.03亿元，同比增长25.12%；归母净利润16.48亿元，同比增长49.47%。</x:v>
      </x:c>
      <x:c r="P6" s="43" t="str">
        <x:v>收入/利润</x:v>
      </x:c>
      <x:c r="Q6" s="43" t="str">
        <x:v>H2-盈利质量</x:v>
      </x:c>
      <x:c r="R6" s="43" t="str">
        <x:v>支持</x:v>
      </x:c>
      <x:c r="S6" s="43" t="str">
        <x:v>高</x:v>
      </x:c>
      <x:c r="T6" s="43" t="str">
        <x:v>直接</x:v>
      </x:c>
      <x:c r="U6" s="43" t="str">
        <x:v>2025年，公司实现营业收入92.03亿元，同比增长25.12%；归母净利润16.48亿元，同比增长49.47%。</x:v>
      </x:c>
      <x:c r="V6" s="43" t="str">
        <x:v>该事实提高H2-盈利质量的可信度；判断基于公告直接披露的业务指标、阶段进展或风险信息。</x:v>
      </x:c>
      <x:c r="W6" s="43" t="n">
        <x:v>5</x:v>
      </x:c>
      <x:c r="X6" s="43" t="str">
        <x:v>无</x:v>
      </x:c>
      <x:c r="Y6" s="43" t="str">
        <x:v>B-CODEX-FIN-01</x:v>
      </x:c>
      <x:c r="Z6" s="49" t="str">
        <x:v>20260826T150309+08:00</x:v>
      </x:c>
    </x:row>
    <x:row r="7" ht="56" hidden="0" customHeight="1">
      <x:c r="A7" s="41" t="str">
        <x:v>6</x:v>
      </x:c>
      <x:c r="B7" s="41" t="str">
        <x:v>G3-E056</x:v>
      </x:c>
      <x:c r="C7" s="41" t="str">
        <x:v>北方华创</x:v>
      </x:c>
      <x:c r="D7" s="42" t="str">
        <x:v>​002371</x:v>
      </x:c>
      <x:c r="E7" s="41" t="str">
        <x:v>芯片半导体</x:v>
      </x:c>
      <x:c r="F7" s="41" t="str">
        <x:v>A股</x:v>
      </x:c>
      <x:c r="G7" s="42" t="str">
        <x:v>​2025-06-25T00:00:00+08:00</x:v>
      </x:c>
      <x:c r="H7" s="41" t="str">
        <x:v>仅日期（按盘后处理）</x:v>
      </x:c>
      <x:c r="I7" s="41" t="str">
        <x:v>关于协议受让沈阳中科天盛自动化技术有限公司所持沈阳芯源微电子设备股份有限公司8.40%股份完成过户登记暨取得控制权的公告</x:v>
      </x:c>
      <x:c r="J7" s="41" t="str">
        <x:v>http://static.cninfo.com.cn/finalpage/2025-06-25/1223974415.PDF</x:v>
      </x:c>
      <x:c r="K7" s="41" t="str">
        <x:v>前道设备国产化核心标的，晶圆厂扩产与国产化率提升支撑订单与收入，需跟踪毛利率与交付节奏</x:v>
      </x:c>
      <x:c r="L7" s="41" t="str">
        <x:v>半导体设备订单随晶圆厂扩产与国产化率提升保持增长</x:v>
      </x:c>
      <x:c r="M7" s="41" t="str">
        <x:v>规模效应与国产化推进支撑毛利率，不因竞争加剧显著下滑</x:v>
      </x:c>
      <x:c r="N7" s="41" t="str">
        <x:v>产能与交付能力跟上订单增长，合同负债转化不出现明显滞后</x:v>
      </x:c>
      <x:c r="O7" s="43" t="str">
        <x:v>公告披露：协议受让芯源微8.40%股份已完成过户，北方华创取得芯源微控制权。</x:v>
      </x:c>
      <x:c r="P7" s="43" t="str">
        <x:v>产能/资本开支</x:v>
      </x:c>
      <x:c r="Q7" s="43" t="str">
        <x:v>H3-产能与扩张</x:v>
      </x:c>
      <x:c r="R7" s="43" t="str">
        <x:v>支持</x:v>
      </x:c>
      <x:c r="S7" s="43" t="str">
        <x:v>高</x:v>
      </x:c>
      <x:c r="T7" s="43" t="str">
        <x:v>直接</x:v>
      </x:c>
      <x:c r="U7" s="43" t="str">
        <x:v>协议受让芯源微8.40%股份已完成过户，北方华创取得芯源微控制权。</x:v>
      </x:c>
      <x:c r="V7" s="43" t="str">
        <x:v>该事实提高H3-产能与扩张的可信度；判断基于公告直接披露的业务指标、阶段进展或风险信息。</x:v>
      </x:c>
      <x:c r="W7" s="43" t="n">
        <x:v>5</x:v>
      </x:c>
      <x:c r="X7" s="43" t="str">
        <x:v>无</x:v>
      </x:c>
      <x:c r="Y7" s="43" t="str">
        <x:v>B-CODEX-FIN-01</x:v>
      </x:c>
      <x:c r="Z7" s="49" t="str">
        <x:v>20260826T150309+08:00</x:v>
      </x:c>
    </x:row>
    <x:row r="8" ht="56" hidden="0" customHeight="1">
      <x:c r="A8" s="41" t="str">
        <x:v>7</x:v>
      </x:c>
      <x:c r="B8" s="41" t="str">
        <x:v>G3-E084</x:v>
      </x:c>
      <x:c r="C8" s="41" t="str">
        <x:v>北方华创</x:v>
      </x:c>
      <x:c r="D8" s="42" t="str">
        <x:v>​002371</x:v>
      </x:c>
      <x:c r="E8" s="41" t="str">
        <x:v>芯片半导体</x:v>
      </x:c>
      <x:c r="F8" s="41" t="str">
        <x:v>A股</x:v>
      </x:c>
      <x:c r="G8" s="42" t="str">
        <x:v>​2024-04-13T00:00:00+08:00</x:v>
      </x:c>
      <x:c r="H8" s="41" t="str">
        <x:v>仅日期（按盘后处理）</x:v>
      </x:c>
      <x:c r="I8" s="41" t="str">
        <x:v>2023年度业绩快报</x:v>
      </x:c>
      <x:c r="J8" s="41" t="str">
        <x:v>http://static.cninfo.com.cn/finalpage/2024-04-13/1219597439.PDF</x:v>
      </x:c>
      <x:c r="K8" s="41" t="str">
        <x:v>前道设备国产化核心标的，晶圆厂扩产与国产化率提升支撑订单与收入，需跟踪毛利率与交付节奏</x:v>
      </x:c>
      <x:c r="L8" s="41" t="str">
        <x:v>半导体设备订单随晶圆厂扩产与国产化率提升保持增长</x:v>
      </x:c>
      <x:c r="M8" s="41" t="str">
        <x:v>规模效应与国产化推进支撑毛利率，不因竞争加剧显著下滑</x:v>
      </x:c>
      <x:c r="N8" s="41" t="str">
        <x:v>产能与交付能力跟上订单增长，合同负债转化不出现明显滞后</x:v>
      </x:c>
      <x:c r="O8" s="43" t="str">
        <x:v>公告披露：2023年营业总收入同比增长50.32%，新增订单显著增加，产品销量同比大幅增加。</x:v>
      </x:c>
      <x:c r="P8" s="43" t="str">
        <x:v>收入/利润</x:v>
      </x:c>
      <x:c r="Q8" s="43" t="str">
        <x:v>H1-需求与出货</x:v>
      </x:c>
      <x:c r="R8" s="43" t="str">
        <x:v>支持</x:v>
      </x:c>
      <x:c r="S8" s="43" t="str">
        <x:v>高</x:v>
      </x:c>
      <x:c r="T8" s="43" t="str">
        <x:v>直接</x:v>
      </x:c>
      <x:c r="U8" s="43" t="str">
        <x:v>2023年营业总收入同比增长50.32%，新增订单显著增加，产品销量同比大幅增加。</x:v>
      </x:c>
      <x:c r="V8" s="43" t="str">
        <x:v>该事实提高H1-需求与出货的可信度；判断基于公告直接披露的业务指标、阶段进展或风险信息。</x:v>
      </x:c>
      <x:c r="W8" s="43" t="n">
        <x:v>5</x:v>
      </x:c>
      <x:c r="X8" s="43" t="str">
        <x:v>无</x:v>
      </x:c>
      <x:c r="Y8" s="43" t="str">
        <x:v>B-CODEX-FIN-01</x:v>
      </x:c>
      <x:c r="Z8" s="49" t="str">
        <x:v>20260826T150309+08:00</x:v>
      </x:c>
    </x:row>
    <x:row r="9" ht="56" hidden="0" customHeight="1">
      <x:c r="A9" s="41" t="str">
        <x:v>8</x:v>
      </x:c>
      <x:c r="B9" s="41" t="str">
        <x:v>G3-E005</x:v>
      </x:c>
      <x:c r="C9" s="41" t="str">
        <x:v>吉利汽车</x:v>
      </x:c>
      <x:c r="D9" s="42" t="str">
        <x:v>​00175</x:v>
      </x:c>
      <x:c r="E9" s="41" t="str">
        <x:v>新能源汽车</x:v>
      </x:c>
      <x:c r="F9" s="41" t="str">
        <x:v>港股</x:v>
      </x:c>
      <x:c r="G9" s="42" t="str">
        <x:v>​2026-07-01T18:12:27+08:00</x:v>
      </x:c>
      <x:c r="H9" s="41" t="str">
        <x:v>精确</x:v>
      </x:c>
      <x:c r="I9" s="41" t="str">
        <x:v>未经审核之二零二六年六月销量</x:v>
      </x:c>
      <x:c r="J9" s="41" t="str">
        <x:v>http://static.cninfo.com.cn/finalpage/2026-07-01/1225403705.PDF</x:v>
      </x:c>
      <x:c r="K9" s="41" t="str">
        <x:v>新能源转型见效，销量与出口双增长支撑收入，平台整合与毛利率改善是核心观察点。港股披露频率低于 A 股</x:v>
      </x:c>
      <x:c r="L9" s="41" t="str">
        <x:v>新能源车型销量放量带动整体销量增长，出口贡献增量</x:v>
      </x:c>
      <x:c r="M9" s="41" t="str">
        <x:v>平台化与规模效应改善毛利率，新能源转型不持续拖累盈利</x:v>
      </x:c>
      <x:c r="N9" s="41" t="str">
        <x:v>品牌与平台整合按计划推进，不出现大额整合损失</x:v>
      </x:c>
      <x:c r="O9" s="43" t="str">
        <x:v>公告披露：本集团于二零二六年六月的汽车总销量为240,799部，较去年同期增长约2%。</x:v>
      </x:c>
      <x:c r="P9" s="43" t="str">
        <x:v>产销/需求</x:v>
      </x:c>
      <x:c r="Q9" s="43" t="str">
        <x:v>H1-需求与出货</x:v>
      </x:c>
      <x:c r="R9" s="43" t="str">
        <x:v>支持</x:v>
      </x:c>
      <x:c r="S9" s="43" t="str">
        <x:v>高</x:v>
      </x:c>
      <x:c r="T9" s="43" t="str">
        <x:v>直接</x:v>
      </x:c>
      <x:c r="U9" s="43" t="str">
        <x:v>本集团于二零二六年六月的汽车总销量为240,799部，较去年同期增长约2%。</x:v>
      </x:c>
      <x:c r="V9" s="43" t="str">
        <x:v>该事实提高H1-需求与出货的可信度；判断基于公告直接披露的业务指标、阶段进展或风险信息。</x:v>
      </x:c>
      <x:c r="W9" s="43" t="n">
        <x:v>5</x:v>
      </x:c>
      <x:c r="X9" s="43" t="str">
        <x:v>无</x:v>
      </x:c>
      <x:c r="Y9" s="43" t="str">
        <x:v>B-CODEX-FIN-01</x:v>
      </x:c>
      <x:c r="Z9" s="49" t="str">
        <x:v>20260826T150309+08:00</x:v>
      </x:c>
    </x:row>
    <x:row r="10" ht="56" hidden="0" customHeight="1">
      <x:c r="A10" s="41" t="str">
        <x:v>9</x:v>
      </x:c>
      <x:c r="B10" s="41" t="str">
        <x:v>G3-E029</x:v>
      </x:c>
      <x:c r="C10" s="41" t="str">
        <x:v>恒瑞医药</x:v>
      </x:c>
      <x:c r="D10" s="42" t="str">
        <x:v>​600276</x:v>
      </x:c>
      <x:c r="E10" s="41" t="str">
        <x:v>医药</x:v>
      </x:c>
      <x:c r="F10" s="41" t="str">
        <x:v>A股</x:v>
      </x:c>
      <x:c r="G10" s="42" t="str">
        <x:v>​2026-05-12T00:00:00+08:00</x:v>
      </x:c>
      <x:c r="H10" s="41" t="str">
        <x:v>仅日期（按盘后处理）</x:v>
      </x:c>
      <x:c r="I10" s="41" t="str">
        <x:v>恒瑞医药关于与百时美施贵宝公司签署战略合作及许可协议的公告</x:v>
      </x:c>
      <x:c r="J10" s="41" t="str">
        <x:v>http://static.cninfo.com.cn/finalpage/2026-05-12/1225300018.PDF</x:v>
      </x:c>
      <x:c r="K10" s="41" t="str">
        <x:v>创新药转型期，创新药放量与对外授权接续仿制药集采缺口，毛利率高但集采与研发成败是关键观察点</x:v>
      </x:c>
      <x:c r="L10" s="41" t="str">
        <x:v>创新药放量与授权合作收入接续仿制药集采下滑，研发管线持续推进</x:v>
      </x:c>
      <x:c r="M10" s="41" t="str">
        <x:v>创新药占比提升支撑高毛利率，集采降价不导致盈利持续恶化</x:v>
      </x:c>
      <x:c r="N10" s="41" t="str">
        <x:v>研发投入强度维持，管线推进不出现关键品种研发失败</x:v>
      </x:c>
      <x:c r="O10" s="43" t="str">
        <x:v>公告披露：公司与百时美施贵宝签署战略合作及许可协议，获得首付款及潜在里程碑付款。</x:v>
      </x:c>
      <x:c r="P10" s="43" t="str">
        <x:v>订单/合同</x:v>
      </x:c>
      <x:c r="Q10" s="43" t="str">
        <x:v>H1-需求与出货</x:v>
      </x:c>
      <x:c r="R10" s="43" t="str">
        <x:v>支持</x:v>
      </x:c>
      <x:c r="S10" s="43" t="str">
        <x:v>高</x:v>
      </x:c>
      <x:c r="T10" s="43" t="str">
        <x:v>直接</x:v>
      </x:c>
      <x:c r="U10" s="43" t="str">
        <x:v>公司与百时美施贵宝签署战略合作及许可协议，获得首付款及潜在里程碑付款。</x:v>
      </x:c>
      <x:c r="V10" s="43" t="str">
        <x:v>该事实提高H1-需求与出货的可信度；判断基于公告直接披露的业务指标、阶段进展或风险信息。</x:v>
      </x:c>
      <x:c r="W10" s="43" t="n">
        <x:v>5</x:v>
      </x:c>
      <x:c r="X10" s="43" t="str">
        <x:v>无</x:v>
      </x:c>
      <x:c r="Y10" s="43" t="str">
        <x:v>B-CODEX-FIN-01</x:v>
      </x:c>
      <x:c r="Z10" s="49" t="str">
        <x:v>20260826T150309+08:00</x:v>
      </x:c>
    </x:row>
    <x:row r="11" ht="56" hidden="0" customHeight="1">
      <x:c r="A11" s="41" t="str">
        <x:v>10</x:v>
      </x:c>
      <x:c r="B11" s="41" t="str">
        <x:v>G3-E082</x:v>
      </x:c>
      <x:c r="C11" s="41" t="str">
        <x:v>中芯国际</x:v>
      </x:c>
      <x:c r="D11" s="42" t="str">
        <x:v>​688981</x:v>
      </x:c>
      <x:c r="E11" s="41" t="str">
        <x:v>芯片半导体</x:v>
      </x:c>
      <x:c r="F11" s="41" t="str">
        <x:v>A股</x:v>
      </x:c>
      <x:c r="G11" s="42" t="str">
        <x:v>​2024-03-29T00:00:00+08:00</x:v>
      </x:c>
      <x:c r="H11" s="41" t="str">
        <x:v>仅日期（按盘后处理）</x:v>
      </x:c>
      <x:c r="I11" s="41" t="str">
        <x:v>中芯国际2023年年度报告摘要</x:v>
      </x:c>
      <x:c r="J11" s="41" t="str">
        <x:v>http://static.cninfo.com.cn/finalpage/2024-03-29/1219447110.PDF</x:v>
      </x:c>
      <x:c r="K11" s="41" t="str">
        <x:v>成熟制程代工龙头，国产替代与产能利用率回升支撑收入，折旧与价格压力是盈利的主要观察点</x:v>
      </x:c>
      <x:c r="L11" s="41" t="str">
        <x:v>成熟制程产能利用率与晶圆出货保持增长，国产替代需求是主要驱动</x:v>
      </x:c>
      <x:c r="M11" s="41" t="str">
        <x:v>毛利率随产能利用率回升，折旧压力不导致盈利持续恶化</x:v>
      </x:c>
      <x:c r="N11" s="41" t="str">
        <x:v>资本开支与扩产节奏匹配下游需求，先进制程投入不出现大额减值</x:v>
      </x:c>
      <x:c r="O11" s="43" t="str">
        <x:v>公告披露：2023年营业收入45,250.4百万元，同比减少8.6%；归母净利润同比减少60.3%。</x:v>
      </x:c>
      <x:c r="P11" s="43" t="str">
        <x:v>收入/利润</x:v>
      </x:c>
      <x:c r="Q11" s="43" t="str">
        <x:v>H2-盈利质量</x:v>
      </x:c>
      <x:c r="R11" s="43" t="str">
        <x:v>冲突</x:v>
      </x:c>
      <x:c r="S11" s="43" t="str">
        <x:v>高</x:v>
      </x:c>
      <x:c r="T11" s="43" t="str">
        <x:v>直接</x:v>
      </x:c>
      <x:c r="U11" s="43" t="str">
        <x:v>2023年营业收入45,250.4百万元，同比减少8.6%；归母净利润同比减少60.3%。</x:v>
      </x:c>
      <x:c r="V11" s="43" t="str">
        <x:v>该事实降低H2-盈利质量的可信度；判断基于公告直接披露的业务指标、阶段进展或风险信息。</x:v>
      </x:c>
      <x:c r="W11" s="43" t="n">
        <x:v>5</x:v>
      </x:c>
      <x:c r="X11" s="43" t="str">
        <x:v>无</x:v>
      </x:c>
      <x:c r="Y11" s="43" t="str">
        <x:v>B-CODEX-FIN-01</x:v>
      </x:c>
      <x:c r="Z11" s="49" t="str">
        <x:v>20260826T150309+08:00</x:v>
      </x:c>
    </x:row>
    <x:row r="12" ht="56" hidden="0" customHeight="1">
      <x:c r="A12" s="41" t="str">
        <x:v>11</x:v>
      </x:c>
      <x:c r="B12" s="41" t="str">
        <x:v>G3-E088</x:v>
      </x:c>
      <x:c r="C12" s="41" t="str">
        <x:v>兆易创新</x:v>
      </x:c>
      <x:c r="D12" s="42" t="str">
        <x:v>​603986</x:v>
      </x:c>
      <x:c r="E12" s="41" t="str">
        <x:v>芯片半导体</x:v>
      </x:c>
      <x:c r="F12" s="41" t="str">
        <x:v>A股</x:v>
      </x:c>
      <x:c r="G12" s="42" t="str">
        <x:v>​2024-01-26T00:00:00+08:00</x:v>
      </x:c>
      <x:c r="H12" s="41" t="str">
        <x:v>仅日期（按盘后处理）</x:v>
      </x:c>
      <x:c r="I12" s="41" t="str">
        <x:v>兆易创新2023年度业绩预告</x:v>
      </x:c>
      <x:c r="J12" s="41" t="str">
        <x:v>http://static.cninfo.com.cn/finalpage/2024-01-26/1219003543.PDF</x:v>
      </x:c>
      <x:c r="K12" s="41" t="str">
        <x:v>存储与 MCU 设计商，需求随下游复苏与库存去化回升，毛利率对存储价格周期高度敏感，需跟踪产品结构</x:v>
      </x:c>
      <x:c r="L12" s="41" t="str">
        <x:v>存储与 MCU 需求随消费电子与工业复苏回升，库存周期见底</x:v>
      </x:c>
      <x:c r="M12" s="41" t="str">
        <x:v>毛利率随产品结构改善回升，不因存储价格波动持续走低</x:v>
      </x:c>
      <x:c r="N12" s="41" t="str">
        <x:v>新品研发与产能储备按计划推进，不出现存货大额跌价</x:v>
      </x:c>
      <x:c r="O12" s="43" t="str">
        <x:v>公告披露：2023年营业收入同比下降29.08%，归母净利润同比下降92.45%。</x:v>
      </x:c>
      <x:c r="P12" s="43" t="str">
        <x:v>收入/利润</x:v>
      </x:c>
      <x:c r="Q12" s="43" t="str">
        <x:v>H2-盈利质量</x:v>
      </x:c>
      <x:c r="R12" s="43" t="str">
        <x:v>冲突</x:v>
      </x:c>
      <x:c r="S12" s="43" t="str">
        <x:v>高</x:v>
      </x:c>
      <x:c r="T12" s="43" t="str">
        <x:v>直接</x:v>
      </x:c>
      <x:c r="U12" s="43" t="str">
        <x:v>2023年营业收入同比下降29.08%，归母净利润同比下降92.45%。</x:v>
      </x:c>
      <x:c r="V12" s="43" t="str">
        <x:v>该事实降低H2-盈利质量的可信度；判断基于公告直接披露的业务指标、阶段进展或风险信息。</x:v>
      </x:c>
      <x:c r="W12" s="43" t="n">
        <x:v>5</x:v>
      </x:c>
      <x:c r="X12" s="43" t="str">
        <x:v>无</x:v>
      </x:c>
      <x:c r="Y12" s="43" t="str">
        <x:v>B-CODEX-FIN-01</x:v>
      </x:c>
      <x:c r="Z12" s="49" t="str">
        <x:v>20260826T150309+08:00</x:v>
      </x:c>
    </x:row>
    <x:row r="13" ht="24" hidden="0" customHeight="1">
      <x:c r="A13" s="41" t="str">
        <x:v>12</x:v>
      </x:c>
      <x:c r="B13" s="41" t="str">
        <x:v>G3-E019</x:v>
      </x:c>
      <x:c r="C13" s="41" t="str">
        <x:v>比亚迪</x:v>
      </x:c>
      <x:c r="D13" s="42" t="str">
        <x:v>​002594</x:v>
      </x:c>
      <x:c r="E13" s="41" t="str">
        <x:v>新能源汽车</x:v>
      </x:c>
      <x:c r="F13" s="41" t="str">
        <x:v>A股</x:v>
      </x:c>
      <x:c r="G13" s="42" t="str">
        <x:v>​2026-03-03T00:00:00+08:00</x:v>
      </x:c>
      <x:c r="H13" s="41" t="str">
        <x:v>仅日期（按盘后处理）</x:v>
      </x:c>
      <x:c r="I13" s="41" t="str">
        <x:v>H股公告（股份发行人及根据《上市规则》第十九B章上市的香港预托证券发行人的证券变动月报表）</x:v>
      </x:c>
      <x:c r="J13" s="41" t="str">
        <x:v>http://static.cninfo.com.cn/finalpage/2026-03-03/1224992511.PDF</x:v>
      </x:c>
      <x:c r="K13" s="41" t="str">
        <x:v>新能源汽车销量与出口结构改善支撑收入，垂直一体化对冲价格战，需跟踪毛利率与海外扩张落地</x:v>
      </x:c>
      <x:c r="L13" s="41" t="str">
        <x:v>新能源汽车销量保持增长，出口占比提升对冲国内价格压力</x:v>
      </x:c>
      <x:c r="M13" s="41" t="str">
        <x:v>规模效应与垂直一体化维持毛利率，价格战不导致盈利持续恶化</x:v>
      </x:c>
      <x:c r="N13" s="41" t="str">
        <x:v>海外工厂与产能扩张按计划落地，不出现大额投资减值</x:v>
      </x:c>
      <x:c r="O13" s="43" t="str">
        <x:v>公司披露《H股公告（股份发行人及根据《上市规则》第十九B章上市的香港预托证券发行人的证券变动月报表）》，事项主要涉及治理、证券变动或程序安排。</x:v>
      </x:c>
      <x:c r="P13" s="43" t="str">
        <x:v>治理/其他</x:v>
      </x:c>
      <x:c r="Q13" s="43" t="str">
        <x:v>无关</x:v>
      </x:c>
      <x:c r="R13" s="43" t="str">
        <x:v>无关</x:v>
      </x:c>
      <x:c r="S13" s="43" t="str">
        <x:v>不适用</x:v>
      </x:c>
      <x:c r="T13" s="43" t="str">
        <x:v>不适用</x:v>
      </x:c>
      <x:c r="U13" s="43" t="str"/>
      <x:c r="V13" s="43" t="str">
        <x:v>公告未提供会改变需求出货、盈利质量或产能扩张判断的新增经营事实，故不进入核心证据链。</x:v>
      </x:c>
      <x:c r="W13" s="43" t="n">
        <x:v>5</x:v>
      </x:c>
      <x:c r="X13" s="43" t="str">
        <x:v>无</x:v>
      </x:c>
      <x:c r="Y13" s="43" t="str">
        <x:v>B-CODEX-FIN-01</x:v>
      </x:c>
      <x:c r="Z13" s="49" t="str">
        <x:v>20260826T150309+08:00</x:v>
      </x:c>
    </x:row>
    <x:row r="14" ht="36" hidden="0" customHeight="1">
      <x:c r="A14" s="41" t="str">
        <x:v>13</x:v>
      </x:c>
      <x:c r="B14" s="41" t="str">
        <x:v>G3-E118</x:v>
      </x:c>
      <x:c r="C14" s="41" t="str">
        <x:v>兆易创新</x:v>
      </x:c>
      <x:c r="D14" s="42" t="str">
        <x:v>​603986</x:v>
      </x:c>
      <x:c r="E14" s="41" t="str">
        <x:v>芯片半导体</x:v>
      </x:c>
      <x:c r="F14" s="41" t="str">
        <x:v>A股</x:v>
      </x:c>
      <x:c r="G14" s="42" t="str">
        <x:v>​2025-08-23T00:00:00+08:00</x:v>
      </x:c>
      <x:c r="H14" s="41" t="str">
        <x:v>仅日期（按盘后处理）</x:v>
      </x:c>
      <x:c r="I14" s="41" t="str">
        <x:v>兆易创新2025年半年度报告摘要</x:v>
      </x:c>
      <x:c r="J14" s="41" t="str">
        <x:v>http://static.cninfo.com.cn/finalpage/2025-08-23/1224559705.PDF</x:v>
      </x:c>
      <x:c r="K14" s="41" t="str">
        <x:v>存储与 MCU 设计商，需求随下游复苏与库存去化回升，毛利率对存储价格周期高度敏感，需跟踪产品结构</x:v>
      </x:c>
      <x:c r="L14" s="41" t="str">
        <x:v>存储与 MCU 需求随消费电子与工业复苏回升，库存周期见底</x:v>
      </x:c>
      <x:c r="M14" s="41" t="str">
        <x:v>毛利率随产品结构改善回升，不因存储价格波动持续走低</x:v>
      </x:c>
      <x:c r="N14" s="41" t="str">
        <x:v>新品研发与产能储备按计划推进，不出现存货大额跌价</x:v>
      </x:c>
      <x:c r="O14" s="43" t="str">
        <x:v>公告披露：2025年上半年营业收入4,150,308,632.88元，同比增长15.00%。</x:v>
      </x:c>
      <x:c r="P14" s="43" t="str">
        <x:v>收入/利润</x:v>
      </x:c>
      <x:c r="Q14" s="43" t="str">
        <x:v>H2-盈利质量</x:v>
      </x:c>
      <x:c r="R14" s="43" t="str">
        <x:v>支持</x:v>
      </x:c>
      <x:c r="S14" s="43" t="str">
        <x:v>中</x:v>
      </x:c>
      <x:c r="T14" s="43" t="str">
        <x:v>直接</x:v>
      </x:c>
      <x:c r="U14" s="43" t="str">
        <x:v>2025年上半年营业收入4,150,308,632.88元，同比增长15.00%。</x:v>
      </x:c>
      <x:c r="V14" s="43" t="str">
        <x:v>该事实提高H2-盈利质量的可信度；判断基于公告直接披露的业务指标、阶段进展或风险信息。</x:v>
      </x:c>
      <x:c r="W14" s="43" t="n">
        <x:v>5</x:v>
      </x:c>
      <x:c r="X14" s="43" t="str">
        <x:v>无</x:v>
      </x:c>
      <x:c r="Y14" s="43" t="str">
        <x:v>B-CODEX-FIN-01</x:v>
      </x:c>
      <x:c r="Z14" s="49" t="str">
        <x:v>20260826T150309+08:00</x:v>
      </x:c>
    </x:row>
    <x:row r="15" ht="24" hidden="0" customHeight="1">
      <x:c r="A15" s="41" t="str">
        <x:v>14</x:v>
      </x:c>
      <x:c r="B15" s="41" t="str">
        <x:v>G3-E101</x:v>
      </x:c>
      <x:c r="C15" s="41" t="str">
        <x:v>吉利汽车</x:v>
      </x:c>
      <x:c r="D15" s="42" t="str">
        <x:v>​00175</x:v>
      </x:c>
      <x:c r="E15" s="41" t="str">
        <x:v>新能源汽车</x:v>
      </x:c>
      <x:c r="F15" s="41" t="str">
        <x:v>港股</x:v>
      </x:c>
      <x:c r="G15" s="42" t="str">
        <x:v>​2026-02-01T21:20:12+08:00</x:v>
      </x:c>
      <x:c r="H15" s="41" t="str">
        <x:v>精确</x:v>
      </x:c>
      <x:c r="I15" s="41" t="str">
        <x:v>未经审核之二零二六年一月销量</x:v>
      </x:c>
      <x:c r="J15" s="41" t="str">
        <x:v>http://static.cninfo.com.cn/finalpage/2026-02-01/1224961027.PDF</x:v>
      </x:c>
      <x:c r="K15" s="41" t="str">
        <x:v>新能源转型见效，销量与出口双增长支撑收入，平台整合与毛利率改善是核心观察点。港股披露频率低于 A 股</x:v>
      </x:c>
      <x:c r="L15" s="41" t="str">
        <x:v>新能源车型销量放量带动整体销量增长，出口贡献增量</x:v>
      </x:c>
      <x:c r="M15" s="41" t="str">
        <x:v>平台化与规模效应改善毛利率，新能源转型不持续拖累盈利</x:v>
      </x:c>
      <x:c r="N15" s="41" t="str">
        <x:v>品牌与平台整合按计划推进，不出现大额整合损失</x:v>
      </x:c>
      <x:c r="O15" s="43" t="str">
        <x:v>公告披露：本集团于二零二六年一月的汽车总销量为270,167部，较去年同期增长约1%。</x:v>
      </x:c>
      <x:c r="P15" s="43" t="str">
        <x:v>产销/需求</x:v>
      </x:c>
      <x:c r="Q15" s="43" t="str">
        <x:v>H1-需求与出货</x:v>
      </x:c>
      <x:c r="R15" s="43" t="str">
        <x:v>支持</x:v>
      </x:c>
      <x:c r="S15" s="43" t="str">
        <x:v>高</x:v>
      </x:c>
      <x:c r="T15" s="43" t="str">
        <x:v>直接</x:v>
      </x:c>
      <x:c r="U15" s="43" t="str">
        <x:v>本集团于二零二六年一月的汽车总销量为270,167部，较去年同期增长约1%。</x:v>
      </x:c>
      <x:c r="V15" s="43" t="str">
        <x:v>该事实提高H1-需求与出货的可信度；判断基于公告直接披露的业务指标、阶段进展或风险信息。</x:v>
      </x:c>
      <x:c r="W15" s="43" t="n">
        <x:v>5</x:v>
      </x:c>
      <x:c r="X15" s="43" t="str">
        <x:v>无</x:v>
      </x:c>
      <x:c r="Y15" s="43" t="str">
        <x:v>B-CODEX-FIN-01</x:v>
      </x:c>
      <x:c r="Z15" s="49" t="str">
        <x:v>20260826T150309+08:00</x:v>
      </x:c>
    </x:row>
    <x:row r="16" ht="24" hidden="0" customHeight="1">
      <x:c r="A16" s="41" t="str">
        <x:v>15</x:v>
      </x:c>
      <x:c r="B16" s="41" t="str">
        <x:v>G3-E063</x:v>
      </x:c>
      <x:c r="C16" s="41" t="str">
        <x:v>云南白药</x:v>
      </x:c>
      <x:c r="D16" s="42" t="str">
        <x:v>​000538</x:v>
      </x:c>
      <x:c r="E16" s="41" t="str">
        <x:v>医药</x:v>
      </x:c>
      <x:c r="F16" s="41" t="str">
        <x:v>A股</x:v>
      </x:c>
      <x:c r="G16" s="42" t="str">
        <x:v>​2025-08-30T00:00:00+08:00</x:v>
      </x:c>
      <x:c r="H16" s="41" t="str">
        <x:v>仅日期（按盘后处理）</x:v>
      </x:c>
      <x:c r="I16" s="41" t="str">
        <x:v>半年报董事会决议公告</x:v>
      </x:c>
      <x:c r="J16" s="41" t="str">
        <x:v>http://static.cninfo.com.cn/finalpage/2025-08-30/1224622375.PDF</x:v>
      </x:c>
      <x:c r="K16" s="41" t="str">
        <x:v>中药与健康消费品，增长平稳，毛利率与渠道结构是主要观察点，历史上曾因证券投资造成业绩波动</x:v>
      </x:c>
      <x:c r="L16" s="41" t="str">
        <x:v>工业药品与健康品渠道保持稳定，不出现持续负增长</x:v>
      </x:c>
      <x:c r="M16" s="41" t="str">
        <x:v>毛利率随产品结构与原料成本波动，不持续低于历史区间</x:v>
      </x:c>
      <x:c r="N16" s="41" t="str">
        <x:v>渠道与品牌投入保持，不出现商誉或投资大额减值</x:v>
      </x:c>
      <x:c r="O16" s="43" t="str">
        <x:v>公司披露《半年报董事会决议公告》，事项主要涉及治理、证券变动或程序安排。</x:v>
      </x:c>
      <x:c r="P16" s="43" t="str">
        <x:v>治理/其他</x:v>
      </x:c>
      <x:c r="Q16" s="43" t="str">
        <x:v>无关</x:v>
      </x:c>
      <x:c r="R16" s="43" t="str">
        <x:v>无关</x:v>
      </x:c>
      <x:c r="S16" s="43" t="str">
        <x:v>不适用</x:v>
      </x:c>
      <x:c r="T16" s="43" t="str">
        <x:v>不适用</x:v>
      </x:c>
      <x:c r="U16" s="43" t="str"/>
      <x:c r="V16" s="43" t="str">
        <x:v>公告未提供会改变需求出货、盈利质量或产能扩张判断的新增经营事实，故不进入核心证据链。</x:v>
      </x:c>
      <x:c r="W16" s="43" t="n">
        <x:v>5</x:v>
      </x:c>
      <x:c r="X16" s="43" t="str">
        <x:v>无</x:v>
      </x:c>
      <x:c r="Y16" s="43" t="str">
        <x:v>B-CODEX-FIN-01</x:v>
      </x:c>
      <x:c r="Z16" s="49" t="str">
        <x:v>20260826T150309+08:00</x:v>
      </x:c>
    </x:row>
    <x:row r="17" ht="24" hidden="0" customHeight="1">
      <x:c r="A17" s="41" t="str">
        <x:v>16</x:v>
      </x:c>
      <x:c r="B17" s="41" t="str">
        <x:v>G3-E110</x:v>
      </x:c>
      <x:c r="C17" s="41" t="str">
        <x:v>中芯国际</x:v>
      </x:c>
      <x:c r="D17" s="42" t="str">
        <x:v>​688981</x:v>
      </x:c>
      <x:c r="E17" s="41" t="str">
        <x:v>芯片半导体</x:v>
      </x:c>
      <x:c r="F17" s="41" t="str">
        <x:v>A股</x:v>
      </x:c>
      <x:c r="G17" s="42" t="str">
        <x:v>​2025-12-30T00:00:00+08:00</x:v>
      </x:c>
      <x:c r="H17" s="41" t="str">
        <x:v>仅日期（按盘后处理）</x:v>
      </x:c>
      <x:c r="I17" s="41" t="str">
        <x:v>独立董事关于发行股份购买资产暨关联交易相关事项的的独立意见</x:v>
      </x:c>
      <x:c r="J17" s="41" t="str">
        <x:v>http://static.cninfo.com.cn/finalpage/2025-12-30/1224907027.PDF</x:v>
      </x:c>
      <x:c r="K17" s="41" t="str">
        <x:v>成熟制程代工龙头，国产替代与产能利用率回升支撑收入，折旧与价格压力是盈利的主要观察点</x:v>
      </x:c>
      <x:c r="L17" s="41" t="str">
        <x:v>成熟制程产能利用率与晶圆出货保持增长，国产替代需求是主要驱动</x:v>
      </x:c>
      <x:c r="M17" s="41" t="str">
        <x:v>毛利率随产能利用率回升，折旧压力不导致盈利持续恶化</x:v>
      </x:c>
      <x:c r="N17" s="41" t="str">
        <x:v>资本开支与扩产节奏匹配下游需求，先进制程投入不出现大额减值</x:v>
      </x:c>
      <x:c r="O17" s="43" t="str">
        <x:v>公告披露：发行股份购买资产并募集配套资金的申请收到审核中心第二轮问询。</x:v>
      </x:c>
      <x:c r="P17" s="43" t="str">
        <x:v>产能/资本开支</x:v>
      </x:c>
      <x:c r="Q17" s="43" t="str">
        <x:v>H3-产能与扩张</x:v>
      </x:c>
      <x:c r="R17" s="43" t="str">
        <x:v>支持</x:v>
      </x:c>
      <x:c r="S17" s="43" t="str">
        <x:v>低</x:v>
      </x:c>
      <x:c r="T17" s="43" t="str">
        <x:v>间接</x:v>
      </x:c>
      <x:c r="U17" s="43" t="str">
        <x:v>发行股份购买资产并募集配套资金的申请收到审核中心第二轮问询。</x:v>
      </x:c>
      <x:c r="V17" s="43" t="str">
        <x:v>该事实提高H3-产能与扩张的可信度；判断基于公告直接披露的业务指标、阶段进展或风险信息。</x:v>
      </x:c>
      <x:c r="W17" s="43" t="n">
        <x:v>4</x:v>
      </x:c>
      <x:c r="X17" s="43" t="str">
        <x:v>无</x:v>
      </x:c>
      <x:c r="Y17" s="43" t="str">
        <x:v>B-CODEX-FIN-01</x:v>
      </x:c>
      <x:c r="Z17" s="49" t="str">
        <x:v>20260826T150309+08:00</x:v>
      </x:c>
    </x:row>
    <x:row r="18" ht="24" hidden="0" customHeight="1">
      <x:c r="A18" s="41" t="str">
        <x:v>17</x:v>
      </x:c>
      <x:c r="B18" s="41" t="str">
        <x:v>G3-E080</x:v>
      </x:c>
      <x:c r="C18" s="41" t="str">
        <x:v>恒瑞医药</x:v>
      </x:c>
      <x:c r="D18" s="42" t="str">
        <x:v>​600276</x:v>
      </x:c>
      <x:c r="E18" s="41" t="str">
        <x:v>医药</x:v>
      </x:c>
      <x:c r="F18" s="41" t="str">
        <x:v>A股</x:v>
      </x:c>
      <x:c r="G18" s="42" t="str">
        <x:v>​2025-12-03T00:00:00+08:00</x:v>
      </x:c>
      <x:c r="H18" s="41" t="str">
        <x:v>仅日期（按盘后处理）</x:v>
      </x:c>
      <x:c r="I18" s="41" t="str">
        <x:v>恒瑞医药关于药品上市许可申请获受理的提示性公告</x:v>
      </x:c>
      <x:c r="J18" s="41" t="str">
        <x:v>http://static.cninfo.com.cn/finalpage/2025-12-03/1224843478.PDF</x:v>
      </x:c>
      <x:c r="K18" s="41" t="str">
        <x:v>创新药转型期，创新药放量与对外授权接续仿制药集采缺口，毛利率高但集采与研发成败是关键观察点</x:v>
      </x:c>
      <x:c r="L18" s="41" t="str">
        <x:v>创新药放量与授权合作收入接续仿制药集采下滑，研发管线持续推进</x:v>
      </x:c>
      <x:c r="M18" s="41" t="str">
        <x:v>创新药占比提升支撑高毛利率，集采降价不导致盈利持续恶化</x:v>
      </x:c>
      <x:c r="N18" s="41" t="str">
        <x:v>研发投入强度维持，管线推进不出现关键品种研发失败</x:v>
      </x:c>
      <x:c r="O18" s="43" t="str">
        <x:v>公告披露：关于药品上市许可申请获受理的提示性公告</x:v>
      </x:c>
      <x:c r="P18" s="43" t="str">
        <x:v>研发/注册</x:v>
      </x:c>
      <x:c r="Q18" s="43" t="str">
        <x:v>H3-产能与扩张</x:v>
      </x:c>
      <x:c r="R18" s="43" t="str">
        <x:v>支持</x:v>
      </x:c>
      <x:c r="S18" s="43" t="str">
        <x:v>低</x:v>
      </x:c>
      <x:c r="T18" s="43" t="str">
        <x:v>直接</x:v>
      </x:c>
      <x:c r="U18" s="43" t="str">
        <x:v>关于药品上市许可申请获受理的提示性公告</x:v>
      </x:c>
      <x:c r="V18" s="43" t="str">
        <x:v>该事实提高H3-产能与扩张的可信度；判断基于公告直接披露的业务指标、阶段进展或风险信息。</x:v>
      </x:c>
      <x:c r="W18" s="43" t="n">
        <x:v>4</x:v>
      </x:c>
      <x:c r="X18" s="43" t="str">
        <x:v>无</x:v>
      </x:c>
      <x:c r="Y18" s="43" t="str">
        <x:v>B-CODEX-FIN-01</x:v>
      </x:c>
      <x:c r="Z18" s="49" t="str">
        <x:v>20260826T150309+08:00</x:v>
      </x:c>
    </x:row>
    <x:row r="19" ht="24" hidden="0" customHeight="1">
      <x:c r="A19" s="41" t="str">
        <x:v>18</x:v>
      </x:c>
      <x:c r="B19" s="41" t="str">
        <x:v>G3-E027</x:v>
      </x:c>
      <x:c r="C19" s="41" t="str">
        <x:v>中芯国际</x:v>
      </x:c>
      <x:c r="D19" s="42" t="str">
        <x:v>​688981</x:v>
      </x:c>
      <x:c r="E19" s="41" t="str">
        <x:v>芯片半导体</x:v>
      </x:c>
      <x:c r="F19" s="41" t="str">
        <x:v>A股</x:v>
      </x:c>
      <x:c r="G19" s="42" t="str">
        <x:v>​2026-06-04T00:00:00+08:00</x:v>
      </x:c>
      <x:c r="H19" s="41" t="str">
        <x:v>仅日期（按盘后处理）</x:v>
      </x:c>
      <x:c r="I19" s="41" t="str">
        <x:v>中芯国际2026年度股东会会议资料</x:v>
      </x:c>
      <x:c r="J19" s="41" t="str">
        <x:v>http://static.cninfo.com.cn/finalpage/2026-06-04/1225349272.PDF</x:v>
      </x:c>
      <x:c r="K19" s="41" t="str">
        <x:v>成熟制程代工龙头，国产替代与产能利用率回升支撑收入，折旧与价格压力是盈利的主要观察点</x:v>
      </x:c>
      <x:c r="L19" s="41" t="str">
        <x:v>成熟制程产能利用率与晶圆出货保持增长，国产替代需求是主要驱动</x:v>
      </x:c>
      <x:c r="M19" s="41" t="str">
        <x:v>毛利率随产能利用率回升，折旧压力不导致盈利持续恶化</x:v>
      </x:c>
      <x:c r="N19" s="41" t="str">
        <x:v>资本开支与扩产节奏匹配下游需求，先进制程投入不出现大额减值</x:v>
      </x:c>
      <x:c r="O19" s="43" t="str">
        <x:v>公司披露《中芯国际2026年度股东会会议资料》，事项主要涉及治理、证券变动或程序安排。</x:v>
      </x:c>
      <x:c r="P19" s="43" t="str">
        <x:v>治理/其他</x:v>
      </x:c>
      <x:c r="Q19" s="43" t="str">
        <x:v>无关</x:v>
      </x:c>
      <x:c r="R19" s="43" t="str">
        <x:v>无关</x:v>
      </x:c>
      <x:c r="S19" s="43" t="str">
        <x:v>不适用</x:v>
      </x:c>
      <x:c r="T19" s="43" t="str">
        <x:v>不适用</x:v>
      </x:c>
      <x:c r="U19" s="43" t="str"/>
      <x:c r="V19" s="43" t="str">
        <x:v>公告未提供会改变需求出货、盈利质量或产能扩张判断的新增经营事实，故不进入核心证据链。</x:v>
      </x:c>
      <x:c r="W19" s="43" t="n">
        <x:v>5</x:v>
      </x:c>
      <x:c r="X19" s="43" t="str">
        <x:v>无</x:v>
      </x:c>
      <x:c r="Y19" s="43" t="str">
        <x:v>B-CODEX-FIN-01</x:v>
      </x:c>
      <x:c r="Z19" s="49" t="str">
        <x:v>20260826T150309+08:00</x:v>
      </x:c>
    </x:row>
    <x:row r="20" ht="24" hidden="0" customHeight="1">
      <x:c r="A20" s="41" t="str">
        <x:v>19</x:v>
      </x:c>
      <x:c r="B20" s="41" t="str">
        <x:v>G3-E038</x:v>
      </x:c>
      <x:c r="C20" s="41" t="str">
        <x:v>比亚迪</x:v>
      </x:c>
      <x:c r="D20" s="42" t="str">
        <x:v>​002594</x:v>
      </x:c>
      <x:c r="E20" s="41" t="str">
        <x:v>新能源汽车</x:v>
      </x:c>
      <x:c r="F20" s="41" t="str">
        <x:v>A股</x:v>
      </x:c>
      <x:c r="G20" s="42" t="str">
        <x:v>​2024-03-21T00:00:00+08:00</x:v>
      </x:c>
      <x:c r="H20" s="41" t="str">
        <x:v>仅日期（按盘后处理）</x:v>
      </x:c>
      <x:c r="I20" s="41" t="str">
        <x:v>H股公告（通函）</x:v>
      </x:c>
      <x:c r="J20" s="41" t="str">
        <x:v>http://static.cninfo.com.cn/finalpage/2024-03-21/1219358761.PDF</x:v>
      </x:c>
      <x:c r="K20" s="41" t="str">
        <x:v>新能源汽车销量与出口结构改善支撑收入，垂直一体化对冲价格战，需跟踪毛利率与海外扩张落地</x:v>
      </x:c>
      <x:c r="L20" s="41" t="str">
        <x:v>新能源汽车销量保持增长，出口占比提升对冲国内价格压力</x:v>
      </x:c>
      <x:c r="M20" s="41" t="str">
        <x:v>规模效应与垂直一体化维持毛利率，价格战不导致盈利持续恶化</x:v>
      </x:c>
      <x:c r="N20" s="41" t="str">
        <x:v>海外工厂与产能扩张按计划落地，不出现大额投资减值</x:v>
      </x:c>
      <x:c r="O20" s="43" t="str">
        <x:v>公司披露《H股公告（通函）》，事项主要涉及治理、证券变动或程序安排。</x:v>
      </x:c>
      <x:c r="P20" s="43" t="str">
        <x:v>治理/其他</x:v>
      </x:c>
      <x:c r="Q20" s="43" t="str">
        <x:v>无关</x:v>
      </x:c>
      <x:c r="R20" s="43" t="str">
        <x:v>无关</x:v>
      </x:c>
      <x:c r="S20" s="43" t="str">
        <x:v>不适用</x:v>
      </x:c>
      <x:c r="T20" s="43" t="str">
        <x:v>不适用</x:v>
      </x:c>
      <x:c r="U20" s="43" t="str"/>
      <x:c r="V20" s="43" t="str">
        <x:v>公告未提供会改变需求出货、盈利质量或产能扩张判断的新增经营事实，故不进入核心证据链。</x:v>
      </x:c>
      <x:c r="W20" s="43" t="n">
        <x:v>5</x:v>
      </x:c>
      <x:c r="X20" s="43" t="str">
        <x:v>无</x:v>
      </x:c>
      <x:c r="Y20" s="43" t="str">
        <x:v>B-CODEX-FIN-01</x:v>
      </x:c>
      <x:c r="Z20" s="49" t="str">
        <x:v>20260826T150309+08:00</x:v>
      </x:c>
    </x:row>
    <x:row r="21" ht="24" hidden="0" customHeight="1">
      <x:c r="A21" s="41" t="str">
        <x:v>20</x:v>
      </x:c>
      <x:c r="B21" s="41" t="str">
        <x:v>G3-E066</x:v>
      </x:c>
      <x:c r="C21" s="41" t="str">
        <x:v>药明康德</x:v>
      </x:c>
      <x:c r="D21" s="42" t="str">
        <x:v>​603259</x:v>
      </x:c>
      <x:c r="E21" s="41" t="str">
        <x:v>医药</x:v>
      </x:c>
      <x:c r="F21" s="41" t="str">
        <x:v>A股</x:v>
      </x:c>
      <x:c r="G21" s="42" t="str">
        <x:v>​2024-10-08T07:33:00+08:00</x:v>
      </x:c>
      <x:c r="H21" s="41" t="str">
        <x:v>精确</x:v>
      </x:c>
      <x:c r="I21" s="41" t="str">
        <x:v>关于WuXi ATU媒体报道的自愿性公告</x:v>
      </x:c>
      <x:c r="J21" s="41" t="str">
        <x:v>http://static.cninfo.com.cn/finalpage/2024-10-08/1221337210.PDF</x:v>
      </x:c>
      <x:c r="K21" s="41" t="str">
        <x:v>全球医药研发外包龙头，订单随创新药投入周期波动，地缘政治与产能利用率是核心风险点</x:v>
      </x:c>
      <x:c r="L21" s="41" t="str">
        <x:v>CXO 订单与在手订单随全球创新药研发投入回暖恢复增长</x:v>
      </x:c>
      <x:c r="M21" s="41" t="str">
        <x:v>产能利用率与项目结构支撑毛利率，不因价格竞争持续走低</x:v>
      </x:c>
      <x:c r="N21" s="41" t="str">
        <x:v>新增产能与地缘政治风险可控，海外基地建设按计划推进</x:v>
      </x:c>
      <x:c r="O21" s="43" t="str">
        <x:v>公告披露：定信息披露媒体刊登的相关公告为准，请广大投资者理性投资，注意投资风险。</x:v>
      </x:c>
      <x:c r="P21" s="43" t="str">
        <x:v>风险/合规</x:v>
      </x:c>
      <x:c r="Q21" s="43" t="str">
        <x:v>H3-产能与扩张</x:v>
      </x:c>
      <x:c r="R21" s="43" t="str">
        <x:v>冲突</x:v>
      </x:c>
      <x:c r="S21" s="43" t="str">
        <x:v>高</x:v>
      </x:c>
      <x:c r="T21" s="43" t="str">
        <x:v>直接</x:v>
      </x:c>
      <x:c r="U21" s="43" t="str">
        <x:v>定信息披露媒体刊登的相关公告为准，请广大投资者理性投资，注意投资风险。</x:v>
      </x:c>
      <x:c r="V21" s="43" t="str">
        <x:v>该事实降低H3-产能与扩张的可信度；判断基于公告直接披露的业务指标、阶段进展或风险信息。</x:v>
      </x:c>
      <x:c r="W21" s="43" t="n">
        <x:v>5</x:v>
      </x:c>
      <x:c r="X21" s="43" t="str">
        <x:v>无</x:v>
      </x:c>
      <x:c r="Y21" s="43" t="str">
        <x:v>B-CODEX-FIN-01</x:v>
      </x:c>
      <x:c r="Z21" s="49" t="str">
        <x:v>20260826T150309+08:00</x:v>
      </x:c>
    </x:row>
    <x:row r="22" ht="24" hidden="0" customHeight="1">
      <x:c r="A22" s="41" t="str">
        <x:v>21</x:v>
      </x:c>
      <x:c r="B22" s="41" t="str">
        <x:v>G3-E035</x:v>
      </x:c>
      <x:c r="C22" s="41" t="str">
        <x:v>恒瑞医药</x:v>
      </x:c>
      <x:c r="D22" s="42" t="str">
        <x:v>​600276</x:v>
      </x:c>
      <x:c r="E22" s="41" t="str">
        <x:v>医药</x:v>
      </x:c>
      <x:c r="F22" s="41" t="str">
        <x:v>A股</x:v>
      </x:c>
      <x:c r="G22" s="42" t="str">
        <x:v>​2024-05-22T00:00:00+08:00</x:v>
      </x:c>
      <x:c r="H22" s="41" t="str">
        <x:v>仅日期（按盘后处理）</x:v>
      </x:c>
      <x:c r="I22" s="41" t="str">
        <x:v>恒瑞医药关于获得药品注册证书的公告</x:v>
      </x:c>
      <x:c r="J22" s="41" t="str">
        <x:v>http://static.cninfo.com.cn/finalpage/2024-05-22/1220121916.PDF</x:v>
      </x:c>
      <x:c r="K22" s="41" t="str">
        <x:v>创新药转型期，创新药放量与对外授权接续仿制药集采缺口，毛利率高但集采与研发成败是关键观察点</x:v>
      </x:c>
      <x:c r="L22" s="41" t="str">
        <x:v>创新药放量与授权合作收入接续仿制药集采下滑，研发管线持续推进</x:v>
      </x:c>
      <x:c r="M22" s="41" t="str">
        <x:v>创新药占比提升支撑高毛利率，集采降价不导致盈利持续恶化</x:v>
      </x:c>
      <x:c r="N22" s="41" t="str">
        <x:v>研发投入强度维持，管线推进不出现关键品种研发失败</x:v>
      </x:c>
      <x:c r="O22" s="43" t="str">
        <x:v>公告披露：批准公司研发的1 类新药、PARP 抑制剂氟唑帕利胶囊新适应症上市,这是氟唑帕</x:v>
      </x:c>
      <x:c r="P22" s="43" t="str">
        <x:v>研发/注册</x:v>
      </x:c>
      <x:c r="Q22" s="43" t="str">
        <x:v>H1-需求与出货</x:v>
      </x:c>
      <x:c r="R22" s="43" t="str">
        <x:v>支持</x:v>
      </x:c>
      <x:c r="S22" s="43" t="str">
        <x:v>中</x:v>
      </x:c>
      <x:c r="T22" s="43" t="str">
        <x:v>直接</x:v>
      </x:c>
      <x:c r="U22" s="43" t="str">
        <x:v>批准公司研发的1 类新药、PARP 抑制剂氟唑帕利胶囊新适应症上市,这是氟唑帕</x:v>
      </x:c>
      <x:c r="V22" s="43" t="str">
        <x:v>该事实提高H1-需求与出货的可信度；判断基于公告直接披露的业务指标、阶段进展或风险信息。</x:v>
      </x:c>
      <x:c r="W22" s="43" t="n">
        <x:v>5</x:v>
      </x:c>
      <x:c r="X22" s="43" t="str">
        <x:v>无</x:v>
      </x:c>
      <x:c r="Y22" s="43" t="str">
        <x:v>B-CODEX-FIN-01</x:v>
      </x:c>
      <x:c r="Z22" s="49" t="str">
        <x:v>20260826T150309+08:00</x:v>
      </x:c>
    </x:row>
    <x:row r="23" ht="24" hidden="0" customHeight="1">
      <x:c r="A23" s="41" t="str">
        <x:v>22</x:v>
      </x:c>
      <x:c r="B23" s="41" t="str">
        <x:v>G3-E013</x:v>
      </x:c>
      <x:c r="C23" s="41" t="str">
        <x:v>云南白药</x:v>
      </x:c>
      <x:c r="D23" s="42" t="str">
        <x:v>​000538</x:v>
      </x:c>
      <x:c r="E23" s="41" t="str">
        <x:v>医药</x:v>
      </x:c>
      <x:c r="F23" s="41" t="str">
        <x:v>A股</x:v>
      </x:c>
      <x:c r="G23" s="42" t="str">
        <x:v>​2026-04-30T00:00:00+08:00</x:v>
      </x:c>
      <x:c r="H23" s="41" t="str">
        <x:v>仅日期（按盘后处理）</x:v>
      </x:c>
      <x:c r="I23" s="41" t="str">
        <x:v>2026年一季度报告</x:v>
      </x:c>
      <x:c r="J23" s="41" t="str">
        <x:v>http://static.cninfo.com.cn/finalpage/2026-04-30/1225255634.PDF</x:v>
      </x:c>
      <x:c r="K23" s="41" t="str">
        <x:v>中药与健康消费品，增长平稳，毛利率与渠道结构是主要观察点，历史上曾因证券投资造成业绩波动</x:v>
      </x:c>
      <x:c r="L23" s="41" t="str">
        <x:v>工业药品与健康品渠道保持稳定，不出现持续负增长</x:v>
      </x:c>
      <x:c r="M23" s="41" t="str">
        <x:v>毛利率随产品结构与原料成本波动，不持续低于历史区间</x:v>
      </x:c>
      <x:c r="N23" s="41" t="str">
        <x:v>渠道与品牌投入保持，不出现商誉或投资大额减值</x:v>
      </x:c>
      <x:c r="O23" s="43" t="str">
        <x:v>公告披露：2026年第一季度营业收入同比增长7.02%，归母净利润同比增长5.31%。</x:v>
      </x:c>
      <x:c r="P23" s="43" t="str">
        <x:v>收入/利润</x:v>
      </x:c>
      <x:c r="Q23" s="43" t="str">
        <x:v>H2-盈利质量</x:v>
      </x:c>
      <x:c r="R23" s="43" t="str">
        <x:v>支持</x:v>
      </x:c>
      <x:c r="S23" s="43" t="str">
        <x:v>中</x:v>
      </x:c>
      <x:c r="T23" s="43" t="str">
        <x:v>直接</x:v>
      </x:c>
      <x:c r="U23" s="43" t="str">
        <x:v>2026年第一季度营业收入同比增长7.02%，归母净利润同比增长5.31%。</x:v>
      </x:c>
      <x:c r="V23" s="43" t="str">
        <x:v>该事实提高H2-盈利质量的可信度；判断基于公告直接披露的业务指标、阶段进展或风险信息。</x:v>
      </x:c>
      <x:c r="W23" s="43" t="n">
        <x:v>5</x:v>
      </x:c>
      <x:c r="X23" s="43" t="str">
        <x:v>无</x:v>
      </x:c>
      <x:c r="Y23" s="43" t="str">
        <x:v>B-CODEX-FIN-01</x:v>
      </x:c>
      <x:c r="Z23" s="49" t="str">
        <x:v>20260826T150309+08:00</x:v>
      </x:c>
    </x:row>
    <x:row r="24" ht="36" hidden="0" customHeight="1">
      <x:c r="A24" s="41" t="str">
        <x:v>23</x:v>
      </x:c>
      <x:c r="B24" s="41" t="str">
        <x:v>G3-E078</x:v>
      </x:c>
      <x:c r="C24" s="41" t="str">
        <x:v>药明康德</x:v>
      </x:c>
      <x:c r="D24" s="42" t="str">
        <x:v>​603259</x:v>
      </x:c>
      <x:c r="E24" s="41" t="str">
        <x:v>医药</x:v>
      </x:c>
      <x:c r="F24" s="41" t="str">
        <x:v>A股</x:v>
      </x:c>
      <x:c r="G24" s="42" t="str">
        <x:v>​2025-03-26T00:00:00+08:00</x:v>
      </x:c>
      <x:c r="H24" s="41" t="str">
        <x:v>仅日期（按盘后处理）</x:v>
      </x:c>
      <x:c r="I24" s="41" t="str">
        <x:v>关于召开2024年年度股东大会、2025年第一次A股类别股东会议及2025年第一次H股类别股东会议的通知</x:v>
      </x:c>
      <x:c r="J24" s="41" t="str">
        <x:v>http://static.cninfo.com.cn/finalpage/2025-03-26/1222894450.PDF</x:v>
      </x:c>
      <x:c r="K24" s="41" t="str">
        <x:v>全球医药研发外包龙头，订单随创新药投入周期波动，地缘政治与产能利用率是核心风险点</x:v>
      </x:c>
      <x:c r="L24" s="41" t="str">
        <x:v>CXO 订单与在手订单随全球创新药研发投入回暖恢复增长</x:v>
      </x:c>
      <x:c r="M24" s="41" t="str">
        <x:v>产能利用率与项目结构支撑毛利率，不因价格竞争持续走低</x:v>
      </x:c>
      <x:c r="N24" s="41" t="str">
        <x:v>新增产能与地缘政治风险可控，海外基地建设按计划推进</x:v>
      </x:c>
      <x:c r="O24" s="43" t="str">
        <x:v>公司披露《关于召开2024年年度股东大会、2025年第一次A股类别股东会议及2025年第一次H股类别股东会议的通知》，事项主要涉及治理、证券变动或程序安排。</x:v>
      </x:c>
      <x:c r="P24" s="43" t="str">
        <x:v>治理/其他</x:v>
      </x:c>
      <x:c r="Q24" s="43" t="str">
        <x:v>无关</x:v>
      </x:c>
      <x:c r="R24" s="43" t="str">
        <x:v>无关</x:v>
      </x:c>
      <x:c r="S24" s="43" t="str">
        <x:v>不适用</x:v>
      </x:c>
      <x:c r="T24" s="43" t="str">
        <x:v>不适用</x:v>
      </x:c>
      <x:c r="U24" s="43" t="str"/>
      <x:c r="V24" s="43" t="str">
        <x:v>公告未提供会改变需求出货、盈利质量或产能扩张判断的新增经营事实，故不进入核心证据链。</x:v>
      </x:c>
      <x:c r="W24" s="43" t="n">
        <x:v>5</x:v>
      </x:c>
      <x:c r="X24" s="43" t="str">
        <x:v>无</x:v>
      </x:c>
      <x:c r="Y24" s="43" t="str">
        <x:v>B-CODEX-FIN-01</x:v>
      </x:c>
      <x:c r="Z24" s="49" t="str">
        <x:v>20260826T150309+08:00</x:v>
      </x:c>
    </x:row>
    <x:row r="25" ht="24" hidden="0" customHeight="1">
      <x:c r="A25" s="41" t="str">
        <x:v>24</x:v>
      </x:c>
      <x:c r="B25" s="41" t="str">
        <x:v>G3-E115</x:v>
      </x:c>
      <x:c r="C25" s="41" t="str">
        <x:v>云南白药</x:v>
      </x:c>
      <x:c r="D25" s="42" t="str">
        <x:v>​000538</x:v>
      </x:c>
      <x:c r="E25" s="41" t="str">
        <x:v>医药</x:v>
      </x:c>
      <x:c r="F25" s="41" t="str">
        <x:v>A股</x:v>
      </x:c>
      <x:c r="G25" s="42" t="str">
        <x:v>​2026-04-02T00:00:00+08:00</x:v>
      </x:c>
      <x:c r="H25" s="41" t="str">
        <x:v>仅日期（按盘后处理）</x:v>
      </x:c>
      <x:c r="I25" s="41" t="str">
        <x:v>关于INB301注射液获得药物临床试验批准的公告</x:v>
      </x:c>
      <x:c r="J25" s="41" t="str">
        <x:v>http://static.cninfo.com.cn/finalpage/2026-04-02/1225071642.PDF</x:v>
      </x:c>
      <x:c r="K25" s="41" t="str">
        <x:v>中药与健康消费品，增长平稳，毛利率与渠道结构是主要观察点，历史上曾因证券投资造成业绩波动</x:v>
      </x:c>
      <x:c r="L25" s="41" t="str">
        <x:v>工业药品与健康品渠道保持稳定，不出现持续负增长</x:v>
      </x:c>
      <x:c r="M25" s="41" t="str">
        <x:v>毛利率随产品结构与原料成本波动，不持续低于历史区间</x:v>
      </x:c>
      <x:c r="N25" s="41" t="str">
        <x:v>渠道与品牌投入保持，不出现商誉或投资大额减值</x:v>
      </x:c>
      <x:c r="O25" s="43" t="str">
        <x:v>公告披露：2026 年 2 月 24 日受理的 INB301 注射液临床试验申请符合药品注册的有关</x:v>
      </x:c>
      <x:c r="P25" s="43" t="str">
        <x:v>研发/注册</x:v>
      </x:c>
      <x:c r="Q25" s="43" t="str">
        <x:v>H3-产能与扩张</x:v>
      </x:c>
      <x:c r="R25" s="43" t="str">
        <x:v>支持</x:v>
      </x:c>
      <x:c r="S25" s="43" t="str">
        <x:v>中</x:v>
      </x:c>
      <x:c r="T25" s="43" t="str">
        <x:v>直接</x:v>
      </x:c>
      <x:c r="U25" s="43" t="str">
        <x:v>2026 年 2 月 24 日受理的 INB301 注射液临床试验申请符合药品注册的有关</x:v>
      </x:c>
      <x:c r="V25" s="43" t="str">
        <x:v>该事实提高H3-产能与扩张的可信度；判断基于公告直接披露的业务指标、阶段进展或风险信息。</x:v>
      </x:c>
      <x:c r="W25" s="43" t="n">
        <x:v>5</x:v>
      </x:c>
      <x:c r="X25" s="43" t="str">
        <x:v>无</x:v>
      </x:c>
      <x:c r="Y25" s="43" t="str">
        <x:v>B-CODEX-FIN-01</x:v>
      </x:c>
      <x:c r="Z25" s="49" t="str">
        <x:v>20260826T150309+08:00</x:v>
      </x:c>
    </x:row>
    <x:row r="26" ht="24" hidden="0" customHeight="1">
      <x:c r="A26" s="41" t="str">
        <x:v>25</x:v>
      </x:c>
      <x:c r="B26" s="41" t="str">
        <x:v>G3-E068</x:v>
      </x:c>
      <x:c r="C26" s="41" t="str">
        <x:v>比亚迪</x:v>
      </x:c>
      <x:c r="D26" s="42" t="str">
        <x:v>​002594</x:v>
      </x:c>
      <x:c r="E26" s="41" t="str">
        <x:v>新能源汽车</x:v>
      </x:c>
      <x:c r="F26" s="41" t="str">
        <x:v>A股</x:v>
      </x:c>
      <x:c r="G26" s="42" t="str">
        <x:v>​2026-04-02T00:00:00+08:00</x:v>
      </x:c>
      <x:c r="H26" s="41" t="str">
        <x:v>仅日期（按盘后处理）</x:v>
      </x:c>
      <x:c r="I26" s="41" t="str">
        <x:v>2026年3月产销快报</x:v>
      </x:c>
      <x:c r="J26" s="41" t="str">
        <x:v>http://static.cninfo.com.cn/finalpage/2026-04-02/1225072597.PDF</x:v>
      </x:c>
      <x:c r="K26" s="41" t="str">
        <x:v>新能源汽车销量与出口结构改善支撑收入，垂直一体化对冲价格战，需跟踪毛利率与海外扩张落地</x:v>
      </x:c>
      <x:c r="L26" s="41" t="str">
        <x:v>新能源汽车销量保持增长，出口占比提升对冲国内价格压力</x:v>
      </x:c>
      <x:c r="M26" s="41" t="str">
        <x:v>规模效应与垂直一体化维持毛利率，价格战不导致盈利持续恶化</x:v>
      </x:c>
      <x:c r="N26" s="41" t="str">
        <x:v>海外工厂与产能扩张按计划落地，不出现大额投资减值</x:v>
      </x:c>
      <x:c r="O26" s="43" t="str">
        <x:v>公告披露：新能源汽车本年累计销量700,463辆，去年累计1,000,804辆，累计同比-30.01%。</x:v>
      </x:c>
      <x:c r="P26" s="43" t="str">
        <x:v>产销/需求</x:v>
      </x:c>
      <x:c r="Q26" s="43" t="str">
        <x:v>H1-需求与出货</x:v>
      </x:c>
      <x:c r="R26" s="43" t="str">
        <x:v>冲突</x:v>
      </x:c>
      <x:c r="S26" s="43" t="str">
        <x:v>高</x:v>
      </x:c>
      <x:c r="T26" s="43" t="str">
        <x:v>直接</x:v>
      </x:c>
      <x:c r="U26" s="43" t="str">
        <x:v>新能源汽车本年累计销量700,463辆，去年累计1,000,804辆，累计同比-30.01%。</x:v>
      </x:c>
      <x:c r="V26" s="43" t="str">
        <x:v>该事实降低H1-需求与出货的可信度；判断基于公告直接披露的业务指标、阶段进展或风险信息。</x:v>
      </x:c>
      <x:c r="W26" s="43" t="n">
        <x:v>5</x:v>
      </x:c>
      <x:c r="X26" s="43" t="str">
        <x:v>无</x:v>
      </x:c>
      <x:c r="Y26" s="43" t="str">
        <x:v>B-CODEX-FIN-01</x:v>
      </x:c>
      <x:c r="Z26" s="49" t="str">
        <x:v>20260826T150309+08:00</x:v>
      </x:c>
    </x:row>
    <x:row r="27" ht="24" hidden="0" customHeight="1">
      <x:c r="A27" s="41" t="str">
        <x:v>26</x:v>
      </x:c>
      <x:c r="B27" s="41" t="str">
        <x:v>G3-E065</x:v>
      </x:c>
      <x:c r="C27" s="41" t="str">
        <x:v>吉利汽车</x:v>
      </x:c>
      <x:c r="D27" s="42" t="str">
        <x:v>​00175</x:v>
      </x:c>
      <x:c r="E27" s="41" t="str">
        <x:v>新能源汽车</x:v>
      </x:c>
      <x:c r="F27" s="41" t="str">
        <x:v>港股</x:v>
      </x:c>
      <x:c r="G27" s="42" t="str">
        <x:v>​2024-07-19T16:42:18+08:00</x:v>
      </x:c>
      <x:c r="H27" s="41" t="str">
        <x:v>精确</x:v>
      </x:c>
      <x:c r="I27" s="41" t="str">
        <x:v>补充公布授出认股权</x:v>
      </x:c>
      <x:c r="J27" s="41" t="str">
        <x:v>http://static.cninfo.com.cn/finalpage/2024-07-19/1220688951.PDF</x:v>
      </x:c>
      <x:c r="K27" s="41" t="str">
        <x:v>新能源转型见效，销量与出口双增长支撑收入，平台整合与毛利率改善是核心观察点。港股披露频率低于 A 股</x:v>
      </x:c>
      <x:c r="L27" s="41" t="str">
        <x:v>新能源车型销量放量带动整体销量增长，出口贡献增量</x:v>
      </x:c>
      <x:c r="M27" s="41" t="str">
        <x:v>平台化与规模效应改善毛利率，新能源转型不持续拖累盈利</x:v>
      </x:c>
      <x:c r="N27" s="41" t="str">
        <x:v>品牌与平台整合按计划推进，不出现大额整合损失</x:v>
      </x:c>
      <x:c r="O27" s="43" t="str">
        <x:v>公司披露《补充公布授出认股权》，事项主要涉及治理、证券变动或程序安排。</x:v>
      </x:c>
      <x:c r="P27" s="43" t="str">
        <x:v>治理/其他</x:v>
      </x:c>
      <x:c r="Q27" s="43" t="str">
        <x:v>无关</x:v>
      </x:c>
      <x:c r="R27" s="43" t="str">
        <x:v>无关</x:v>
      </x:c>
      <x:c r="S27" s="43" t="str">
        <x:v>不适用</x:v>
      </x:c>
      <x:c r="T27" s="43" t="str">
        <x:v>不适用</x:v>
      </x:c>
      <x:c r="U27" s="43" t="str"/>
      <x:c r="V27" s="43" t="str">
        <x:v>公告未提供会改变需求出货、盈利质量或产能扩张判断的新增经营事实，故不进入核心证据链。</x:v>
      </x:c>
      <x:c r="W27" s="43" t="n">
        <x:v>5</x:v>
      </x:c>
      <x:c r="X27" s="43" t="str">
        <x:v>无</x:v>
      </x:c>
      <x:c r="Y27" s="43" t="str">
        <x:v>B-CODEX-FIN-01</x:v>
      </x:c>
      <x:c r="Z27" s="49" t="str">
        <x:v>20260826T150309+08:00</x:v>
      </x:c>
    </x:row>
    <x:row r="28" ht="24" hidden="0" customHeight="1">
      <x:c r="A28" s="41" t="str">
        <x:v>27</x:v>
      </x:c>
      <x:c r="B28" s="41" t="str">
        <x:v>G3-E018</x:v>
      </x:c>
      <x:c r="C28" s="41" t="str">
        <x:v>吉利汽车</x:v>
      </x:c>
      <x:c r="D28" s="42" t="str">
        <x:v>​00175</x:v>
      </x:c>
      <x:c r="E28" s="41" t="str">
        <x:v>新能源汽车</x:v>
      </x:c>
      <x:c r="F28" s="41" t="str">
        <x:v>港股</x:v>
      </x:c>
      <x:c r="G28" s="42" t="str">
        <x:v>​2024-02-20T16:50:24+08:00</x:v>
      </x:c>
      <x:c r="H28" s="41" t="str">
        <x:v>精确</x:v>
      </x:c>
      <x:c r="I28" s="41" t="str">
        <x:v>关连交易出售睿蓝汽车之股权</x:v>
      </x:c>
      <x:c r="J28" s="41" t="str">
        <x:v>http://static.cninfo.com.cn/finalpage/2024-02-20/1219142414.PDF</x:v>
      </x:c>
      <x:c r="K28" s="41" t="str">
        <x:v>新能源转型见效，销量与出口双增长支撑收入，平台整合与毛利率改善是核心观察点。港股披露频率低于 A 股</x:v>
      </x:c>
      <x:c r="L28" s="41" t="str">
        <x:v>新能源车型销量放量带动整体销量增长，出口贡献增量</x:v>
      </x:c>
      <x:c r="M28" s="41" t="str">
        <x:v>平台化与规模效应改善毛利率，新能源转型不持续拖累盈利</x:v>
      </x:c>
      <x:c r="N28" s="41" t="str">
        <x:v>品牌与平台整合按计划推进，不出现大额整合损失</x:v>
      </x:c>
      <x:c r="O28" s="43" t="str">
        <x:v>公告披露：金代價為人民幣504,000,000元。出售事項完成後，本集團將不再擁有睿藍汽車之任何</x:v>
      </x:c>
      <x:c r="P28" s="43" t="str">
        <x:v>治理/其他</x:v>
      </x:c>
      <x:c r="Q28" s="43" t="str">
        <x:v>H3-产能与扩张</x:v>
      </x:c>
      <x:c r="R28" s="43" t="str">
        <x:v>中性</x:v>
      </x:c>
      <x:c r="S28" s="43" t="str">
        <x:v>中</x:v>
      </x:c>
      <x:c r="T28" s="43" t="str">
        <x:v>直接</x:v>
      </x:c>
      <x:c r="U28" s="43" t="str">
        <x:v>金代價為人民幣504,000,000元。出售事項完成後，本集團將不再擁有睿藍汽車之任何</x:v>
      </x:c>
      <x:c r="V28" s="43" t="str">
        <x:v>该事实涉及但尚不足以改变H3-产能与扩张的可信度；判断基于公告直接披露的业务指标、阶段进展或风险信息。</x:v>
      </x:c>
      <x:c r="W28" s="43" t="n">
        <x:v>5</x:v>
      </x:c>
      <x:c r="X28" s="43" t="str">
        <x:v>无</x:v>
      </x:c>
      <x:c r="Y28" s="43" t="str">
        <x:v>B-CODEX-FIN-01</x:v>
      </x:c>
      <x:c r="Z28" s="49" t="str">
        <x:v>20260826T150309+08:00</x:v>
      </x:c>
    </x:row>
    <x:row r="29" ht="24" hidden="0" customHeight="1">
      <x:c r="A29" s="41" t="str">
        <x:v>28</x:v>
      </x:c>
      <x:c r="B29" s="41" t="str">
        <x:v>G3-E073</x:v>
      </x:c>
      <x:c r="C29" s="41" t="str">
        <x:v>比亚迪</x:v>
      </x:c>
      <x:c r="D29" s="42" t="str">
        <x:v>​002594</x:v>
      </x:c>
      <x:c r="E29" s="41" t="str">
        <x:v>新能源汽车</x:v>
      </x:c>
      <x:c r="F29" s="41" t="str">
        <x:v>A股</x:v>
      </x:c>
      <x:c r="G29" s="42" t="str">
        <x:v>​2025-10-09T00:00:00+08:00</x:v>
      </x:c>
      <x:c r="H29" s="41" t="str">
        <x:v>仅日期（按盘后处理）</x:v>
      </x:c>
      <x:c r="I29" s="41" t="str">
        <x:v>2025年9月产销快报</x:v>
      </x:c>
      <x:c r="J29" s="41" t="str">
        <x:v>http://static.cninfo.com.cn/finalpage/2025-10-09/1224697528.PDF</x:v>
      </x:c>
      <x:c r="K29" s="41" t="str">
        <x:v>新能源汽车销量与出口结构改善支撑收入，垂直一体化对冲价格战，需跟踪毛利率与海外扩张落地</x:v>
      </x:c>
      <x:c r="L29" s="41" t="str">
        <x:v>新能源汽车销量保持增长，出口占比提升对冲国内价格压力</x:v>
      </x:c>
      <x:c r="M29" s="41" t="str">
        <x:v>规模效应与垂直一体化维持毛利率，价格战不导致盈利持续恶化</x:v>
      </x:c>
      <x:c r="N29" s="41" t="str">
        <x:v>海外工厂与产能扩张按计划落地，不出现大额投资减值</x:v>
      </x:c>
      <x:c r="O29" s="43" t="str">
        <x:v>公告披露：新能源汽车本年累计销量3,260,146辆，去年累计2,747,875辆，累计同比18.64%。</x:v>
      </x:c>
      <x:c r="P29" s="43" t="str">
        <x:v>产销/需求</x:v>
      </x:c>
      <x:c r="Q29" s="43" t="str">
        <x:v>H1-需求与出货</x:v>
      </x:c>
      <x:c r="R29" s="43" t="str">
        <x:v>支持</x:v>
      </x:c>
      <x:c r="S29" s="43" t="str">
        <x:v>高</x:v>
      </x:c>
      <x:c r="T29" s="43" t="str">
        <x:v>直接</x:v>
      </x:c>
      <x:c r="U29" s="43" t="str">
        <x:v>新能源汽车本年累计销量3,260,146辆，去年累计2,747,875辆，累计同比18.64%。</x:v>
      </x:c>
      <x:c r="V29" s="43" t="str">
        <x:v>该事实提高H1-需求与出货的可信度；判断基于公告直接披露的业务指标、阶段进展或风险信息。</x:v>
      </x:c>
      <x:c r="W29" s="43" t="n">
        <x:v>5</x:v>
      </x:c>
      <x:c r="X29" s="43" t="str">
        <x:v>无</x:v>
      </x:c>
      <x:c r="Y29" s="43" t="str">
        <x:v>B-CODEX-FIN-01</x:v>
      </x:c>
      <x:c r="Z29" s="49" t="str">
        <x:v>20260826T150309+08:00</x:v>
      </x:c>
    </x:row>
    <x:row r="30" ht="24" hidden="0" customHeight="1">
      <x:c r="A30" s="41" t="str">
        <x:v>29</x:v>
      </x:c>
      <x:c r="B30" s="41" t="str">
        <x:v>G3-E077</x:v>
      </x:c>
      <x:c r="C30" s="41" t="str">
        <x:v>比亚迪</x:v>
      </x:c>
      <x:c r="D30" s="42" t="str">
        <x:v>​002594</x:v>
      </x:c>
      <x:c r="E30" s="41" t="str">
        <x:v>新能源汽车</x:v>
      </x:c>
      <x:c r="F30" s="41" t="str">
        <x:v>A股</x:v>
      </x:c>
      <x:c r="G30" s="42" t="str">
        <x:v>​2025-10-16T00:00:00+08:00</x:v>
      </x:c>
      <x:c r="H30" s="41" t="str">
        <x:v>仅日期（按盘后处理）</x:v>
      </x:c>
      <x:c r="I30" s="41" t="str">
        <x:v>H股公告（董事会会议通告）</x:v>
      </x:c>
      <x:c r="J30" s="41" t="str">
        <x:v>http://static.cninfo.com.cn/finalpage/2025-10-16/1224714146.PDF</x:v>
      </x:c>
      <x:c r="K30" s="41" t="str">
        <x:v>新能源汽车销量与出口结构改善支撑收入，垂直一体化对冲价格战，需跟踪毛利率与海外扩张落地</x:v>
      </x:c>
      <x:c r="L30" s="41" t="str">
        <x:v>新能源汽车销量保持增长，出口占比提升对冲国内价格压力</x:v>
      </x:c>
      <x:c r="M30" s="41" t="str">
        <x:v>规模效应与垂直一体化维持毛利率，价格战不导致盈利持续恶化</x:v>
      </x:c>
      <x:c r="N30" s="41" t="str">
        <x:v>海外工厂与产能扩张按计划落地，不出现大额投资减值</x:v>
      </x:c>
      <x:c r="O30" s="43" t="str">
        <x:v>公司披露《H股公告（董事会会议通告）》，事项主要涉及治理、证券变动或程序安排。</x:v>
      </x:c>
      <x:c r="P30" s="43" t="str">
        <x:v>治理/其他</x:v>
      </x:c>
      <x:c r="Q30" s="43" t="str">
        <x:v>无关</x:v>
      </x:c>
      <x:c r="R30" s="43" t="str">
        <x:v>无关</x:v>
      </x:c>
      <x:c r="S30" s="43" t="str">
        <x:v>不适用</x:v>
      </x:c>
      <x:c r="T30" s="43" t="str">
        <x:v>不适用</x:v>
      </x:c>
      <x:c r="U30" s="43" t="str"/>
      <x:c r="V30" s="43" t="str">
        <x:v>公告未提供会改变需求出货、盈利质量或产能扩张判断的新增经营事实，故不进入核心证据链。</x:v>
      </x:c>
      <x:c r="W30" s="43" t="n">
        <x:v>5</x:v>
      </x:c>
      <x:c r="X30" s="43" t="str">
        <x:v>无</x:v>
      </x:c>
      <x:c r="Y30" s="43" t="str">
        <x:v>B-CODEX-FIN-01</x:v>
      </x:c>
      <x:c r="Z30" s="49" t="str">
        <x:v>20260826T150309+08:00</x:v>
      </x:c>
    </x:row>
    <x:row r="31" ht="24" hidden="0" customHeight="1">
      <x:c r="A31" s="41" t="str">
        <x:v>30</x:v>
      </x:c>
      <x:c r="B31" s="41" t="str">
        <x:v>G3-E096</x:v>
      </x:c>
      <x:c r="C31" s="41" t="str">
        <x:v>药明康德</x:v>
      </x:c>
      <x:c r="D31" s="42" t="str">
        <x:v>​603259</x:v>
      </x:c>
      <x:c r="E31" s="41" t="str">
        <x:v>医药</x:v>
      </x:c>
      <x:c r="F31" s="41" t="str">
        <x:v>A股</x:v>
      </x:c>
      <x:c r="G31" s="42" t="str">
        <x:v>​2026-08-04T00:00:00+08:00</x:v>
      </x:c>
      <x:c r="H31" s="41" t="str">
        <x:v>仅日期（按盘后处理）</x:v>
      </x:c>
      <x:c r="I31" s="41" t="str">
        <x:v>2026年A股员工持股计划（草案）摘要公告</x:v>
      </x:c>
      <x:c r="J31" s="41" t="str">
        <x:v>http://static.cninfo.com.cn/finalpage/2026-08-04/1225455026.PDF</x:v>
      </x:c>
      <x:c r="K31" s="41" t="str">
        <x:v>全球医药研发外包龙头，订单随创新药投入周期波动，地缘政治与产能利用率是核心风险点</x:v>
      </x:c>
      <x:c r="L31" s="41" t="str">
        <x:v>CXO 订单与在手订单随全球创新药研发投入回暖恢复增长</x:v>
      </x:c>
      <x:c r="M31" s="41" t="str">
        <x:v>产能利用率与项目结构支撑毛利率，不因价格竞争持续走低</x:v>
      </x:c>
      <x:c r="N31" s="41" t="str">
        <x:v>新增产能与地缘政治风险可控，海外基地建设按计划推进</x:v>
      </x:c>
      <x:c r="O31" s="43" t="str">
        <x:v>公司披露《2026年A股员工持股计划（草案）摘要公告》，事项主要涉及治理、证券变动或程序安排。</x:v>
      </x:c>
      <x:c r="P31" s="43" t="str">
        <x:v>治理/其他</x:v>
      </x:c>
      <x:c r="Q31" s="43" t="str">
        <x:v>无关</x:v>
      </x:c>
      <x:c r="R31" s="43" t="str">
        <x:v>无关</x:v>
      </x:c>
      <x:c r="S31" s="43" t="str">
        <x:v>不适用</x:v>
      </x:c>
      <x:c r="T31" s="43" t="str">
        <x:v>不适用</x:v>
      </x:c>
      <x:c r="U31" s="43" t="str"/>
      <x:c r="V31" s="43" t="str">
        <x:v>公告未提供会改变需求出货、盈利质量或产能扩张判断的新增经营事实，故不进入核心证据链。</x:v>
      </x:c>
      <x:c r="W31" s="43" t="n">
        <x:v>5</x:v>
      </x:c>
      <x:c r="X31" s="43" t="str">
        <x:v>无</x:v>
      </x:c>
      <x:c r="Y31" s="43" t="str">
        <x:v>B-CODEX-FIN-01</x:v>
      </x:c>
      <x:c r="Z31" s="49" t="str">
        <x:v>20260826T150309+08:00</x:v>
      </x:c>
    </x:row>
    <x:row r="32" ht="24" hidden="0" customHeight="1">
      <x:c r="A32" s="41" t="str">
        <x:v>31</x:v>
      </x:c>
      <x:c r="B32" s="41" t="str">
        <x:v>G3-E072</x:v>
      </x:c>
      <x:c r="C32" s="41" t="str">
        <x:v>北方华创</x:v>
      </x:c>
      <x:c r="D32" s="42" t="str">
        <x:v>​002371</x:v>
      </x:c>
      <x:c r="E32" s="41" t="str">
        <x:v>芯片半导体</x:v>
      </x:c>
      <x:c r="F32" s="41" t="str">
        <x:v>A股</x:v>
      </x:c>
      <x:c r="G32" s="42" t="str">
        <x:v>​2026-07-22T00:00:00+08:00</x:v>
      </x:c>
      <x:c r="H32" s="41" t="str">
        <x:v>仅日期（按盘后处理）</x:v>
      </x:c>
      <x:c r="I32" s="41" t="str">
        <x:v>关于注册发行非金融企业债务融资工具及应收账款资产支持商业票据的公告</x:v>
      </x:c>
      <x:c r="J32" s="41" t="str">
        <x:v>http://static.cninfo.com.cn/finalpage/2026-07-22/1225435702.PDF</x:v>
      </x:c>
      <x:c r="K32" s="41" t="str">
        <x:v>前道设备国产化核心标的，晶圆厂扩产与国产化率提升支撑订单与收入，需跟踪毛利率与交付节奏</x:v>
      </x:c>
      <x:c r="L32" s="41" t="str">
        <x:v>半导体设备订单随晶圆厂扩产与国产化率提升保持增长</x:v>
      </x:c>
      <x:c r="M32" s="41" t="str">
        <x:v>规模效应与国产化推进支撑毛利率，不因竞争加剧显著下滑</x:v>
      </x:c>
      <x:c r="N32" s="41" t="str">
        <x:v>产能与交付能力跟上订单增长，合同负债转化不出现明显滞后</x:v>
      </x:c>
      <x:c r="O32" s="43" t="str">
        <x:v>公告披露：计划注册债务融资工具不超过80亿元，资金用途包括投资并购、研发投入及流动资金周转。</x:v>
      </x:c>
      <x:c r="P32" s="43" t="str">
        <x:v>融资/现金流</x:v>
      </x:c>
      <x:c r="Q32" s="43" t="str">
        <x:v>H3-产能与扩张</x:v>
      </x:c>
      <x:c r="R32" s="43" t="str">
        <x:v>中性</x:v>
      </x:c>
      <x:c r="S32" s="43" t="str">
        <x:v>低</x:v>
      </x:c>
      <x:c r="T32" s="43" t="str">
        <x:v>间接</x:v>
      </x:c>
      <x:c r="U32" s="43" t="str">
        <x:v>计划注册债务融资工具不超过80亿元，资金用途包括投资并购、研发投入及流动资金周转。</x:v>
      </x:c>
      <x:c r="V32" s="43" t="str">
        <x:v>该事实涉及但尚不足以改变H3-产能与扩张的可信度；判断基于公告直接披露的业务指标、阶段进展或风险信息。</x:v>
      </x:c>
      <x:c r="W32" s="43" t="n">
        <x:v>4</x:v>
      </x:c>
      <x:c r="X32" s="43" t="str">
        <x:v>无</x:v>
      </x:c>
      <x:c r="Y32" s="43" t="str">
        <x:v>B-CODEX-FIN-01</x:v>
      </x:c>
      <x:c r="Z32" s="49" t="str">
        <x:v>20260826T150309+08:00</x:v>
      </x:c>
    </x:row>
    <x:row r="33" ht="24" hidden="0" customHeight="1">
      <x:c r="A33" s="41" t="str">
        <x:v>32</x:v>
      </x:c>
      <x:c r="B33" s="41" t="str">
        <x:v>G3-E085</x:v>
      </x:c>
      <x:c r="C33" s="41" t="str">
        <x:v>吉利汽车</x:v>
      </x:c>
      <x:c r="D33" s="42" t="str">
        <x:v>​00175</x:v>
      </x:c>
      <x:c r="E33" s="41" t="str">
        <x:v>新能源汽车</x:v>
      </x:c>
      <x:c r="F33" s="41" t="str">
        <x:v>港股</x:v>
      </x:c>
      <x:c r="G33" s="42" t="str">
        <x:v>​2024-05-05T18:14:13+08:00</x:v>
      </x:c>
      <x:c r="H33" s="41" t="str">
        <x:v>精确</x:v>
      </x:c>
      <x:c r="I33" s="41" t="str">
        <x:v>(1) 有关建议分拆之最新进展；(2) 建议认购事项；及 (3) 董事会会议通告</x:v>
      </x:c>
      <x:c r="J33" s="41" t="str">
        <x:v>http://static.cninfo.com.cn/finalpage/2024-05-05/1219973370.PDF</x:v>
      </x:c>
      <x:c r="K33" s="41" t="str">
        <x:v>新能源转型见效，销量与出口双增长支撑收入，平台整合与毛利率改善是核心观察点。港股披露频率低于 A 股</x:v>
      </x:c>
      <x:c r="L33" s="41" t="str">
        <x:v>新能源车型销量放量带动整体销量增长，出口贡献增量</x:v>
      </x:c>
      <x:c r="M33" s="41" t="str">
        <x:v>平台化与规模效应改善毛利率，新能源转型不持续拖累盈利</x:v>
      </x:c>
      <x:c r="N33" s="41" t="str">
        <x:v>品牌与平台整合按计划推进，不出现大额整合损失</x:v>
      </x:c>
      <x:c r="O33" s="43" t="str">
        <x:v>公告披露：公告披露生产基地兴建的最新进展，项目建设仍在持续推进。</x:v>
      </x:c>
      <x:c r="P33" s="43" t="str">
        <x:v>产能/资本开支</x:v>
      </x:c>
      <x:c r="Q33" s="43" t="str">
        <x:v>H3-产能与扩张</x:v>
      </x:c>
      <x:c r="R33" s="43" t="str">
        <x:v>支持</x:v>
      </x:c>
      <x:c r="S33" s="43" t="str">
        <x:v>中</x:v>
      </x:c>
      <x:c r="T33" s="43" t="str">
        <x:v>直接</x:v>
      </x:c>
      <x:c r="U33" s="43" t="str">
        <x:v>公告披露生产基地兴建的最新进展，项目建设仍在持续推进。</x:v>
      </x:c>
      <x:c r="V33" s="43" t="str">
        <x:v>该事实提高H3-产能与扩张的可信度；判断基于公告直接披露的业务指标、阶段进展或风险信息。</x:v>
      </x:c>
      <x:c r="W33" s="43" t="n">
        <x:v>5</x:v>
      </x:c>
      <x:c r="X33" s="43" t="str">
        <x:v>无</x:v>
      </x:c>
      <x:c r="Y33" s="43" t="str">
        <x:v>B-CODEX-FIN-01</x:v>
      </x:c>
      <x:c r="Z33" s="49" t="str">
        <x:v>20260826T150309+08:00</x:v>
      </x:c>
    </x:row>
    <x:row r="34" ht="24" hidden="0" customHeight="1">
      <x:c r="A34" s="41" t="str">
        <x:v>33</x:v>
      </x:c>
      <x:c r="B34" s="41" t="str">
        <x:v>G3-E083</x:v>
      </x:c>
      <x:c r="C34" s="41" t="str">
        <x:v>云南白药</x:v>
      </x:c>
      <x:c r="D34" s="42" t="str">
        <x:v>​000538</x:v>
      </x:c>
      <x:c r="E34" s="41" t="str">
        <x:v>医药</x:v>
      </x:c>
      <x:c r="F34" s="41" t="str">
        <x:v>A股</x:v>
      </x:c>
      <x:c r="G34" s="42" t="str">
        <x:v>​2024-05-11T00:00:00+08:00</x:v>
      </x:c>
      <x:c r="H34" s="41" t="str">
        <x:v>仅日期（按盘后处理）</x:v>
      </x:c>
      <x:c r="I34" s="41" t="str">
        <x:v>关于氟比洛芬凝胶贴膏获得药物临床试验批准的公告</x:v>
      </x:c>
      <x:c r="J34" s="41" t="str">
        <x:v>http://static.cninfo.com.cn/finalpage/2024-05-11/1220033851.PDF</x:v>
      </x:c>
      <x:c r="K34" s="41" t="str">
        <x:v>中药与健康消费品，增长平稳，毛利率与渠道结构是主要观察点，历史上曾因证券投资造成业绩波动</x:v>
      </x:c>
      <x:c r="L34" s="41" t="str">
        <x:v>工业药品与健康品渠道保持稳定，不出现持续负增长</x:v>
      </x:c>
      <x:c r="M34" s="41" t="str">
        <x:v>毛利率随产品结构与原料成本波动，不持续低于历史区间</x:v>
      </x:c>
      <x:c r="N34" s="41" t="str">
        <x:v>渠道与品牌投入保持，不出现商誉或投资大额减值</x:v>
      </x:c>
      <x:c r="O34" s="43" t="str">
        <x:v>公告披露：关于氟比洛芬凝胶贴膏获得药物临床试验批准的公告</x:v>
      </x:c>
      <x:c r="P34" s="43" t="str">
        <x:v>研发/注册</x:v>
      </x:c>
      <x:c r="Q34" s="43" t="str">
        <x:v>H3-产能与扩张</x:v>
      </x:c>
      <x:c r="R34" s="43" t="str">
        <x:v>支持</x:v>
      </x:c>
      <x:c r="S34" s="43" t="str">
        <x:v>中</x:v>
      </x:c>
      <x:c r="T34" s="43" t="str">
        <x:v>直接</x:v>
      </x:c>
      <x:c r="U34" s="43" t="str">
        <x:v>关于氟比洛芬凝胶贴膏获得药物临床试验批准的公告</x:v>
      </x:c>
      <x:c r="V34" s="43" t="str">
        <x:v>该事实提高H3-产能与扩张的可信度；判断基于公告直接披露的业务指标、阶段进展或风险信息。</x:v>
      </x:c>
      <x:c r="W34" s="43" t="n">
        <x:v>5</x:v>
      </x:c>
      <x:c r="X34" s="43" t="str">
        <x:v>无</x:v>
      </x:c>
      <x:c r="Y34" s="43" t="str">
        <x:v>B-CODEX-FIN-01</x:v>
      </x:c>
      <x:c r="Z34" s="49" t="str">
        <x:v>20260826T150309+08:00</x:v>
      </x:c>
    </x:row>
    <x:row r="35" ht="24" hidden="0" customHeight="1">
      <x:c r="A35" s="41" t="str">
        <x:v>34</x:v>
      </x:c>
      <x:c r="B35" s="41" t="str">
        <x:v>G3-E097</x:v>
      </x:c>
      <x:c r="C35" s="41" t="str">
        <x:v>云南白药</x:v>
      </x:c>
      <x:c r="D35" s="42" t="str">
        <x:v>​000538</x:v>
      </x:c>
      <x:c r="E35" s="41" t="str">
        <x:v>医药</x:v>
      </x:c>
      <x:c r="F35" s="41" t="str">
        <x:v>A股</x:v>
      </x:c>
      <x:c r="G35" s="42" t="str">
        <x:v>​2024-09-12T00:00:00+08:00</x:v>
      </x:c>
      <x:c r="H35" s="41" t="str">
        <x:v>仅日期（按盘后处理）</x:v>
      </x:c>
      <x:c r="I35" s="41" t="str">
        <x:v>2024年第三次临时股东大会决议公告</x:v>
      </x:c>
      <x:c r="J35" s="41" t="str">
        <x:v>http://static.cninfo.com.cn/finalpage/2024-09-12/1221205133.PDF</x:v>
      </x:c>
      <x:c r="K35" s="41" t="str">
        <x:v>中药与健康消费品，增长平稳，毛利率与渠道结构是主要观察点，历史上曾因证券投资造成业绩波动</x:v>
      </x:c>
      <x:c r="L35" s="41" t="str">
        <x:v>工业药品与健康品渠道保持稳定，不出现持续负增长</x:v>
      </x:c>
      <x:c r="M35" s="41" t="str">
        <x:v>毛利率随产品结构与原料成本波动，不持续低于历史区间</x:v>
      </x:c>
      <x:c r="N35" s="41" t="str">
        <x:v>渠道与品牌投入保持，不出现商誉或投资大额减值</x:v>
      </x:c>
      <x:c r="O35" s="43" t="str">
        <x:v>公司披露《2024年第三次临时股东大会决议公告》，事项主要涉及治理、证券变动或程序安排。</x:v>
      </x:c>
      <x:c r="P35" s="43" t="str">
        <x:v>治理/其他</x:v>
      </x:c>
      <x:c r="Q35" s="43" t="str">
        <x:v>无关</x:v>
      </x:c>
      <x:c r="R35" s="43" t="str">
        <x:v>无关</x:v>
      </x:c>
      <x:c r="S35" s="43" t="str">
        <x:v>不适用</x:v>
      </x:c>
      <x:c r="T35" s="43" t="str">
        <x:v>不适用</x:v>
      </x:c>
      <x:c r="U35" s="43" t="str"/>
      <x:c r="V35" s="43" t="str">
        <x:v>公告未提供会改变需求出货、盈利质量或产能扩张判断的新增经营事实，故不进入核心证据链。</x:v>
      </x:c>
      <x:c r="W35" s="43" t="n">
        <x:v>5</x:v>
      </x:c>
      <x:c r="X35" s="43" t="str">
        <x:v>无</x:v>
      </x:c>
      <x:c r="Y35" s="43" t="str">
        <x:v>B-CODEX-FIN-01</x:v>
      </x:c>
      <x:c r="Z35" s="49" t="str">
        <x:v>20260826T150309+08:00</x:v>
      </x:c>
    </x:row>
    <x:row r="36" ht="36" hidden="0" customHeight="1">
      <x:c r="A36" s="41" t="str">
        <x:v>35</x:v>
      </x:c>
      <x:c r="B36" s="41" t="str">
        <x:v>G3-E111</x:v>
      </x:c>
      <x:c r="C36" s="41" t="str">
        <x:v>比亚迪</x:v>
      </x:c>
      <x:c r="D36" s="42" t="str">
        <x:v>​002594</x:v>
      </x:c>
      <x:c r="E36" s="41" t="str">
        <x:v>新能源汽车</x:v>
      </x:c>
      <x:c r="F36" s="41" t="str">
        <x:v>A股</x:v>
      </x:c>
      <x:c r="G36" s="42" t="str">
        <x:v>​2024-04-20T00:00:00+08:00</x:v>
      </x:c>
      <x:c r="H36" s="41" t="str">
        <x:v>仅日期（按盘后处理）</x:v>
      </x:c>
      <x:c r="I36" s="41" t="str">
        <x:v>2024年第一次临时股东大会、2024年第一次A股类别股东大会及2024年第一次H股类别股东大会决议公告</x:v>
      </x:c>
      <x:c r="J36" s="41" t="str">
        <x:v>http://static.cninfo.com.cn/finalpage/2024-04-20/1219697439.PDF</x:v>
      </x:c>
      <x:c r="K36" s="41" t="str">
        <x:v>新能源汽车销量与出口结构改善支撑收入，垂直一体化对冲价格战，需跟踪毛利率与海外扩张落地</x:v>
      </x:c>
      <x:c r="L36" s="41" t="str">
        <x:v>新能源汽车销量保持增长，出口占比提升对冲国内价格压力</x:v>
      </x:c>
      <x:c r="M36" s="41" t="str">
        <x:v>规模效应与垂直一体化维持毛利率，价格战不导致盈利持续恶化</x:v>
      </x:c>
      <x:c r="N36" s="41" t="str">
        <x:v>海外工厂与产能扩张按计划落地，不出现大额投资减值</x:v>
      </x:c>
      <x:c r="O36" s="43" t="str">
        <x:v>公司披露《2024年第一次临时股东大会、2024年第一次A股类别股东大会及2024年第一次H股类别股东大会决议公告》，事项主要涉及治理、证券变动或程序安排。</x:v>
      </x:c>
      <x:c r="P36" s="43" t="str">
        <x:v>治理/其他</x:v>
      </x:c>
      <x:c r="Q36" s="43" t="str">
        <x:v>无关</x:v>
      </x:c>
      <x:c r="R36" s="43" t="str">
        <x:v>无关</x:v>
      </x:c>
      <x:c r="S36" s="43" t="str">
        <x:v>不适用</x:v>
      </x:c>
      <x:c r="T36" s="43" t="str">
        <x:v>不适用</x:v>
      </x:c>
      <x:c r="U36" s="43" t="str"/>
      <x:c r="V36" s="43" t="str">
        <x:v>公告未提供会改变需求出货、盈利质量或产能扩张判断的新增经营事实，故不进入核心证据链。</x:v>
      </x:c>
      <x:c r="W36" s="43" t="n">
        <x:v>5</x:v>
      </x:c>
      <x:c r="X36" s="43" t="str">
        <x:v>无</x:v>
      </x:c>
      <x:c r="Y36" s="43" t="str">
        <x:v>B-CODEX-FIN-01</x:v>
      </x:c>
      <x:c r="Z36" s="49" t="str">
        <x:v>20260826T150309+08:00</x:v>
      </x:c>
    </x:row>
    <x:row r="37" ht="36" hidden="0" customHeight="1">
      <x:c r="A37" s="41" t="str">
        <x:v>36</x:v>
      </x:c>
      <x:c r="B37" s="41" t="str">
        <x:v>G3-E109</x:v>
      </x:c>
      <x:c r="C37" s="41" t="str">
        <x:v>小鹏汽车</x:v>
      </x:c>
      <x:c r="D37" s="42" t="str">
        <x:v>​09868</x:v>
      </x:c>
      <x:c r="E37" s="41" t="str">
        <x:v>新能源汽车</x:v>
      </x:c>
      <x:c r="F37" s="41" t="str">
        <x:v>港股</x:v>
      </x:c>
      <x:c r="G37" s="42" t="str">
        <x:v>​2024-10-02T23:59:59+08:00</x:v>
      </x:c>
      <x:c r="H37" s="41" t="str">
        <x:v>精确</x:v>
      </x:c>
      <x:c r="I37" s="41" t="str">
        <x:v>自愿公告 2024年9月及第三季度智能车交付数据</x:v>
      </x:c>
      <x:c r="J37" s="41" t="str">
        <x:v>http://static.cninfo.com.cn/finalpage/2024-10-02/1221335028.PDF</x:v>
      </x:c>
      <x:c r="K37" s="41" t="str">
        <x:v>新势力整车厂，交付量与车型周期决定收入，毛利率从负值修复中，盈利质量仍是主要风险。港股仅披露中报与年报，季度颗粒度不足</x:v>
      </x:c>
      <x:c r="L37" s="41" t="str">
        <x:v>智能车交付量保持增长，新车型周期带动需求回升</x:v>
      </x:c>
      <x:c r="M37" s="41" t="str">
        <x:v>毛利率随规模与技术服务收入改善，不回落到历史低位</x:v>
      </x:c>
      <x:c r="N37" s="41" t="str">
        <x:v>研发与产能投入可持续，现金流不出现明显恶化</x:v>
      </x:c>
      <x:c r="O37" s="43" t="str">
        <x:v>公告披露：2024年9月，小鹏汽车共交付智能电动汽车21,352辆，同比增长39%，环比增长52%。</x:v>
      </x:c>
      <x:c r="P37" s="43" t="str">
        <x:v>产销/需求</x:v>
      </x:c>
      <x:c r="Q37" s="43" t="str">
        <x:v>H1-需求与出货</x:v>
      </x:c>
      <x:c r="R37" s="43" t="str">
        <x:v>支持</x:v>
      </x:c>
      <x:c r="S37" s="43" t="str">
        <x:v>高</x:v>
      </x:c>
      <x:c r="T37" s="43" t="str">
        <x:v>直接</x:v>
      </x:c>
      <x:c r="U37" s="43" t="str">
        <x:v>2024年9月，小鹏汽车共交付智能电动汽车21,352辆，同比增长39%，环比增长52%。</x:v>
      </x:c>
      <x:c r="V37" s="43" t="str">
        <x:v>该事实提高H1-需求与出货的可信度；判断基于公告直接披露的业务指标、阶段进展或风险信息。</x:v>
      </x:c>
      <x:c r="W37" s="43" t="n">
        <x:v>5</x:v>
      </x:c>
      <x:c r="X37" s="43" t="str">
        <x:v>无</x:v>
      </x:c>
      <x:c r="Y37" s="43" t="str">
        <x:v>B-CODEX-FIN-01</x:v>
      </x:c>
      <x:c r="Z37" s="49" t="str">
        <x:v>20260826T150309+08:00</x:v>
      </x:c>
    </x:row>
    <x:row r="38" ht="24" hidden="0" customHeight="1">
      <x:c r="A38" s="41" t="str">
        <x:v>37</x:v>
      </x:c>
      <x:c r="B38" s="41" t="str">
        <x:v>G3-E026</x:v>
      </x:c>
      <x:c r="C38" s="41" t="str">
        <x:v>比亚迪</x:v>
      </x:c>
      <x:c r="D38" s="42" t="str">
        <x:v>​002594</x:v>
      </x:c>
      <x:c r="E38" s="41" t="str">
        <x:v>新能源汽车</x:v>
      </x:c>
      <x:c r="F38" s="41" t="str">
        <x:v>A股</x:v>
      </x:c>
      <x:c r="G38" s="42" t="str">
        <x:v>​2025-01-08T00:00:00+08:00</x:v>
      </x:c>
      <x:c r="H38" s="41" t="str">
        <x:v>仅日期（按盘后处理）</x:v>
      </x:c>
      <x:c r="I38" s="41" t="str">
        <x:v>H股公告（股份发行人及根据《上市规则》第十九B章上市的香港预托证券发行人的证券变动月报表）</x:v>
      </x:c>
      <x:c r="J38" s="41" t="str">
        <x:v>http://static.cninfo.com.cn/finalpage/2025-01-08/1222257663.PDF</x:v>
      </x:c>
      <x:c r="K38" s="41" t="str">
        <x:v>新能源汽车销量与出口结构改善支撑收入，垂直一体化对冲价格战，需跟踪毛利率与海外扩张落地</x:v>
      </x:c>
      <x:c r="L38" s="41" t="str">
        <x:v>新能源汽车销量保持增长，出口占比提升对冲国内价格压力</x:v>
      </x:c>
      <x:c r="M38" s="41" t="str">
        <x:v>规模效应与垂直一体化维持毛利率，价格战不导致盈利持续恶化</x:v>
      </x:c>
      <x:c r="N38" s="41" t="str">
        <x:v>海外工厂与产能扩张按计划落地，不出现大额投资减值</x:v>
      </x:c>
      <x:c r="O38" s="43" t="str">
        <x:v>公司披露《H股公告（股份发行人及根据《上市规则》第十九B章上市的香港预托证券发行人的证券变动月报表）》，事项主要涉及治理、证券变动或程序安排。</x:v>
      </x:c>
      <x:c r="P38" s="43" t="str">
        <x:v>治理/其他</x:v>
      </x:c>
      <x:c r="Q38" s="43" t="str">
        <x:v>无关</x:v>
      </x:c>
      <x:c r="R38" s="43" t="str">
        <x:v>无关</x:v>
      </x:c>
      <x:c r="S38" s="43" t="str">
        <x:v>不适用</x:v>
      </x:c>
      <x:c r="T38" s="43" t="str">
        <x:v>不适用</x:v>
      </x:c>
      <x:c r="U38" s="43" t="str"/>
      <x:c r="V38" s="43" t="str">
        <x:v>公告未提供会改变需求出货、盈利质量或产能扩张判断的新增经营事实，故不进入核心证据链。</x:v>
      </x:c>
      <x:c r="W38" s="43" t="n">
        <x:v>5</x:v>
      </x:c>
      <x:c r="X38" s="43" t="str">
        <x:v>无</x:v>
      </x:c>
      <x:c r="Y38" s="43" t="str">
        <x:v>B-CODEX-FIN-01</x:v>
      </x:c>
      <x:c r="Z38" s="49" t="str">
        <x:v>20260826T150309+08:00</x:v>
      </x:c>
    </x:row>
    <x:row r="39" ht="36" hidden="0" customHeight="1">
      <x:c r="A39" s="41" t="str">
        <x:v>38</x:v>
      </x:c>
      <x:c r="B39" s="41" t="str">
        <x:v>G3-E119</x:v>
      </x:c>
      <x:c r="C39" s="41" t="str">
        <x:v>小鹏汽车</x:v>
      </x:c>
      <x:c r="D39" s="42" t="str">
        <x:v>​09868</x:v>
      </x:c>
      <x:c r="E39" s="41" t="str">
        <x:v>新能源汽车</x:v>
      </x:c>
      <x:c r="F39" s="41" t="str">
        <x:v>港股</x:v>
      </x:c>
      <x:c r="G39" s="42" t="str">
        <x:v>​2024-07-05T21:18:17+08:00</x:v>
      </x:c>
      <x:c r="H39" s="41" t="str">
        <x:v>精确</x:v>
      </x:c>
      <x:c r="I39" s="41" t="str">
        <x:v>翌日披露报表</x:v>
      </x:c>
      <x:c r="J39" s="41" t="str">
        <x:v>http://static.cninfo.com.cn/finalpage/2024-07-05/1220542969.PDF</x:v>
      </x:c>
      <x:c r="K39" s="41" t="str">
        <x:v>新势力整车厂，交付量与车型周期决定收入，毛利率从负值修复中，盈利质量仍是主要风险。港股仅披露中报与年报，季度颗粒度不足</x:v>
      </x:c>
      <x:c r="L39" s="41" t="str">
        <x:v>智能车交付量保持增长，新车型周期带动需求回升</x:v>
      </x:c>
      <x:c r="M39" s="41" t="str">
        <x:v>毛利率随规模与技术服务收入改善，不回落到历史低位</x:v>
      </x:c>
      <x:c r="N39" s="41" t="str">
        <x:v>研发与产能投入可持续，现金流不出现明显恶化</x:v>
      </x:c>
      <x:c r="O39" s="43" t="str">
        <x:v>公司披露《翌日披露报表》，事项主要涉及治理、证券变动或程序安排。</x:v>
      </x:c>
      <x:c r="P39" s="43" t="str">
        <x:v>治理/其他</x:v>
      </x:c>
      <x:c r="Q39" s="43" t="str">
        <x:v>无关</x:v>
      </x:c>
      <x:c r="R39" s="43" t="str">
        <x:v>无关</x:v>
      </x:c>
      <x:c r="S39" s="43" t="str">
        <x:v>不适用</x:v>
      </x:c>
      <x:c r="T39" s="43" t="str">
        <x:v>不适用</x:v>
      </x:c>
      <x:c r="U39" s="43" t="str"/>
      <x:c r="V39" s="43" t="str">
        <x:v>公告未提供会改变需求出货、盈利质量或产能扩张判断的新增经营事实，故不进入核心证据链。</x:v>
      </x:c>
      <x:c r="W39" s="43" t="n">
        <x:v>5</x:v>
      </x:c>
      <x:c r="X39" s="43" t="str">
        <x:v>无</x:v>
      </x:c>
      <x:c r="Y39" s="43" t="str">
        <x:v>B-CODEX-FIN-01</x:v>
      </x:c>
      <x:c r="Z39" s="49" t="str">
        <x:v>20260826T150309+08:00</x:v>
      </x:c>
    </x:row>
    <x:row r="40" ht="24" hidden="0" customHeight="1">
      <x:c r="A40" s="41" t="str">
        <x:v>39</x:v>
      </x:c>
      <x:c r="B40" s="41" t="str">
        <x:v>G3-E012</x:v>
      </x:c>
      <x:c r="C40" s="41" t="str">
        <x:v>吉利汽车</x:v>
      </x:c>
      <x:c r="D40" s="42" t="str">
        <x:v>​00175</x:v>
      </x:c>
      <x:c r="E40" s="41" t="str">
        <x:v>新能源汽车</x:v>
      </x:c>
      <x:c r="F40" s="41" t="str">
        <x:v>港股</x:v>
      </x:c>
      <x:c r="G40" s="42" t="str">
        <x:v>​2025-06-01T18:06:28+08:00</x:v>
      </x:c>
      <x:c r="H40" s="41" t="str">
        <x:v>精确</x:v>
      </x:c>
      <x:c r="I40" s="41" t="str">
        <x:v>未经审核之二零二五年五月销量</x:v>
      </x:c>
      <x:c r="J40" s="41" t="str">
        <x:v>http://static.cninfo.com.cn/finalpage/2025-06-01/1223738489.PDF</x:v>
      </x:c>
      <x:c r="K40" s="41" t="str">
        <x:v>新能源转型见效，销量与出口双增长支撑收入，平台整合与毛利率改善是核心观察点。港股披露频率低于 A 股</x:v>
      </x:c>
      <x:c r="L40" s="41" t="str">
        <x:v>新能源车型销量放量带动整体销量增长，出口贡献增量</x:v>
      </x:c>
      <x:c r="M40" s="41" t="str">
        <x:v>平台化与规模效应改善毛利率，新能源转型不持续拖累盈利</x:v>
      </x:c>
      <x:c r="N40" s="41" t="str">
        <x:v>品牌与平台整合按计划推进，不出现大额整合损失</x:v>
      </x:c>
      <x:c r="O40" s="43" t="str">
        <x:v>公告披露：汽车总销量235,208部，去年同期160,658部，同比增加46%。</x:v>
      </x:c>
      <x:c r="P40" s="43" t="str">
        <x:v>产销/需求</x:v>
      </x:c>
      <x:c r="Q40" s="43" t="str">
        <x:v>H1-需求与出货</x:v>
      </x:c>
      <x:c r="R40" s="43" t="str">
        <x:v>支持</x:v>
      </x:c>
      <x:c r="S40" s="43" t="str">
        <x:v>高</x:v>
      </x:c>
      <x:c r="T40" s="43" t="str">
        <x:v>直接</x:v>
      </x:c>
      <x:c r="U40" s="43" t="str">
        <x:v>汽车总销量235,208部，去年同期160,658部，同比增加46%。</x:v>
      </x:c>
      <x:c r="V40" s="43" t="str">
        <x:v>该事实提高H1-需求与出货的可信度；判断基于公告直接披露的业务指标、阶段进展或风险信息。</x:v>
      </x:c>
      <x:c r="W40" s="43" t="n">
        <x:v>5</x:v>
      </x:c>
      <x:c r="X40" s="43" t="str">
        <x:v>无</x:v>
      </x:c>
      <x:c r="Y40" s="43" t="str">
        <x:v>B-CODEX-FIN-01</x:v>
      </x:c>
      <x:c r="Z40" s="49" t="str">
        <x:v>20260826T150309+08:00</x:v>
      </x:c>
    </x:row>
    <x:row r="41" ht="24" hidden="0" customHeight="1">
      <x:c r="A41" s="41" t="str">
        <x:v>40</x:v>
      </x:c>
      <x:c r="B41" s="41" t="str">
        <x:v>G3-E044</x:v>
      </x:c>
      <x:c r="C41" s="41" t="str">
        <x:v>中芯国际</x:v>
      </x:c>
      <x:c r="D41" s="42" t="str">
        <x:v>​688981</x:v>
      </x:c>
      <x:c r="E41" s="41" t="str">
        <x:v>芯片半导体</x:v>
      </x:c>
      <x:c r="F41" s="41" t="str">
        <x:v>A股</x:v>
      </x:c>
      <x:c r="G41" s="42" t="str">
        <x:v>​2025-11-14T00:00:00+08:00</x:v>
      </x:c>
      <x:c r="H41" s="41" t="str">
        <x:v>仅日期（按盘后处理）</x:v>
      </x:c>
      <x:c r="I41" s="41" t="str">
        <x:v>中芯国际关于2025年前三季度计提资产减值准备的公告</x:v>
      </x:c>
      <x:c r="J41" s="41" t="str">
        <x:v>http://static.cninfo.com.cn/finalpage/2025-11-14/1224804088.PDF</x:v>
      </x:c>
      <x:c r="K41" s="41" t="str">
        <x:v>成熟制程代工龙头，国产替代与产能利用率回升支撑收入，折旧与价格压力是盈利的主要观察点</x:v>
      </x:c>
      <x:c r="L41" s="41" t="str">
        <x:v>成熟制程产能利用率与晶圆出货保持增长，国产替代需求是主要驱动</x:v>
      </x:c>
      <x:c r="M41" s="41" t="str">
        <x:v>毛利率随产能利用率回升，折旧压力不导致盈利持续恶化</x:v>
      </x:c>
      <x:c r="N41" s="41" t="str">
        <x:v>资本开支与扩产节奏匹配下游需求，先进制程投入不出现大额减值</x:v>
      </x:c>
      <x:c r="O41" s="43" t="str">
        <x:v>公告披露：2025年前三季度计提信用减值及资产减值917,354千元，减少利润总额917,354千元。</x:v>
      </x:c>
      <x:c r="P41" s="43" t="str">
        <x:v>风险/合规</x:v>
      </x:c>
      <x:c r="Q41" s="43" t="str">
        <x:v>H3-产能与扩张</x:v>
      </x:c>
      <x:c r="R41" s="43" t="str">
        <x:v>冲突</x:v>
      </x:c>
      <x:c r="S41" s="43" t="str">
        <x:v>高</x:v>
      </x:c>
      <x:c r="T41" s="43" t="str">
        <x:v>直接</x:v>
      </x:c>
      <x:c r="U41" s="43" t="str">
        <x:v>2025年前三季度计提信用减值及资产减值917,354千元，减少利润总额917,354千元。</x:v>
      </x:c>
      <x:c r="V41" s="43" t="str">
        <x:v>该事实降低H3-产能与扩张的可信度；判断基于公告直接披露的业务指标、阶段进展或风险信息。</x:v>
      </x:c>
      <x:c r="W41" s="43" t="n">
        <x:v>5</x:v>
      </x:c>
      <x:c r="X41" s="43" t="str">
        <x:v>无</x:v>
      </x:c>
      <x:c r="Y41" s="43" t="str">
        <x:v>B-CODEX-FIN-01</x:v>
      </x:c>
      <x:c r="Z41" s="49" t="str">
        <x:v>20260826T150309+08:00</x:v>
      </x:c>
    </x:row>
    <x:row r="42" ht="48" hidden="0" customHeight="1">
      <x:c r="A42" s="41" t="str">
        <x:v>41</x:v>
      </x:c>
      <x:c r="B42" s="41" t="str">
        <x:v>G3-E010</x:v>
      </x:c>
      <x:c r="C42" s="41" t="str">
        <x:v>兆易创新</x:v>
      </x:c>
      <x:c r="D42" s="42" t="str">
        <x:v>​603986</x:v>
      </x:c>
      <x:c r="E42" s="41" t="str">
        <x:v>芯片半导体</x:v>
      </x:c>
      <x:c r="F42" s="41" t="str">
        <x:v>A股</x:v>
      </x:c>
      <x:c r="G42" s="42" t="str">
        <x:v>​2026-01-23T00:00:00+08:00</x:v>
      </x:c>
      <x:c r="H42" s="41" t="str">
        <x:v>仅日期（按盘后处理）</x:v>
      </x:c>
      <x:c r="I42" s="41" t="str">
        <x:v>中国国际金融股份有限公司关于兆易创新科技集团股份有限公司使用A股部分募集资金向全资子公司及全资孙公司增资以实施DRAM募投项目的核查意见</x:v>
      </x:c>
      <x:c r="J42" s="41" t="str">
        <x:v>http://static.cninfo.com.cn/finalpage/2026-01-23/1224946581.PDF</x:v>
      </x:c>
      <x:c r="K42" s="41" t="str">
        <x:v>存储与 MCU 设计商，需求随下游复苏与库存去化回升，毛利率对存储价格周期高度敏感，需跟踪产品结构</x:v>
      </x:c>
      <x:c r="L42" s="41" t="str">
        <x:v>存储与 MCU 需求随消费电子与工业复苏回升，库存周期见底</x:v>
      </x:c>
      <x:c r="M42" s="41" t="str">
        <x:v>毛利率随产品结构改善回升，不因存储价格波动持续走低</x:v>
      </x:c>
      <x:c r="N42" s="41" t="str">
        <x:v>新品研发与产能储备按计划推进，不出现存货大额跌价</x:v>
      </x:c>
      <x:c r="O42" s="43" t="str">
        <x:v>公告披露：DRAM募投项目的建设需要，未改变募集资金的投资方向和项目建设内容，不会对项目</x:v>
      </x:c>
      <x:c r="P42" s="43" t="str">
        <x:v>产能/资本开支</x:v>
      </x:c>
      <x:c r="Q42" s="43" t="str">
        <x:v>H3-产能与扩张</x:v>
      </x:c>
      <x:c r="R42" s="43" t="str">
        <x:v>支持</x:v>
      </x:c>
      <x:c r="S42" s="43" t="str">
        <x:v>高</x:v>
      </x:c>
      <x:c r="T42" s="43" t="str">
        <x:v>直接</x:v>
      </x:c>
      <x:c r="U42" s="43" t="str">
        <x:v>DRAM募投项目的建设需要，未改变募集资金的投资方向和项目建设内容，不会对项目</x:v>
      </x:c>
      <x:c r="V42" s="43" t="str">
        <x:v>该事实提高H3-产能与扩张的可信度；判断基于公告直接披露的业务指标、阶段进展或风险信息。</x:v>
      </x:c>
      <x:c r="W42" s="43" t="n">
        <x:v>5</x:v>
      </x:c>
      <x:c r="X42" s="43" t="str">
        <x:v>无</x:v>
      </x:c>
      <x:c r="Y42" s="43" t="str">
        <x:v>B-CODEX-FIN-01</x:v>
      </x:c>
      <x:c r="Z42" s="49" t="str">
        <x:v>20260826T150309+08:00</x:v>
      </x:c>
    </x:row>
    <x:row r="43" ht="24" hidden="0" customHeight="1">
      <x:c r="A43" s="41" t="str">
        <x:v>42</x:v>
      </x:c>
      <x:c r="B43" s="41" t="str">
        <x:v>G3-E116</x:v>
      </x:c>
      <x:c r="C43" s="41" t="str">
        <x:v>云南白药</x:v>
      </x:c>
      <x:c r="D43" s="42" t="str">
        <x:v>​000538</x:v>
      </x:c>
      <x:c r="E43" s="41" t="str">
        <x:v>医药</x:v>
      </x:c>
      <x:c r="F43" s="41" t="str">
        <x:v>A股</x:v>
      </x:c>
      <x:c r="G43" s="42" t="str">
        <x:v>​2025-06-26T00:00:00+08:00</x:v>
      </x:c>
      <x:c r="H43" s="41" t="str">
        <x:v>仅日期（按盘后处理）</x:v>
      </x:c>
      <x:c r="I43" s="41" t="str">
        <x:v>第十届董事会2025年第三次会议决议公告</x:v>
      </x:c>
      <x:c r="J43" s="41" t="str">
        <x:v>http://static.cninfo.com.cn/finalpage/2025-06-26/1223980920.PDF</x:v>
      </x:c>
      <x:c r="K43" s="41" t="str">
        <x:v>中药与健康消费品，增长平稳，毛利率与渠道结构是主要观察点，历史上曾因证券投资造成业绩波动</x:v>
      </x:c>
      <x:c r="L43" s="41" t="str">
        <x:v>工业药品与健康品渠道保持稳定，不出现持续负增长</x:v>
      </x:c>
      <x:c r="M43" s="41" t="str">
        <x:v>毛利率随产品结构与原料成本波动，不持续低于历史区间</x:v>
      </x:c>
      <x:c r="N43" s="41" t="str">
        <x:v>渠道与品牌投入保持，不出现商誉或投资大额减值</x:v>
      </x:c>
      <x:c r="O43" s="43" t="str">
        <x:v>公司披露《第十届董事会2025年第三次会议决议公告》，事项主要涉及治理、证券变动或程序安排。</x:v>
      </x:c>
      <x:c r="P43" s="43" t="str">
        <x:v>治理/其他</x:v>
      </x:c>
      <x:c r="Q43" s="43" t="str">
        <x:v>无关</x:v>
      </x:c>
      <x:c r="R43" s="43" t="str">
        <x:v>无关</x:v>
      </x:c>
      <x:c r="S43" s="43" t="str">
        <x:v>不适用</x:v>
      </x:c>
      <x:c r="T43" s="43" t="str">
        <x:v>不适用</x:v>
      </x:c>
      <x:c r="U43" s="43" t="str"/>
      <x:c r="V43" s="43" t="str">
        <x:v>公告未提供会改变需求出货、盈利质量或产能扩张判断的新增经营事实，故不进入核心证据链。</x:v>
      </x:c>
      <x:c r="W43" s="43" t="n">
        <x:v>5</x:v>
      </x:c>
      <x:c r="X43" s="43" t="str">
        <x:v>无</x:v>
      </x:c>
      <x:c r="Y43" s="43" t="str">
        <x:v>B-CODEX-FIN-01</x:v>
      </x:c>
      <x:c r="Z43" s="49" t="str">
        <x:v>20260826T150309+08:00</x:v>
      </x:c>
    </x:row>
    <x:row r="44" ht="24" hidden="0" customHeight="1">
      <x:c r="A44" s="41" t="str">
        <x:v>43</x:v>
      </x:c>
      <x:c r="B44" s="41" t="str">
        <x:v>G3-E002</x:v>
      </x:c>
      <x:c r="C44" s="41" t="str">
        <x:v>药明康德</x:v>
      </x:c>
      <x:c r="D44" s="42" t="str">
        <x:v>​603259</x:v>
      </x:c>
      <x:c r="E44" s="41" t="str">
        <x:v>医药</x:v>
      </x:c>
      <x:c r="F44" s="41" t="str">
        <x:v>A股</x:v>
      </x:c>
      <x:c r="G44" s="42" t="str">
        <x:v>​2025-10-27T00:00:00+08:00</x:v>
      </x:c>
      <x:c r="H44" s="41" t="str">
        <x:v>仅日期（按盘后处理）</x:v>
      </x:c>
      <x:c r="I44" s="41" t="str">
        <x:v>2025年第三季度报告</x:v>
      </x:c>
      <x:c r="J44" s="41" t="str">
        <x:v>http://static.cninfo.com.cn/finalpage/2025-10-27/1224737987.PDF</x:v>
      </x:c>
      <x:c r="K44" s="41" t="str">
        <x:v>全球医药研发外包龙头，订单随创新药投入周期波动，地缘政治与产能利用率是核心风险点</x:v>
      </x:c>
      <x:c r="L44" s="41" t="str">
        <x:v>CXO 订单与在手订单随全球创新药研发投入回暖恢复增长</x:v>
      </x:c>
      <x:c r="M44" s="41" t="str">
        <x:v>产能利用率与项目结构支撑毛利率，不因价格竞争持续走低</x:v>
      </x:c>
      <x:c r="N44" s="41" t="str">
        <x:v>新增产能与地缘政治风险可控，海外基地建设按计划推进</x:v>
      </x:c>
      <x:c r="O44" s="43" t="str">
        <x:v>公告披露：2025年前三季度营业收入32,856,716,508.86元，同比增长18.61%。</x:v>
      </x:c>
      <x:c r="P44" s="43" t="str">
        <x:v>收入/利润</x:v>
      </x:c>
      <x:c r="Q44" s="43" t="str">
        <x:v>H1-需求与出货</x:v>
      </x:c>
      <x:c r="R44" s="43" t="str">
        <x:v>支持</x:v>
      </x:c>
      <x:c r="S44" s="43" t="str">
        <x:v>高</x:v>
      </x:c>
      <x:c r="T44" s="43" t="str">
        <x:v>直接</x:v>
      </x:c>
      <x:c r="U44" s="43" t="str">
        <x:v>2025年前三季度营业收入32,856,716,508.86元，同比增长18.61%。</x:v>
      </x:c>
      <x:c r="V44" s="43" t="str">
        <x:v>该事实提高H1-需求与出货的可信度；判断基于公告直接披露的业务指标、阶段进展或风险信息。</x:v>
      </x:c>
      <x:c r="W44" s="43" t="n">
        <x:v>5</x:v>
      </x:c>
      <x:c r="X44" s="43" t="str">
        <x:v>无</x:v>
      </x:c>
      <x:c r="Y44" s="43" t="str">
        <x:v>B-CODEX-FIN-01</x:v>
      </x:c>
      <x:c r="Z44" s="49" t="str">
        <x:v>20260826T150309+08:00</x:v>
      </x:c>
    </x:row>
    <x:row r="45" ht="36" hidden="0" customHeight="1">
      <x:c r="A45" s="41" t="str">
        <x:v>44</x:v>
      </x:c>
      <x:c r="B45" s="41" t="str">
        <x:v>G3-E050</x:v>
      </x:c>
      <x:c r="C45" s="41" t="str">
        <x:v>兆易创新</x:v>
      </x:c>
      <x:c r="D45" s="42" t="str">
        <x:v>​603986</x:v>
      </x:c>
      <x:c r="E45" s="41" t="str">
        <x:v>芯片半导体</x:v>
      </x:c>
      <x:c r="F45" s="41" t="str">
        <x:v>A股</x:v>
      </x:c>
      <x:c r="G45" s="42" t="str">
        <x:v>​2026-05-30T00:00:00+08:00</x:v>
      </x:c>
      <x:c r="H45" s="41" t="str">
        <x:v>仅日期（按盘后处理）</x:v>
      </x:c>
      <x:c r="I45" s="41" t="str">
        <x:v>兆易创新关于完成工商变更登记的公告</x:v>
      </x:c>
      <x:c r="J45" s="41" t="str">
        <x:v>http://static.cninfo.com.cn/finalpage/2026-05-30/1225339729.PDF</x:v>
      </x:c>
      <x:c r="K45" s="41" t="str">
        <x:v>存储与 MCU 设计商，需求随下游复苏与库存去化回升，毛利率对存储价格周期高度敏感，需跟踪产品结构</x:v>
      </x:c>
      <x:c r="L45" s="41" t="str">
        <x:v>存储与 MCU 需求随消费电子与工业复苏回升，库存周期见底</x:v>
      </x:c>
      <x:c r="M45" s="41" t="str">
        <x:v>毛利率随产品结构改善回升，不因存储价格波动持续走低</x:v>
      </x:c>
      <x:c r="N45" s="41" t="str">
        <x:v>新品研发与产能储备按计划推进，不出现存货大额跌价</x:v>
      </x:c>
      <x:c r="O45" s="43" t="str">
        <x:v>公司披露《兆易创新关于完成工商变更登记的公告》，事项主要涉及治理、证券变动或程序安排。</x:v>
      </x:c>
      <x:c r="P45" s="43" t="str">
        <x:v>治理/其他</x:v>
      </x:c>
      <x:c r="Q45" s="43" t="str">
        <x:v>无关</x:v>
      </x:c>
      <x:c r="R45" s="43" t="str">
        <x:v>无关</x:v>
      </x:c>
      <x:c r="S45" s="43" t="str">
        <x:v>不适用</x:v>
      </x:c>
      <x:c r="T45" s="43" t="str">
        <x:v>不适用</x:v>
      </x:c>
      <x:c r="U45" s="43" t="str"/>
      <x:c r="V45" s="43" t="str">
        <x:v>公告未提供会改变需求出货、盈利质量或产能扩张判断的新增经营事实，故不进入核心证据链。</x:v>
      </x:c>
      <x:c r="W45" s="43" t="n">
        <x:v>5</x:v>
      </x:c>
      <x:c r="X45" s="43" t="str">
        <x:v>无</x:v>
      </x:c>
      <x:c r="Y45" s="43" t="str">
        <x:v>B-CODEX-FIN-01</x:v>
      </x:c>
      <x:c r="Z45" s="49" t="str">
        <x:v>20260826T150309+08:00</x:v>
      </x:c>
    </x:row>
    <x:row r="46" ht="24" hidden="0" customHeight="1">
      <x:c r="A46" s="41" t="str">
        <x:v>45</x:v>
      </x:c>
      <x:c r="B46" s="41" t="str">
        <x:v>G3-E021</x:v>
      </x:c>
      <x:c r="C46" s="41" t="str">
        <x:v>恒瑞医药</x:v>
      </x:c>
      <x:c r="D46" s="42" t="str">
        <x:v>​600276</x:v>
      </x:c>
      <x:c r="E46" s="41" t="str">
        <x:v>医药</x:v>
      </x:c>
      <x:c r="F46" s="41" t="str">
        <x:v>A股</x:v>
      </x:c>
      <x:c r="G46" s="42" t="str">
        <x:v>​2025-12-08T00:00:00+08:00</x:v>
      </x:c>
      <x:c r="H46" s="41" t="str">
        <x:v>仅日期（按盘后处理）</x:v>
      </x:c>
      <x:c r="I46" s="41" t="str">
        <x:v>恒瑞医药关于公司药品纳入国家医保目录的公告</x:v>
      </x:c>
      <x:c r="J46" s="41" t="str">
        <x:v>http://static.cninfo.com.cn/finalpage/2025-12-08/1224856686.PDF</x:v>
      </x:c>
      <x:c r="K46" s="41" t="str">
        <x:v>创新药转型期，创新药放量与对外授权接续仿制药集采缺口，毛利率高但集采与研发成败是关键观察点</x:v>
      </x:c>
      <x:c r="L46" s="41" t="str">
        <x:v>创新药放量与授权合作收入接续仿制药集采下滑，研发管线持续推进</x:v>
      </x:c>
      <x:c r="M46" s="41" t="str">
        <x:v>创新药占比提升支撑高毛利率，集采降价不导致盈利持续恶化</x:v>
      </x:c>
      <x:c r="N46" s="41" t="str">
        <x:v>研发投入强度维持，管线推进不出现关键品种研发失败</x:v>
      </x:c>
      <x:c r="O46" s="43" t="str">
        <x:v>公告披露：销售额约为 75.54 亿元。公司上述药品纳入国家医保目录，将有利于药品的销售，</x:v>
      </x:c>
      <x:c r="P46" s="43" t="str">
        <x:v>产销/需求</x:v>
      </x:c>
      <x:c r="Q46" s="43" t="str">
        <x:v>H1-需求与出货</x:v>
      </x:c>
      <x:c r="R46" s="43" t="str">
        <x:v>支持</x:v>
      </x:c>
      <x:c r="S46" s="43" t="str">
        <x:v>高</x:v>
      </x:c>
      <x:c r="T46" s="43" t="str">
        <x:v>直接</x:v>
      </x:c>
      <x:c r="U46" s="43" t="str">
        <x:v>销售额约为 75.54 亿元。公司上述药品纳入国家医保目录，将有利于药品的销售，</x:v>
      </x:c>
      <x:c r="V46" s="43" t="str">
        <x:v>该事实提高H1-需求与出货的可信度；判断基于公告直接披露的业务指标、阶段进展或风险信息。</x:v>
      </x:c>
      <x:c r="W46" s="43" t="n">
        <x:v>5</x:v>
      </x:c>
      <x:c r="X46" s="43" t="str">
        <x:v>无</x:v>
      </x:c>
      <x:c r="Y46" s="43" t="str">
        <x:v>B-CODEX-FIN-01</x:v>
      </x:c>
      <x:c r="Z46" s="49" t="str">
        <x:v>20260826T150309+08:00</x:v>
      </x:c>
    </x:row>
    <x:row r="47" ht="24" hidden="0" customHeight="1">
      <x:c r="A47" s="41" t="str">
        <x:v>46</x:v>
      </x:c>
      <x:c r="B47" s="41" t="str">
        <x:v>G3-E064</x:v>
      </x:c>
      <x:c r="C47" s="41" t="str">
        <x:v>吉利汽车</x:v>
      </x:c>
      <x:c r="D47" s="42" t="str">
        <x:v>​00175</x:v>
      </x:c>
      <x:c r="E47" s="41" t="str">
        <x:v>新能源汽车</x:v>
      </x:c>
      <x:c r="F47" s="41" t="str">
        <x:v>港股</x:v>
      </x:c>
      <x:c r="G47" s="42" t="str">
        <x:v>​2025-02-14T16:36:12+08:00</x:v>
      </x:c>
      <x:c r="H47" s="41" t="str">
        <x:v>精确</x:v>
      </x:c>
      <x:c r="I47" s="41" t="str">
        <x:v>完成须予披露及关连交易(1)极氪收购领克销售股份；及(2)极氪认购领克新增资本</x:v>
      </x:c>
      <x:c r="J47" s="41" t="str">
        <x:v>http://static.cninfo.com.cn/finalpage/2025-02-14/1222544267.PDF</x:v>
      </x:c>
      <x:c r="K47" s="41" t="str">
        <x:v>新能源转型见效，销量与出口双增长支撑收入，平台整合与毛利率改善是核心观察点。港股披露频率低于 A 股</x:v>
      </x:c>
      <x:c r="L47" s="41" t="str">
        <x:v>新能源车型销量放量带动整体销量增长，出口贡献增量</x:v>
      </x:c>
      <x:c r="M47" s="41" t="str">
        <x:v>平台化与规模效应改善毛利率，新能源转型不持续拖累盈利</x:v>
      </x:c>
      <x:c r="N47" s="41" t="str">
        <x:v>品牌与平台整合按计划推进，不出现大额整合损失</x:v>
      </x:c>
      <x:c r="O47" s="43" t="str">
        <x:v>公告披露：极氪收购领克销售股份及认购新增资本已完成，预计集团录得未经审核收益约64.7亿元。</x:v>
      </x:c>
      <x:c r="P47" s="43" t="str">
        <x:v>产能/资本开支</x:v>
      </x:c>
      <x:c r="Q47" s="43" t="str">
        <x:v>H3-产能与扩张</x:v>
      </x:c>
      <x:c r="R47" s="43" t="str">
        <x:v>支持</x:v>
      </x:c>
      <x:c r="S47" s="43" t="str">
        <x:v>高</x:v>
      </x:c>
      <x:c r="T47" s="43" t="str">
        <x:v>直接</x:v>
      </x:c>
      <x:c r="U47" s="43" t="str">
        <x:v>极氪收购领克销售股份及认购新增资本已完成，预计集团录得未经审核收益约64.7亿元。</x:v>
      </x:c>
      <x:c r="V47" s="43" t="str">
        <x:v>该事实提高H3-产能与扩张的可信度；判断基于公告直接披露的业务指标、阶段进展或风险信息。</x:v>
      </x:c>
      <x:c r="W47" s="43" t="n">
        <x:v>5</x:v>
      </x:c>
      <x:c r="X47" s="43" t="str">
        <x:v>无</x:v>
      </x:c>
      <x:c r="Y47" s="43" t="str">
        <x:v>B-CODEX-FIN-01</x:v>
      </x:c>
      <x:c r="Z47" s="49" t="str">
        <x:v>20260826T150309+08:00</x:v>
      </x:c>
    </x:row>
    <x:row r="48" ht="24" hidden="0" customHeight="1">
      <x:c r="A48" s="41" t="str">
        <x:v>47</x:v>
      </x:c>
      <x:c r="B48" s="41" t="str">
        <x:v>G3-E033</x:v>
      </x:c>
      <x:c r="C48" s="41" t="str">
        <x:v>药明康德</x:v>
      </x:c>
      <x:c r="D48" s="42" t="str">
        <x:v>​603259</x:v>
      </x:c>
      <x:c r="E48" s="41" t="str">
        <x:v>医药</x:v>
      </x:c>
      <x:c r="F48" s="41" t="str">
        <x:v>A股</x:v>
      </x:c>
      <x:c r="G48" s="42" t="str">
        <x:v>​2024-03-09T00:00:00+08:00</x:v>
      </x:c>
      <x:c r="H48" s="41" t="str">
        <x:v>仅日期（按盘后处理）</x:v>
      </x:c>
      <x:c r="I48" s="41" t="str">
        <x:v>关于回购注销部分股票通知债权人的公告</x:v>
      </x:c>
      <x:c r="J48" s="41" t="str">
        <x:v>http://static.cninfo.com.cn/finalpage/2024-03-09/1219267101.PDF</x:v>
      </x:c>
      <x:c r="K48" s="41" t="str">
        <x:v>全球医药研发外包龙头，订单随创新药投入周期波动，地缘政治与产能利用率是核心风险点</x:v>
      </x:c>
      <x:c r="L48" s="41" t="str">
        <x:v>CXO 订单与在手订单随全球创新药研发投入回暖恢复增长</x:v>
      </x:c>
      <x:c r="M48" s="41" t="str">
        <x:v>产能利用率与项目结构支撑毛利率，不因价格竞争持续走低</x:v>
      </x:c>
      <x:c r="N48" s="41" t="str">
        <x:v>新增产能与地缘政治风险可控，海外基地建设按计划推进</x:v>
      </x:c>
      <x:c r="O48" s="43" t="str">
        <x:v>公司披露《关于回购注销部分股票通知债权人的公告》，事项主要涉及治理、证券变动或程序安排。</x:v>
      </x:c>
      <x:c r="P48" s="43" t="str">
        <x:v>治理/其他</x:v>
      </x:c>
      <x:c r="Q48" s="43" t="str">
        <x:v>无关</x:v>
      </x:c>
      <x:c r="R48" s="43" t="str">
        <x:v>无关</x:v>
      </x:c>
      <x:c r="S48" s="43" t="str">
        <x:v>不适用</x:v>
      </x:c>
      <x:c r="T48" s="43" t="str">
        <x:v>不适用</x:v>
      </x:c>
      <x:c r="U48" s="43" t="str"/>
      <x:c r="V48" s="43" t="str">
        <x:v>公告未提供会改变需求出货、盈利质量或产能扩张判断的新增经营事实，故不进入核心证据链。</x:v>
      </x:c>
      <x:c r="W48" s="43" t="n">
        <x:v>5</x:v>
      </x:c>
      <x:c r="X48" s="43" t="str">
        <x:v>无</x:v>
      </x:c>
      <x:c r="Y48" s="43" t="str">
        <x:v>B-CODEX-FIN-01</x:v>
      </x:c>
      <x:c r="Z48" s="49" t="str">
        <x:v>20260826T150309+08:00</x:v>
      </x:c>
    </x:row>
    <x:row r="49" ht="24" hidden="0" customHeight="1">
      <x:c r="A49" s="41" t="str">
        <x:v>48</x:v>
      </x:c>
      <x:c r="B49" s="41" t="str">
        <x:v>G3-E117</x:v>
      </x:c>
      <x:c r="C49" s="41" t="str">
        <x:v>药明康德</x:v>
      </x:c>
      <x:c r="D49" s="42" t="str">
        <x:v>​603259</x:v>
      </x:c>
      <x:c r="E49" s="41" t="str">
        <x:v>医药</x:v>
      </x:c>
      <x:c r="F49" s="41" t="str">
        <x:v>A股</x:v>
      </x:c>
      <x:c r="G49" s="42" t="str">
        <x:v>​2026-07-02T00:00:00+08:00</x:v>
      </x:c>
      <x:c r="H49" s="41" t="str">
        <x:v>仅日期（按盘后处理）</x:v>
      </x:c>
      <x:c r="I49" s="41" t="str">
        <x:v>第四届董事会第四次会议决议公告</x:v>
      </x:c>
      <x:c r="J49" s="41" t="str">
        <x:v>http://static.cninfo.com.cn/finalpage/2026-07-02/1225403740.PDF</x:v>
      </x:c>
      <x:c r="K49" s="41" t="str">
        <x:v>全球医药研发外包龙头，订单随创新药投入周期波动，地缘政治与产能利用率是核心风险点</x:v>
      </x:c>
      <x:c r="L49" s="41" t="str">
        <x:v>CXO 订单与在手订单随全球创新药研发投入回暖恢复增长</x:v>
      </x:c>
      <x:c r="M49" s="41" t="str">
        <x:v>产能利用率与项目结构支撑毛利率，不因价格竞争持续走低</x:v>
      </x:c>
      <x:c r="N49" s="41" t="str">
        <x:v>新增产能与地缘政治风险可控，海外基地建设按计划推进</x:v>
      </x:c>
      <x:c r="O49" s="43" t="str">
        <x:v>公司披露《第四届董事会第四次会议决议公告》，事项主要涉及治理、证券变动或程序安排。</x:v>
      </x:c>
      <x:c r="P49" s="43" t="str">
        <x:v>治理/其他</x:v>
      </x:c>
      <x:c r="Q49" s="43" t="str">
        <x:v>无关</x:v>
      </x:c>
      <x:c r="R49" s="43" t="str">
        <x:v>无关</x:v>
      </x:c>
      <x:c r="S49" s="43" t="str">
        <x:v>不适用</x:v>
      </x:c>
      <x:c r="T49" s="43" t="str">
        <x:v>不适用</x:v>
      </x:c>
      <x:c r="U49" s="43" t="str"/>
      <x:c r="V49" s="43" t="str">
        <x:v>公告未提供会改变需求出货、盈利质量或产能扩张判断的新增经营事实，故不进入核心证据链。</x:v>
      </x:c>
      <x:c r="W49" s="43" t="n">
        <x:v>5</x:v>
      </x:c>
      <x:c r="X49" s="43" t="str">
        <x:v>无</x:v>
      </x:c>
      <x:c r="Y49" s="43" t="str">
        <x:v>B-CODEX-FIN-01</x:v>
      </x:c>
      <x:c r="Z49" s="49" t="str">
        <x:v>20260826T150309+08:00</x:v>
      </x:c>
    </x:row>
    <x:row r="50" ht="24" hidden="0" customHeight="1">
      <x:c r="A50" s="41" t="str">
        <x:v>49</x:v>
      </x:c>
      <x:c r="B50" s="41" t="str">
        <x:v>G3-E022</x:v>
      </x:c>
      <x:c r="C50" s="41" t="str">
        <x:v>比亚迪</x:v>
      </x:c>
      <x:c r="D50" s="42" t="str">
        <x:v>​002594</x:v>
      </x:c>
      <x:c r="E50" s="41" t="str">
        <x:v>新能源汽车</x:v>
      </x:c>
      <x:c r="F50" s="41" t="str">
        <x:v>A股</x:v>
      </x:c>
      <x:c r="G50" s="42" t="str">
        <x:v>​2025-03-18T00:00:00+08:00</x:v>
      </x:c>
      <x:c r="H50" s="41" t="str">
        <x:v>仅日期（按盘后处理）</x:v>
      </x:c>
      <x:c r="I50" s="41" t="str">
        <x:v>公司章程（2025年3月）</x:v>
      </x:c>
      <x:c r="J50" s="41" t="str">
        <x:v>http://static.cninfo.com.cn/finalpage/2025-03-18/1222822328.PDF</x:v>
      </x:c>
      <x:c r="K50" s="41" t="str">
        <x:v>新能源汽车销量与出口结构改善支撑收入，垂直一体化对冲价格战，需跟踪毛利率与海外扩张落地</x:v>
      </x:c>
      <x:c r="L50" s="41" t="str">
        <x:v>新能源汽车销量保持增长，出口占比提升对冲国内价格压力</x:v>
      </x:c>
      <x:c r="M50" s="41" t="str">
        <x:v>规模效应与垂直一体化维持毛利率，价格战不导致盈利持续恶化</x:v>
      </x:c>
      <x:c r="N50" s="41" t="str">
        <x:v>海外工厂与产能扩张按计划落地，不出现大额投资减值</x:v>
      </x:c>
      <x:c r="O50" s="43" t="str">
        <x:v>公司披露《公司章程（2025年3月）》，事项主要涉及治理、证券变动或程序安排。</x:v>
      </x:c>
      <x:c r="P50" s="43" t="str">
        <x:v>治理/其他</x:v>
      </x:c>
      <x:c r="Q50" s="43" t="str">
        <x:v>无关</x:v>
      </x:c>
      <x:c r="R50" s="43" t="str">
        <x:v>无关</x:v>
      </x:c>
      <x:c r="S50" s="43" t="str">
        <x:v>不适用</x:v>
      </x:c>
      <x:c r="T50" s="43" t="str">
        <x:v>不适用</x:v>
      </x:c>
      <x:c r="U50" s="43" t="str"/>
      <x:c r="V50" s="43" t="str">
        <x:v>公告未提供会改变需求出货、盈利质量或产能扩张判断的新增经营事实，故不进入核心证据链。</x:v>
      </x:c>
      <x:c r="W50" s="43" t="n">
        <x:v>5</x:v>
      </x:c>
      <x:c r="X50" s="43" t="str">
        <x:v>无</x:v>
      </x:c>
      <x:c r="Y50" s="43" t="str">
        <x:v>B-CODEX-FIN-01</x:v>
      </x:c>
      <x:c r="Z50" s="49" t="str">
        <x:v>20260826T150309+08:00</x:v>
      </x:c>
    </x:row>
    <x:row r="51" ht="24" hidden="0" customHeight="1">
      <x:c r="A51" s="41" t="str">
        <x:v>50</x:v>
      </x:c>
      <x:c r="B51" s="41" t="str">
        <x:v>G3-E036</x:v>
      </x:c>
      <x:c r="C51" s="41" t="str">
        <x:v>恒瑞医药</x:v>
      </x:c>
      <x:c r="D51" s="42" t="str">
        <x:v>​600276</x:v>
      </x:c>
      <x:c r="E51" s="41" t="str">
        <x:v>医药</x:v>
      </x:c>
      <x:c r="F51" s="41" t="str">
        <x:v>A股</x:v>
      </x:c>
      <x:c r="G51" s="42" t="str">
        <x:v>​2026-07-08T00:00:00+08:00</x:v>
      </x:c>
      <x:c r="H51" s="41" t="str">
        <x:v>仅日期（按盘后处理）</x:v>
      </x:c>
      <x:c r="I51" s="41" t="str">
        <x:v>恒瑞医药关于获得药物临床试验批准通知书的公告</x:v>
      </x:c>
      <x:c r="J51" s="41" t="str">
        <x:v>http://static.cninfo.com.cn/finalpage/2026-07-08/1225413220.PDF</x:v>
      </x:c>
      <x:c r="K51" s="41" t="str">
        <x:v>创新药转型期，创新药放量与对外授权接续仿制药集采缺口，毛利率高但集采与研发成败是关键观察点</x:v>
      </x:c>
      <x:c r="L51" s="41" t="str">
        <x:v>创新药放量与授权合作收入接续仿制药集采下滑，研发管线持续推进</x:v>
      </x:c>
      <x:c r="M51" s="41" t="str">
        <x:v>创新药占比提升支撑高毛利率，集采降价不导致盈利持续恶化</x:v>
      </x:c>
      <x:c r="N51" s="41" t="str">
        <x:v>研发投入强度维持，管线推进不出现关键品种研发失败</x:v>
      </x:c>
      <x:c r="O51" s="43" t="str">
        <x:v>公告披露：根据我国药品注册相关的法律法规要求，药物在获得药物临床试验批准通知</x:v>
      </x:c>
      <x:c r="P51" s="43" t="str">
        <x:v>研发/注册</x:v>
      </x:c>
      <x:c r="Q51" s="43" t="str">
        <x:v>H3-产能与扩张</x:v>
      </x:c>
      <x:c r="R51" s="43" t="str">
        <x:v>支持</x:v>
      </x:c>
      <x:c r="S51" s="43" t="str">
        <x:v>中</x:v>
      </x:c>
      <x:c r="T51" s="43" t="str">
        <x:v>直接</x:v>
      </x:c>
      <x:c r="U51" s="43" t="str">
        <x:v>根据我国药品注册相关的法律法规要求，药物在获得药物临床试验批准通知</x:v>
      </x:c>
      <x:c r="V51" s="43" t="str">
        <x:v>该事实提高H3-产能与扩张的可信度；判断基于公告直接披露的业务指标、阶段进展或风险信息。</x:v>
      </x:c>
      <x:c r="W51" s="43" t="n">
        <x:v>5</x:v>
      </x:c>
      <x:c r="X51" s="43" t="str">
        <x:v>无</x:v>
      </x:c>
      <x:c r="Y51" s="43" t="str">
        <x:v>B-CODEX-FIN-01</x:v>
      </x:c>
      <x:c r="Z51" s="49" t="str">
        <x:v>20260826T150309+08:00</x:v>
      </x:c>
    </x:row>
    <x:row r="52" ht="24" hidden="0" customHeight="1">
      <x:c r="A52" s="41" t="str">
        <x:v>51</x:v>
      </x:c>
      <x:c r="B52" s="41" t="str">
        <x:v>G3-E054</x:v>
      </x:c>
      <x:c r="C52" s="41" t="str">
        <x:v>药明康德</x:v>
      </x:c>
      <x:c r="D52" s="42" t="str">
        <x:v>​603259</x:v>
      </x:c>
      <x:c r="E52" s="41" t="str">
        <x:v>医药</x:v>
      </x:c>
      <x:c r="F52" s="41" t="str">
        <x:v>A股</x:v>
      </x:c>
      <x:c r="G52" s="42" t="str">
        <x:v>​2025-07-29T00:00:00+08:00</x:v>
      </x:c>
      <x:c r="H52" s="41" t="str">
        <x:v>仅日期（按盘后处理）</x:v>
      </x:c>
      <x:c r="I52" s="41" t="str">
        <x:v>关于2025年中期利润分配方案的公告</x:v>
      </x:c>
      <x:c r="J52" s="41" t="str">
        <x:v>http://static.cninfo.com.cn/finalpage/2025-07-29/1224317423.PDF</x:v>
      </x:c>
      <x:c r="K52" s="41" t="str">
        <x:v>全球医药研发外包龙头，订单随创新药投入周期波动，地缘政治与产能利用率是核心风险点</x:v>
      </x:c>
      <x:c r="L52" s="41" t="str">
        <x:v>CXO 订单与在手订单随全球创新药研发投入回暖恢复增长</x:v>
      </x:c>
      <x:c r="M52" s="41" t="str">
        <x:v>产能利用率与项目结构支撑毛利率，不因价格竞争持续走低</x:v>
      </x:c>
      <x:c r="N52" s="41" t="str">
        <x:v>新增产能与地缘政治风险可控，海外基地建设按计划推进</x:v>
      </x:c>
      <x:c r="O52" s="43" t="str">
        <x:v>公司披露《关于2025年中期利润分配方案的公告》，事项主要涉及治理、证券变动或程序安排。</x:v>
      </x:c>
      <x:c r="P52" s="43" t="str">
        <x:v>治理/其他</x:v>
      </x:c>
      <x:c r="Q52" s="43" t="str">
        <x:v>无关</x:v>
      </x:c>
      <x:c r="R52" s="43" t="str">
        <x:v>无关</x:v>
      </x:c>
      <x:c r="S52" s="43" t="str">
        <x:v>不适用</x:v>
      </x:c>
      <x:c r="T52" s="43" t="str">
        <x:v>不适用</x:v>
      </x:c>
      <x:c r="U52" s="43" t="str"/>
      <x:c r="V52" s="43" t="str">
        <x:v>公告未提供会改变需求出货、盈利质量或产能扩张判断的新增经营事实，故不进入核心证据链。</x:v>
      </x:c>
      <x:c r="W52" s="43" t="n">
        <x:v>5</x:v>
      </x:c>
      <x:c r="X52" s="43" t="str">
        <x:v>无</x:v>
      </x:c>
      <x:c r="Y52" s="43" t="str">
        <x:v>B-CODEX-FIN-01</x:v>
      </x:c>
      <x:c r="Z52" s="49" t="str">
        <x:v>20260826T150309+08:00</x:v>
      </x:c>
    </x:row>
    <x:row r="53" ht="24" hidden="0" customHeight="1">
      <x:c r="A53" s="41" t="str">
        <x:v>52</x:v>
      </x:c>
      <x:c r="B53" s="41" t="str">
        <x:v>G3-E024</x:v>
      </x:c>
      <x:c r="C53" s="41" t="str">
        <x:v>中芯国际</x:v>
      </x:c>
      <x:c r="D53" s="42" t="str">
        <x:v>​688981</x:v>
      </x:c>
      <x:c r="E53" s="41" t="str">
        <x:v>芯片半导体</x:v>
      </x:c>
      <x:c r="F53" s="41" t="str">
        <x:v>A股</x:v>
      </x:c>
      <x:c r="G53" s="42" t="str">
        <x:v>​2025-04-01T00:00:00+08:00</x:v>
      </x:c>
      <x:c r="H53" s="41" t="str">
        <x:v>仅日期（按盘后处理）</x:v>
      </x:c>
      <x:c r="I53" s="41" t="str">
        <x:v>港股公告：翌日披露报表</x:v>
      </x:c>
      <x:c r="J53" s="41" t="str">
        <x:v>http://static.cninfo.com.cn/finalpage/2025-04-01/1222973643.PDF</x:v>
      </x:c>
      <x:c r="K53" s="41" t="str">
        <x:v>成熟制程代工龙头，国产替代与产能利用率回升支撑收入，折旧与价格压力是盈利的主要观察点</x:v>
      </x:c>
      <x:c r="L53" s="41" t="str">
        <x:v>成熟制程产能利用率与晶圆出货保持增长，国产替代需求是主要驱动</x:v>
      </x:c>
      <x:c r="M53" s="41" t="str">
        <x:v>毛利率随产能利用率回升，折旧压力不导致盈利持续恶化</x:v>
      </x:c>
      <x:c r="N53" s="41" t="str">
        <x:v>资本开支与扩产节奏匹配下游需求，先进制程投入不出现大额减值</x:v>
      </x:c>
      <x:c r="O53" s="43" t="str">
        <x:v>公司披露《港股公告：翌日披露报表》，事项主要涉及治理、证券变动或程序安排。</x:v>
      </x:c>
      <x:c r="P53" s="43" t="str">
        <x:v>治理/其他</x:v>
      </x:c>
      <x:c r="Q53" s="43" t="str">
        <x:v>无关</x:v>
      </x:c>
      <x:c r="R53" s="43" t="str">
        <x:v>无关</x:v>
      </x:c>
      <x:c r="S53" s="43" t="str">
        <x:v>不适用</x:v>
      </x:c>
      <x:c r="T53" s="43" t="str">
        <x:v>不适用</x:v>
      </x:c>
      <x:c r="U53" s="43" t="str"/>
      <x:c r="V53" s="43" t="str">
        <x:v>公告未提供会改变需求出货、盈利质量或产能扩张判断的新增经营事实，故不进入核心证据链。</x:v>
      </x:c>
      <x:c r="W53" s="43" t="n">
        <x:v>5</x:v>
      </x:c>
      <x:c r="X53" s="43" t="str">
        <x:v>无</x:v>
      </x:c>
      <x:c r="Y53" s="43" t="str">
        <x:v>B-CODEX-FIN-01</x:v>
      </x:c>
      <x:c r="Z53" s="49" t="str">
        <x:v>20260826T150309+08:00</x:v>
      </x:c>
    </x:row>
    <x:row r="54" ht="24" hidden="0" customHeight="1">
      <x:c r="A54" s="41" t="str">
        <x:v>53</x:v>
      </x:c>
      <x:c r="B54" s="41" t="str">
        <x:v>G3-E011</x:v>
      </x:c>
      <x:c r="C54" s="41" t="str">
        <x:v>恒瑞医药</x:v>
      </x:c>
      <x:c r="D54" s="42" t="str">
        <x:v>​600276</x:v>
      </x:c>
      <x:c r="E54" s="41" t="str">
        <x:v>医药</x:v>
      </x:c>
      <x:c r="F54" s="41" t="str">
        <x:v>A股</x:v>
      </x:c>
      <x:c r="G54" s="42" t="str">
        <x:v>​2024-04-18T00:00:00+08:00</x:v>
      </x:c>
      <x:c r="H54" s="41" t="str">
        <x:v>仅日期（按盘后处理）</x:v>
      </x:c>
      <x:c r="I54" s="41" t="str">
        <x:v>恒瑞医药2023年年度报告</x:v>
      </x:c>
      <x:c r="J54" s="41" t="str">
        <x:v>http://static.cninfo.com.cn/finalpage/2024-04-18/1219650115.PDF</x:v>
      </x:c>
      <x:c r="K54" s="41" t="str">
        <x:v>创新药转型期，创新药放量与对外授权接续仿制药集采缺口，毛利率高但集采与研发成败是关键观察点</x:v>
      </x:c>
      <x:c r="L54" s="41" t="str">
        <x:v>创新药放量与授权合作收入接续仿制药集采下滑，研发管线持续推进</x:v>
      </x:c>
      <x:c r="M54" s="41" t="str">
        <x:v>创新药占比提升支撑高毛利率，集采降价不导致盈利持续恶化</x:v>
      </x:c>
      <x:c r="N54" s="41" t="str">
        <x:v>研发投入强度维持，管线推进不出现关键品种研发失败</x:v>
      </x:c>
      <x:c r="O54" s="43" t="str">
        <x:v>公告披露：2023年营业收入228.20亿元，同比增长7.26%；归母净利润43.02亿元，同比增长10.14%。</x:v>
      </x:c>
      <x:c r="P54" s="43" t="str">
        <x:v>收入/利润</x:v>
      </x:c>
      <x:c r="Q54" s="43" t="str">
        <x:v>H2-盈利质量</x:v>
      </x:c>
      <x:c r="R54" s="43" t="str">
        <x:v>支持</x:v>
      </x:c>
      <x:c r="S54" s="43" t="str">
        <x:v>高</x:v>
      </x:c>
      <x:c r="T54" s="43" t="str">
        <x:v>直接</x:v>
      </x:c>
      <x:c r="U54" s="43" t="str">
        <x:v>2023年营业收入228.20亿元，同比增长7.26%；归母净利润43.02亿元，同比增长10.14%。</x:v>
      </x:c>
      <x:c r="V54" s="43" t="str">
        <x:v>该事实提高H2-盈利质量的可信度；判断基于公告直接披露的业务指标、阶段进展或风险信息。</x:v>
      </x:c>
      <x:c r="W54" s="43" t="n">
        <x:v>5</x:v>
      </x:c>
      <x:c r="X54" s="43" t="str">
        <x:v>无</x:v>
      </x:c>
      <x:c r="Y54" s="43" t="str">
        <x:v>B-CODEX-FIN-01</x:v>
      </x:c>
      <x:c r="Z54" s="49" t="str">
        <x:v>20260826T150309+08:00</x:v>
      </x:c>
    </x:row>
    <x:row r="55" ht="24" hidden="0" customHeight="1">
      <x:c r="A55" s="41" t="str">
        <x:v>54</x:v>
      </x:c>
      <x:c r="B55" s="41" t="str">
        <x:v>G3-E046</x:v>
      </x:c>
      <x:c r="C55" s="41" t="str">
        <x:v>中芯国际</x:v>
      </x:c>
      <x:c r="D55" s="42" t="str">
        <x:v>​688981</x:v>
      </x:c>
      <x:c r="E55" s="41" t="str">
        <x:v>芯片半导体</x:v>
      </x:c>
      <x:c r="F55" s="41" t="str">
        <x:v>A股</x:v>
      </x:c>
      <x:c r="G55" s="42" t="str">
        <x:v>​2026-06-25T00:00:00+08:00</x:v>
      </x:c>
      <x:c r="H55" s="41" t="str">
        <x:v>仅日期（按盘后处理）</x:v>
      </x:c>
      <x:c r="I55" s="41" t="str">
        <x:v>中芯国际关于股东权益变动的提示性公告</x:v>
      </x:c>
      <x:c r="J55" s="41" t="str">
        <x:v>http://static.cninfo.com.cn/finalpage/2026-06-25/1225386191.PDF</x:v>
      </x:c>
      <x:c r="K55" s="41" t="str">
        <x:v>成熟制程代工龙头，国产替代与产能利用率回升支撑收入，折旧与价格压力是盈利的主要观察点</x:v>
      </x:c>
      <x:c r="L55" s="41" t="str">
        <x:v>成熟制程产能利用率与晶圆出货保持增长，国产替代需求是主要驱动</x:v>
      </x:c>
      <x:c r="M55" s="41" t="str">
        <x:v>毛利率随产能利用率回升，折旧压力不导致盈利持续恶化</x:v>
      </x:c>
      <x:c r="N55" s="41" t="str">
        <x:v>资本开支与扩产节奏匹配下游需求，先进制程投入不出现大额减值</x:v>
      </x:c>
      <x:c r="O55" s="43" t="str">
        <x:v>公司披露《中芯国际关于股东权益变动的提示性公告》，事项主要涉及治理、证券变动或程序安排。</x:v>
      </x:c>
      <x:c r="P55" s="43" t="str">
        <x:v>治理/其他</x:v>
      </x:c>
      <x:c r="Q55" s="43" t="str">
        <x:v>无关</x:v>
      </x:c>
      <x:c r="R55" s="43" t="str">
        <x:v>无关</x:v>
      </x:c>
      <x:c r="S55" s="43" t="str">
        <x:v>不适用</x:v>
      </x:c>
      <x:c r="T55" s="43" t="str">
        <x:v>不适用</x:v>
      </x:c>
      <x:c r="U55" s="43" t="str"/>
      <x:c r="V55" s="43" t="str">
        <x:v>公告未提供会改变需求出货、盈利质量或产能扩张判断的新增经营事实，故不进入核心证据链。</x:v>
      </x:c>
      <x:c r="W55" s="43" t="n">
        <x:v>5</x:v>
      </x:c>
      <x:c r="X55" s="43" t="str">
        <x:v>无</x:v>
      </x:c>
      <x:c r="Y55" s="43" t="str">
        <x:v>B-CODEX-FIN-01</x:v>
      </x:c>
      <x:c r="Z55" s="49" t="str">
        <x:v>20260826T150309+08:00</x:v>
      </x:c>
    </x:row>
    <x:row r="56" ht="24" hidden="0" customHeight="1">
      <x:c r="A56" s="41" t="str">
        <x:v>55</x:v>
      </x:c>
      <x:c r="B56" s="41" t="str">
        <x:v>G3-E089</x:v>
      </x:c>
      <x:c r="C56" s="41" t="str">
        <x:v>药明康德</x:v>
      </x:c>
      <x:c r="D56" s="42" t="str">
        <x:v>​603259</x:v>
      </x:c>
      <x:c r="E56" s="41" t="str">
        <x:v>医药</x:v>
      </x:c>
      <x:c r="F56" s="41" t="str">
        <x:v>A股</x:v>
      </x:c>
      <x:c r="G56" s="42" t="str">
        <x:v>​2024-01-30T00:00:00+08:00</x:v>
      </x:c>
      <x:c r="H56" s="41" t="str">
        <x:v>仅日期（按盘后处理）</x:v>
      </x:c>
      <x:c r="I56" s="41" t="str">
        <x:v>关于对无锡药明康德新药开发股份有限公司股票交易异常波动问询函的回复</x:v>
      </x:c>
      <x:c r="J56" s="41" t="str">
        <x:v>http://static.cninfo.com.cn/finalpage/2024-01-30/1219029800.PDF</x:v>
      </x:c>
      <x:c r="K56" s="41" t="str">
        <x:v>全球医药研发外包龙头，订单随创新药投入周期波动，地缘政治与产能利用率是核心风险点</x:v>
      </x:c>
      <x:c r="L56" s="41" t="str">
        <x:v>CXO 订单与在手订单随全球创新药研发投入回暖恢复增长</x:v>
      </x:c>
      <x:c r="M56" s="41" t="str">
        <x:v>产能利用率与项目结构支撑毛利率，不因价格竞争持续走低</x:v>
      </x:c>
      <x:c r="N56" s="41" t="str">
        <x:v>新增产能与地缘政治风险可控，海外基地建设按计划推进</x:v>
      </x:c>
      <x:c r="O56" s="43" t="str">
        <x:v>公告披露：关于对无锡药明康德新药开发股份有限公司</x:v>
      </x:c>
      <x:c r="P56" s="43" t="str">
        <x:v>风险/合规</x:v>
      </x:c>
      <x:c r="Q56" s="43" t="str">
        <x:v>H3-产能与扩张</x:v>
      </x:c>
      <x:c r="R56" s="43" t="str">
        <x:v>冲突</x:v>
      </x:c>
      <x:c r="S56" s="43" t="str">
        <x:v>高</x:v>
      </x:c>
      <x:c r="T56" s="43" t="str">
        <x:v>直接</x:v>
      </x:c>
      <x:c r="U56" s="43" t="str">
        <x:v>关于对无锡药明康德新药开发股份有限公司</x:v>
      </x:c>
      <x:c r="V56" s="43" t="str">
        <x:v>该事实降低H3-产能与扩张的可信度；判断基于公告直接披露的业务指标、阶段进展或风险信息。</x:v>
      </x:c>
      <x:c r="W56" s="43" t="n">
        <x:v>5</x:v>
      </x:c>
      <x:c r="X56" s="43" t="str">
        <x:v>无</x:v>
      </x:c>
      <x:c r="Y56" s="43" t="str">
        <x:v>B-CODEX-FIN-01</x:v>
      </x:c>
      <x:c r="Z56" s="49" t="str">
        <x:v>20260826T150309+08:00</x:v>
      </x:c>
    </x:row>
    <x:row r="57" ht="24" hidden="0" customHeight="1">
      <x:c r="A57" s="41" t="str">
        <x:v>56</x:v>
      </x:c>
      <x:c r="B57" s="41" t="str">
        <x:v>G3-E105</x:v>
      </x:c>
      <x:c r="C57" s="41" t="str">
        <x:v>云南白药</x:v>
      </x:c>
      <x:c r="D57" s="42" t="str">
        <x:v>​000538</x:v>
      </x:c>
      <x:c r="E57" s="41" t="str">
        <x:v>医药</x:v>
      </x:c>
      <x:c r="F57" s="41" t="str">
        <x:v>A股</x:v>
      </x:c>
      <x:c r="G57" s="42" t="str">
        <x:v>​2025-06-18T00:00:00+08:00</x:v>
      </x:c>
      <x:c r="H57" s="41" t="str">
        <x:v>仅日期（按盘后处理）</x:v>
      </x:c>
      <x:c r="I57" s="41" t="str">
        <x:v>2025-20 关于JZ-14胶囊获得药物临床试验批准的公告</x:v>
      </x:c>
      <x:c r="J57" s="41" t="str">
        <x:v>http://static.cninfo.com.cn/finalpage/2025-06-18/1223899598.PDF</x:v>
      </x:c>
      <x:c r="K57" s="41" t="str">
        <x:v>中药与健康消费品，增长平稳，毛利率与渠道结构是主要观察点，历史上曾因证券投资造成业绩波动</x:v>
      </x:c>
      <x:c r="L57" s="41" t="str">
        <x:v>工业药品与健康品渠道保持稳定，不出现持续负增长</x:v>
      </x:c>
      <x:c r="M57" s="41" t="str">
        <x:v>毛利率随产品结构与原料成本波动，不持续低于历史区间</x:v>
      </x:c>
      <x:c r="N57" s="41" t="str">
        <x:v>渠道与品牌投入保持，不出现商誉或投资大额减值</x:v>
      </x:c>
      <x:c r="O57" s="43" t="str">
        <x:v>公告披露：年 3 月 25 日受理的 JZ-14 胶囊临床试验申请符合药品注册的有关要求，同意</x:v>
      </x:c>
      <x:c r="P57" s="43" t="str">
        <x:v>研发/注册</x:v>
      </x:c>
      <x:c r="Q57" s="43" t="str">
        <x:v>H3-产能与扩张</x:v>
      </x:c>
      <x:c r="R57" s="43" t="str">
        <x:v>支持</x:v>
      </x:c>
      <x:c r="S57" s="43" t="str">
        <x:v>中</x:v>
      </x:c>
      <x:c r="T57" s="43" t="str">
        <x:v>直接</x:v>
      </x:c>
      <x:c r="U57" s="43" t="str">
        <x:v>年 3 月 25 日受理的 JZ-14 胶囊临床试验申请符合药品注册的有关要求，同意</x:v>
      </x:c>
      <x:c r="V57" s="43" t="str">
        <x:v>该事实提高H3-产能与扩张的可信度；判断基于公告直接披露的业务指标、阶段进展或风险信息。</x:v>
      </x:c>
      <x:c r="W57" s="43" t="n">
        <x:v>5</x:v>
      </x:c>
      <x:c r="X57" s="43" t="str">
        <x:v>无</x:v>
      </x:c>
      <x:c r="Y57" s="43" t="str">
        <x:v>B-CODEX-FIN-01</x:v>
      </x:c>
      <x:c r="Z57" s="49" t="str">
        <x:v>20260826T150309+08:00</x:v>
      </x:c>
    </x:row>
    <x:row r="58" ht="36" hidden="0" customHeight="1">
      <x:c r="A58" s="41" t="str">
        <x:v>57</x:v>
      </x:c>
      <x:c r="B58" s="41" t="str">
        <x:v>G3-E055</x:v>
      </x:c>
      <x:c r="C58" s="41" t="str">
        <x:v>小鹏汽车</x:v>
      </x:c>
      <x:c r="D58" s="42" t="str">
        <x:v>​09868</x:v>
      </x:c>
      <x:c r="E58" s="41" t="str">
        <x:v>新能源汽车</x:v>
      </x:c>
      <x:c r="F58" s="41" t="str">
        <x:v>港股</x:v>
      </x:c>
      <x:c r="G58" s="42" t="str">
        <x:v>​2024-08-13T20:06:10+08:00</x:v>
      </x:c>
      <x:c r="H58" s="41" t="str">
        <x:v>精确</x:v>
      </x:c>
      <x:c r="I58" s="41" t="str">
        <x:v>自愿公告 – 收购滴滴智能汽车开发业务资产的SOP交割及发行SOP对价股份</x:v>
      </x:c>
      <x:c r="J58" s="41" t="str">
        <x:v>http://static.cninfo.com.cn/finalpage/2024-08-13/1220863060.PDF</x:v>
      </x:c>
      <x:c r="K58" s="41" t="str">
        <x:v>新势力整车厂，交付量与车型周期决定收入，毛利率从负值修复中，盈利质量仍是主要风险。港股仅披露中报与年报，季度颗粒度不足</x:v>
      </x:c>
      <x:c r="L58" s="41" t="str">
        <x:v>智能车交付量保持增长，新车型周期带动需求回升</x:v>
      </x:c>
      <x:c r="M58" s="41" t="str">
        <x:v>毛利率随规模与技术服务收入改善，不回落到历史低位</x:v>
      </x:c>
      <x:c r="N58" s="41" t="str">
        <x:v>研发与产能投入可持续，现金流不出现明显恶化</x:v>
      </x:c>
      <x:c r="O58" s="43" t="str">
        <x:v>公告披露：收购滴滴智能汽车开发业务资产的SOP交割已完成，并发行SOP对价股份。</x:v>
      </x:c>
      <x:c r="P58" s="43" t="str">
        <x:v>产能/资本开支</x:v>
      </x:c>
      <x:c r="Q58" s="43" t="str">
        <x:v>H3-产能与扩张</x:v>
      </x:c>
      <x:c r="R58" s="43" t="str">
        <x:v>支持</x:v>
      </x:c>
      <x:c r="S58" s="43" t="str">
        <x:v>中</x:v>
      </x:c>
      <x:c r="T58" s="43" t="str">
        <x:v>直接</x:v>
      </x:c>
      <x:c r="U58" s="43" t="str">
        <x:v>收购滴滴智能汽车开发业务资产的SOP交割已完成，并发行SOP对价股份。</x:v>
      </x:c>
      <x:c r="V58" s="43" t="str">
        <x:v>该事实提高H3-产能与扩张的可信度；判断基于公告直接披露的业务指标、阶段进展或风险信息。</x:v>
      </x:c>
      <x:c r="W58" s="43" t="n">
        <x:v>5</x:v>
      </x:c>
      <x:c r="X58" s="43" t="str">
        <x:v>无</x:v>
      </x:c>
      <x:c r="Y58" s="43" t="str">
        <x:v>B-CODEX-FIN-01</x:v>
      </x:c>
      <x:c r="Z58" s="49" t="str">
        <x:v>20260826T150309+08:00</x:v>
      </x:c>
    </x:row>
    <x:row r="59" ht="24" hidden="0" customHeight="1">
      <x:c r="A59" s="41" t="str">
        <x:v>58</x:v>
      </x:c>
      <x:c r="B59" s="41" t="str">
        <x:v>G3-E099</x:v>
      </x:c>
      <x:c r="C59" s="41" t="str">
        <x:v>云南白药</x:v>
      </x:c>
      <x:c r="D59" s="42" t="str">
        <x:v>​000538</x:v>
      </x:c>
      <x:c r="E59" s="41" t="str">
        <x:v>医药</x:v>
      </x:c>
      <x:c r="F59" s="41" t="str">
        <x:v>A股</x:v>
      </x:c>
      <x:c r="G59" s="42" t="str">
        <x:v>​2026-06-04T00:00:00+08:00</x:v>
      </x:c>
      <x:c r="H59" s="41" t="str">
        <x:v>仅日期（按盘后处理）</x:v>
      </x:c>
      <x:c r="I59" s="41" t="str">
        <x:v>关于INB301注射液获得美国食品药品监督管理局新药临床试验许可的公告</x:v>
      </x:c>
      <x:c r="J59" s="41" t="str">
        <x:v>http://static.cninfo.com.cn/finalpage/2026-06-04/1225349158.PDF</x:v>
      </x:c>
      <x:c r="K59" s="41" t="str">
        <x:v>中药与健康消费品，增长平稳，毛利率与渠道结构是主要观察点，历史上曾因证券投资造成业绩波动</x:v>
      </x:c>
      <x:c r="L59" s="41" t="str">
        <x:v>工业药品与健康品渠道保持稳定，不出现持续负增长</x:v>
      </x:c>
      <x:c r="M59" s="41" t="str">
        <x:v>毛利率随产品结构与原料成本波动，不持续低于历史区间</x:v>
      </x:c>
      <x:c r="N59" s="41" t="str">
        <x:v>渠道与品牌投入保持，不出现商誉或投资大额减值</x:v>
      </x:c>
      <x:c r="O59" s="43" t="str">
        <x:v>公告披露：截至目前，本品已获得中美两国临床试验许可，累计已投入研发费用约</x:v>
      </x:c>
      <x:c r="P59" s="43" t="str">
        <x:v>研发/注册</x:v>
      </x:c>
      <x:c r="Q59" s="43" t="str">
        <x:v>H3-产能与扩张</x:v>
      </x:c>
      <x:c r="R59" s="43" t="str">
        <x:v>支持</x:v>
      </x:c>
      <x:c r="S59" s="43" t="str">
        <x:v>中</x:v>
      </x:c>
      <x:c r="T59" s="43" t="str">
        <x:v>直接</x:v>
      </x:c>
      <x:c r="U59" s="43" t="str">
        <x:v>截至目前，本品已获得中美两国临床试验许可，累计已投入研发费用约</x:v>
      </x:c>
      <x:c r="V59" s="43" t="str">
        <x:v>该事实提高H3-产能与扩张的可信度；判断基于公告直接披露的业务指标、阶段进展或风险信息。</x:v>
      </x:c>
      <x:c r="W59" s="43" t="n">
        <x:v>5</x:v>
      </x:c>
      <x:c r="X59" s="43" t="str">
        <x:v>无</x:v>
      </x:c>
      <x:c r="Y59" s="43" t="str">
        <x:v>B-CODEX-FIN-01</x:v>
      </x:c>
      <x:c r="Z59" s="49" t="str">
        <x:v>20260826T150309+08:00</x:v>
      </x:c>
    </x:row>
    <x:row r="60" ht="24" hidden="0" customHeight="1">
      <x:c r="A60" s="41" t="str">
        <x:v>59</x:v>
      </x:c>
      <x:c r="B60" s="41" t="str">
        <x:v>G3-E043</x:v>
      </x:c>
      <x:c r="C60" s="41" t="str">
        <x:v>中芯国际</x:v>
      </x:c>
      <x:c r="D60" s="42" t="str">
        <x:v>​688981</x:v>
      </x:c>
      <x:c r="E60" s="41" t="str">
        <x:v>芯片半导体</x:v>
      </x:c>
      <x:c r="F60" s="41" t="str">
        <x:v>A股</x:v>
      </x:c>
      <x:c r="G60" s="42" t="str">
        <x:v>​2026-05-15T00:00:00+08:00</x:v>
      </x:c>
      <x:c r="H60" s="41" t="str">
        <x:v>仅日期（按盘后处理）</x:v>
      </x:c>
      <x:c r="I60" s="41" t="str">
        <x:v>中芯国际2026年第一季度报告</x:v>
      </x:c>
      <x:c r="J60" s="41" t="str">
        <x:v>http://static.cninfo.com.cn/finalpage/2026-05-15/1225307101.PDF</x:v>
      </x:c>
      <x:c r="K60" s="41" t="str">
        <x:v>成熟制程代工龙头，国产替代与产能利用率回升支撑收入，折旧与价格压力是盈利的主要观察点</x:v>
      </x:c>
      <x:c r="L60" s="41" t="str">
        <x:v>成熟制程产能利用率与晶圆出货保持增长，国产替代需求是主要驱动</x:v>
      </x:c>
      <x:c r="M60" s="41" t="str">
        <x:v>毛利率随产能利用率回升，折旧压力不导致盈利持续恶化</x:v>
      </x:c>
      <x:c r="N60" s="41" t="str">
        <x:v>资本开支与扩产节奏匹配下游需求，先进制程投入不出现大额减值</x:v>
      </x:c>
      <x:c r="O60" s="43" t="str">
        <x:v>公告披露：2026年第一季度销售收入25.05亿美元，环比增长0.7%；毛利率20.1%，环比增加0.9个百分点。</x:v>
      </x:c>
      <x:c r="P60" s="43" t="str">
        <x:v>收入/利润</x:v>
      </x:c>
      <x:c r="Q60" s="43" t="str">
        <x:v>H2-盈利质量</x:v>
      </x:c>
      <x:c r="R60" s="43" t="str">
        <x:v>支持</x:v>
      </x:c>
      <x:c r="S60" s="43" t="str">
        <x:v>高</x:v>
      </x:c>
      <x:c r="T60" s="43" t="str">
        <x:v>直接</x:v>
      </x:c>
      <x:c r="U60" s="43" t="str">
        <x:v>2026年第一季度销售收入25.05亿美元，环比增长0.7%；毛利率20.1%，环比增加0.9个百分点。</x:v>
      </x:c>
      <x:c r="V60" s="43" t="str">
        <x:v>该事实提高H2-盈利质量的可信度；判断基于公告直接披露的业务指标、阶段进展或风险信息。</x:v>
      </x:c>
      <x:c r="W60" s="43" t="n">
        <x:v>5</x:v>
      </x:c>
      <x:c r="X60" s="43" t="str">
        <x:v>无</x:v>
      </x:c>
      <x:c r="Y60" s="43" t="str">
        <x:v>B-CODEX-FIN-01</x:v>
      </x:c>
      <x:c r="Z60" s="49" t="str">
        <x:v>20260826T150309+08:00</x:v>
      </x:c>
    </x:row>
    <x:row r="61" ht="36" hidden="0" customHeight="1">
      <x:c r="A61" s="41" t="str">
        <x:v>60</x:v>
      </x:c>
      <x:c r="B61" s="41" t="str">
        <x:v>G3-E003</x:v>
      </x:c>
      <x:c r="C61" s="41" t="str">
        <x:v>兆易创新</x:v>
      </x:c>
      <x:c r="D61" s="42" t="str">
        <x:v>​603986</x:v>
      </x:c>
      <x:c r="E61" s="41" t="str">
        <x:v>芯片半导体</x:v>
      </x:c>
      <x:c r="F61" s="41" t="str">
        <x:v>A股</x:v>
      </x:c>
      <x:c r="G61" s="42" t="str">
        <x:v>​2026-07-22T00:00:00+08:00</x:v>
      </x:c>
      <x:c r="H61" s="41" t="str">
        <x:v>仅日期（按盘后处理）</x:v>
      </x:c>
      <x:c r="I61" s="41" t="str">
        <x:v>中国国际金融股份有限公司关于兆易创新科技集团股份有限公司使用A股部分募集资金向全资子公司增资以实施DRAM募投项目的核查意见</x:v>
      </x:c>
      <x:c r="J61" s="41" t="str">
        <x:v>http://static.cninfo.com.cn/finalpage/2026-07-22/1225435926.PDF</x:v>
      </x:c>
      <x:c r="K61" s="41" t="str">
        <x:v>存储与 MCU 设计商，需求随下游复苏与库存去化回升，毛利率对存储价格周期高度敏感，需跟踪产品结构</x:v>
      </x:c>
      <x:c r="L61" s="41" t="str">
        <x:v>存储与 MCU 需求随消费电子与工业复苏回升，库存周期见底</x:v>
      </x:c>
      <x:c r="M61" s="41" t="str">
        <x:v>毛利率随产品结构改善回升，不因存储价格波动持续走低</x:v>
      </x:c>
      <x:c r="N61" s="41" t="str">
        <x:v>新品研发与产能储备按计划推进，不出现存货大额跌价</x:v>
      </x:c>
      <x:c r="O61" s="43" t="str">
        <x:v>公告披露：公司本次使用A股部分募集资金向全资子公司增资，是基于公司DRAM募投项目的</x:v>
      </x:c>
      <x:c r="P61" s="43" t="str">
        <x:v>产能/资本开支</x:v>
      </x:c>
      <x:c r="Q61" s="43" t="str">
        <x:v>H3-产能与扩张</x:v>
      </x:c>
      <x:c r="R61" s="43" t="str">
        <x:v>支持</x:v>
      </x:c>
      <x:c r="S61" s="43" t="str">
        <x:v>高</x:v>
      </x:c>
      <x:c r="T61" s="43" t="str">
        <x:v>直接</x:v>
      </x:c>
      <x:c r="U61" s="43" t="str">
        <x:v>公司本次使用A股部分募集资金向全资子公司增资，是基于公司DRAM募投项目的</x:v>
      </x:c>
      <x:c r="V61" s="43" t="str">
        <x:v>该事实提高H3-产能与扩张的可信度；判断基于公告直接披露的业务指标、阶段进展或风险信息。</x:v>
      </x:c>
      <x:c r="W61" s="43" t="n">
        <x:v>5</x:v>
      </x:c>
      <x:c r="X61" s="43" t="str">
        <x:v>无</x:v>
      </x:c>
      <x:c r="Y61" s="43" t="str">
        <x:v>B-CODEX-FIN-01</x:v>
      </x:c>
      <x:c r="Z61" s="49" t="str">
        <x:v>20260826T150309+08:00</x:v>
      </x:c>
    </x:row>
    <x:row r="62" ht="24" hidden="0" customHeight="1">
      <x:c r="A62" s="41" t="str">
        <x:v>61</x:v>
      </x:c>
      <x:c r="B62" s="41" t="str">
        <x:v>G3-E058</x:v>
      </x:c>
      <x:c r="C62" s="41" t="str">
        <x:v>北方华创</x:v>
      </x:c>
      <x:c r="D62" s="42" t="str">
        <x:v>​002371</x:v>
      </x:c>
      <x:c r="E62" s="41" t="str">
        <x:v>芯片半导体</x:v>
      </x:c>
      <x:c r="F62" s="41" t="str">
        <x:v>A股</x:v>
      </x:c>
      <x:c r="G62" s="42" t="str">
        <x:v>​2025-04-26T00:00:00+08:00</x:v>
      </x:c>
      <x:c r="H62" s="41" t="str">
        <x:v>仅日期（按盘后处理）</x:v>
      </x:c>
      <x:c r="I62" s="41" t="str">
        <x:v>2025年一季度报告</x:v>
      </x:c>
      <x:c r="J62" s="41" t="str">
        <x:v>http://static.cninfo.com.cn/finalpage/2025-04-26/1223309242.PDF</x:v>
      </x:c>
      <x:c r="K62" s="41" t="str">
        <x:v>前道设备国产化核心标的，晶圆厂扩产与国产化率提升支撑订单与收入，需跟踪毛利率与交付节奏</x:v>
      </x:c>
      <x:c r="L62" s="41" t="str">
        <x:v>半导体设备订单随晶圆厂扩产与国产化率提升保持增长</x:v>
      </x:c>
      <x:c r="M62" s="41" t="str">
        <x:v>规模效应与国产化推进支撑毛利率，不因竞争加剧显著下滑</x:v>
      </x:c>
      <x:c r="N62" s="41" t="str">
        <x:v>产能与交付能力跟上订单增长，合同负债转化不出现明显滞后</x:v>
      </x:c>
      <x:c r="O62" s="43" t="str">
        <x:v>公告披露：2025年1-3月营业收入8,206,029,208.83元，同比增长37.90%；归母净利润同比增长38.80%。</x:v>
      </x:c>
      <x:c r="P62" s="43" t="str">
        <x:v>收入/利润</x:v>
      </x:c>
      <x:c r="Q62" s="43" t="str">
        <x:v>H2-盈利质量</x:v>
      </x:c>
      <x:c r="R62" s="43" t="str">
        <x:v>支持</x:v>
      </x:c>
      <x:c r="S62" s="43" t="str">
        <x:v>高</x:v>
      </x:c>
      <x:c r="T62" s="43" t="str">
        <x:v>直接</x:v>
      </x:c>
      <x:c r="U62" s="43" t="str">
        <x:v>2025年1-3月营业收入8,206,029,208.83元，同比增长37.90%；归母净利润同比增长38.80%。</x:v>
      </x:c>
      <x:c r="V62" s="43" t="str">
        <x:v>该事实提高H2-盈利质量的可信度；判断基于公告直接披露的业务指标、阶段进展或风险信息。</x:v>
      </x:c>
      <x:c r="W62" s="43" t="n">
        <x:v>5</x:v>
      </x:c>
      <x:c r="X62" s="43" t="str">
        <x:v>无</x:v>
      </x:c>
      <x:c r="Y62" s="43" t="str">
        <x:v>B-CODEX-FIN-01</x:v>
      </x:c>
      <x:c r="Z62" s="49" t="str">
        <x:v>20260826T150309+08:00</x:v>
      </x:c>
    </x:row>
    <x:row r="63" ht="24" hidden="0" customHeight="1">
      <x:c r="A63" s="41" t="str">
        <x:v>62</x:v>
      </x:c>
      <x:c r="B63" s="41" t="str">
        <x:v>G3-E070</x:v>
      </x:c>
      <x:c r="C63" s="41" t="str">
        <x:v>恒瑞医药</x:v>
      </x:c>
      <x:c r="D63" s="42" t="str">
        <x:v>​600276</x:v>
      </x:c>
      <x:c r="E63" s="41" t="str">
        <x:v>医药</x:v>
      </x:c>
      <x:c r="F63" s="41" t="str">
        <x:v>A股</x:v>
      </x:c>
      <x:c r="G63" s="42" t="str">
        <x:v>​2024-04-10T00:00:00+08:00</x:v>
      </x:c>
      <x:c r="H63" s="41" t="str">
        <x:v>仅日期（按盘后处理）</x:v>
      </x:c>
      <x:c r="I63" s="41" t="str">
        <x:v>恒瑞医药关于获得药物临床试验批准通知书的公告</x:v>
      </x:c>
      <x:c r="J63" s="41" t="str">
        <x:v>http://static.cninfo.com.cn/finalpage/2024-04-10/1219549275.PDF</x:v>
      </x:c>
      <x:c r="K63" s="41" t="str">
        <x:v>创新药转型期，创新药放量与对外授权接续仿制药集采缺口，毛利率高但集采与研发成败是关键观察点</x:v>
      </x:c>
      <x:c r="L63" s="41" t="str">
        <x:v>创新药放量与授权合作收入接续仿制药集采下滑，研发管线持续推进</x:v>
      </x:c>
      <x:c r="M63" s="41" t="str">
        <x:v>创新药占比提升支撑高毛利率，集采降价不导致盈利持续恶化</x:v>
      </x:c>
      <x:c r="N63" s="41" t="str">
        <x:v>研发投入强度维持，管线推进不出现关键品种研发失败</x:v>
      </x:c>
      <x:c r="O63" s="43" t="str">
        <x:v>公告披露：根据我国药品注册相关的法律法规要求， 药物在获得药物临床试验批准通知</x:v>
      </x:c>
      <x:c r="P63" s="43" t="str">
        <x:v>研发/注册</x:v>
      </x:c>
      <x:c r="Q63" s="43" t="str">
        <x:v>H3-产能与扩张</x:v>
      </x:c>
      <x:c r="R63" s="43" t="str">
        <x:v>支持</x:v>
      </x:c>
      <x:c r="S63" s="43" t="str">
        <x:v>中</x:v>
      </x:c>
      <x:c r="T63" s="43" t="str">
        <x:v>直接</x:v>
      </x:c>
      <x:c r="U63" s="43" t="str">
        <x:v>根据我国药品注册相关的法律法规要求， 药物在获得药物临床试验批准通知</x:v>
      </x:c>
      <x:c r="V63" s="43" t="str">
        <x:v>该事实提高H3-产能与扩张的可信度；判断基于公告直接披露的业务指标、阶段进展或风险信息。</x:v>
      </x:c>
      <x:c r="W63" s="43" t="n">
        <x:v>5</x:v>
      </x:c>
      <x:c r="X63" s="43" t="str">
        <x:v>无</x:v>
      </x:c>
      <x:c r="Y63" s="43" t="str">
        <x:v>B-CODEX-FIN-01</x:v>
      </x:c>
      <x:c r="Z63" s="49" t="str">
        <x:v>20260826T150309+08:00</x:v>
      </x:c>
    </x:row>
    <x:row r="64" ht="24" hidden="0" customHeight="1">
      <x:c r="A64" s="41" t="str">
        <x:v>63</x:v>
      </x:c>
      <x:c r="B64" s="41" t="str">
        <x:v>G3-E041</x:v>
      </x:c>
      <x:c r="C64" s="41" t="str">
        <x:v>云南白药</x:v>
      </x:c>
      <x:c r="D64" s="42" t="str">
        <x:v>​000538</x:v>
      </x:c>
      <x:c r="E64" s="41" t="str">
        <x:v>医药</x:v>
      </x:c>
      <x:c r="F64" s="41" t="str">
        <x:v>A股</x:v>
      </x:c>
      <x:c r="G64" s="42" t="str">
        <x:v>​2025-12-31T18:54:32+08:00</x:v>
      </x:c>
      <x:c r="H64" s="41" t="str">
        <x:v>精确</x:v>
      </x:c>
      <x:c r="I64" s="41" t="str">
        <x:v>关于2026年度预计日常关联交易的公告</x:v>
      </x:c>
      <x:c r="J64" s="41" t="str">
        <x:v>http://static.cninfo.com.cn/finalpage/2025-12-31/1224913542.PDF</x:v>
      </x:c>
      <x:c r="K64" s="41" t="str">
        <x:v>中药与健康消费品，增长平稳，毛利率与渠道结构是主要观察点，历史上曾因证券投资造成业绩波动</x:v>
      </x:c>
      <x:c r="L64" s="41" t="str">
        <x:v>工业药品与健康品渠道保持稳定，不出现持续负增长</x:v>
      </x:c>
      <x:c r="M64" s="41" t="str">
        <x:v>毛利率随产品结构与原料成本波动，不持续低于历史区间</x:v>
      </x:c>
      <x:c r="N64" s="41" t="str">
        <x:v>渠道与品牌投入保持，不出现商誉或投资大额减值</x:v>
      </x:c>
      <x:c r="O64" s="43" t="str">
        <x:v>公告披露：2025年日常关联交易发生总额109,929.20万元，2026年交易为正常经营需要。</x:v>
      </x:c>
      <x:c r="P64" s="43" t="str">
        <x:v>订单/合同</x:v>
      </x:c>
      <x:c r="Q64" s="43" t="str">
        <x:v>H1-需求与出货</x:v>
      </x:c>
      <x:c r="R64" s="43" t="str">
        <x:v>中性</x:v>
      </x:c>
      <x:c r="S64" s="43" t="str">
        <x:v>低</x:v>
      </x:c>
      <x:c r="T64" s="43" t="str">
        <x:v>间接</x:v>
      </x:c>
      <x:c r="U64" s="43" t="str">
        <x:v>2025年日常关联交易发生总额109,929.20万元，2026年交易为正常经营需要。</x:v>
      </x:c>
      <x:c r="V64" s="43" t="str">
        <x:v>该事实涉及但尚不足以改变H1-需求与出货的可信度；判断基于公告直接披露的业务指标、阶段进展或风险信息。</x:v>
      </x:c>
      <x:c r="W64" s="43" t="n">
        <x:v>4</x:v>
      </x:c>
      <x:c r="X64" s="43" t="str">
        <x:v>无</x:v>
      </x:c>
      <x:c r="Y64" s="43" t="str">
        <x:v>B-CODEX-FIN-01</x:v>
      </x:c>
      <x:c r="Z64" s="49" t="str">
        <x:v>20260826T150309+08:00</x:v>
      </x:c>
    </x:row>
    <x:row r="65" ht="24" hidden="0" customHeight="1">
      <x:c r="A65" s="41" t="str">
        <x:v>64</x:v>
      </x:c>
      <x:c r="B65" s="41" t="str">
        <x:v>G3-E007</x:v>
      </x:c>
      <x:c r="C65" s="41" t="str">
        <x:v>药明康德</x:v>
      </x:c>
      <x:c r="D65" s="42" t="str">
        <x:v>​603259</x:v>
      </x:c>
      <x:c r="E65" s="41" t="str">
        <x:v>医药</x:v>
      </x:c>
      <x:c r="F65" s="41" t="str">
        <x:v>A股</x:v>
      </x:c>
      <x:c r="G65" s="42" t="str">
        <x:v>​2024-03-19T00:00:00+08:00</x:v>
      </x:c>
      <x:c r="H65" s="41" t="str">
        <x:v>仅日期（按盘后处理）</x:v>
      </x:c>
      <x:c r="I65" s="41" t="str">
        <x:v>关于募集资金存放与实际使用情况的专项报告及审核报告（截至2023年12月31日止）</x:v>
      </x:c>
      <x:c r="J65" s="41" t="str">
        <x:v>http://static.cninfo.com.cn/finalpage/2024-03-19/1219331371.PDF</x:v>
      </x:c>
      <x:c r="K65" s="41" t="str">
        <x:v>全球医药研发外包龙头，订单随创新药投入周期波动，地缘政治与产能利用率是核心风险点</x:v>
      </x:c>
      <x:c r="L65" s="41" t="str">
        <x:v>CXO 订单与在手订单随全球创新药研发投入回暖恢复增长</x:v>
      </x:c>
      <x:c r="M65" s="41" t="str">
        <x:v>产能利用率与项目结构支撑毛利率，不因价格竞争持续走低</x:v>
      </x:c>
      <x:c r="N65" s="41" t="str">
        <x:v>新增产能与地缘政治风险可控，海外基地建设按计划推进</x:v>
      </x:c>
      <x:c r="O65" s="43" t="str">
        <x:v>公告披露：截至2023年末募集资金累计投入186,104.73万元及639,014.14万元，扩建项目达到预计效益。</x:v>
      </x:c>
      <x:c r="P65" s="43" t="str">
        <x:v>产能/资本开支</x:v>
      </x:c>
      <x:c r="Q65" s="43" t="str">
        <x:v>H3-产能与扩张</x:v>
      </x:c>
      <x:c r="R65" s="43" t="str">
        <x:v>支持</x:v>
      </x:c>
      <x:c r="S65" s="43" t="str">
        <x:v>高</x:v>
      </x:c>
      <x:c r="T65" s="43" t="str">
        <x:v>直接</x:v>
      </x:c>
      <x:c r="U65" s="43" t="str">
        <x:v>截至2023年末募集资金累计投入186,104.73万元及639,014.14万元，扩建项目达到预计效益。</x:v>
      </x:c>
      <x:c r="V65" s="43" t="str">
        <x:v>该事实提高H3-产能与扩张的可信度；判断基于公告直接披露的业务指标、阶段进展或风险信息。</x:v>
      </x:c>
      <x:c r="W65" s="43" t="n">
        <x:v>5</x:v>
      </x:c>
      <x:c r="X65" s="43" t="str">
        <x:v>无</x:v>
      </x:c>
      <x:c r="Y65" s="43" t="str">
        <x:v>B-CODEX-FIN-01</x:v>
      </x:c>
      <x:c r="Z65" s="49" t="str">
        <x:v>20260826T150309+08:00</x:v>
      </x:c>
    </x:row>
    <x:row r="66" ht="24" hidden="0" customHeight="1">
      <x:c r="A66" s="41" t="str">
        <x:v>65</x:v>
      </x:c>
      <x:c r="B66" s="41" t="str">
        <x:v>G3-E045</x:v>
      </x:c>
      <x:c r="C66" s="41" t="str">
        <x:v>恒瑞医药</x:v>
      </x:c>
      <x:c r="D66" s="42" t="str">
        <x:v>​600276</x:v>
      </x:c>
      <x:c r="E66" s="41" t="str">
        <x:v>医药</x:v>
      </x:c>
      <x:c r="F66" s="41" t="str">
        <x:v>A股</x:v>
      </x:c>
      <x:c r="G66" s="42" t="str">
        <x:v>​2026-01-08T00:00:00+08:00</x:v>
      </x:c>
      <x:c r="H66" s="41" t="str">
        <x:v>仅日期（按盘后处理）</x:v>
      </x:c>
      <x:c r="I66" s="41" t="str">
        <x:v>恒瑞医药关于获得药品注册批准的公告</x:v>
      </x:c>
      <x:c r="J66" s="41" t="str">
        <x:v>http://static.cninfo.com.cn/finalpage/2026-01-08/1224923160.PDF</x:v>
      </x:c>
      <x:c r="K66" s="41" t="str">
        <x:v>创新药转型期，创新药放量与对外授权接续仿制药集采缺口，毛利率高但集采与研发成败是关键观察点</x:v>
      </x:c>
      <x:c r="L66" s="41" t="str">
        <x:v>创新药放量与授权合作收入接续仿制药集采下滑，研发管线持续推进</x:v>
      </x:c>
      <x:c r="M66" s="41" t="str">
        <x:v>创新药占比提升支撑高毛利率，集采降价不导致盈利持续恶化</x:v>
      </x:c>
      <x:c r="N66" s="41" t="str">
        <x:v>研发投入强度维持，管线推进不出现关键品种研发失败</x:v>
      </x:c>
      <x:c r="O66" s="43" t="str">
        <x:v>公告披露：批准公司自主研发的 1 类创新药瑞拉芙普α注射液上市。现将相关情况公告如下：</x:v>
      </x:c>
      <x:c r="P66" s="43" t="str">
        <x:v>研发/注册</x:v>
      </x:c>
      <x:c r="Q66" s="43" t="str">
        <x:v>H1-需求与出货</x:v>
      </x:c>
      <x:c r="R66" s="43" t="str">
        <x:v>支持</x:v>
      </x:c>
      <x:c r="S66" s="43" t="str">
        <x:v>中</x:v>
      </x:c>
      <x:c r="T66" s="43" t="str">
        <x:v>直接</x:v>
      </x:c>
      <x:c r="U66" s="43" t="str">
        <x:v>批准公司自主研发的 1 类创新药瑞拉芙普α注射液上市。现将相关情况公告如下：</x:v>
      </x:c>
      <x:c r="V66" s="43" t="str">
        <x:v>该事实提高H1-需求与出货的可信度；判断基于公告直接披露的业务指标、阶段进展或风险信息。</x:v>
      </x:c>
      <x:c r="W66" s="43" t="n">
        <x:v>5</x:v>
      </x:c>
      <x:c r="X66" s="43" t="str">
        <x:v>无</x:v>
      </x:c>
      <x:c r="Y66" s="43" t="str">
        <x:v>B-CODEX-FIN-01</x:v>
      </x:c>
      <x:c r="Z66" s="49" t="str">
        <x:v>20260826T150309+08:00</x:v>
      </x:c>
    </x:row>
    <x:row r="67" ht="24" hidden="0" customHeight="1">
      <x:c r="A67" s="41" t="str">
        <x:v>66</x:v>
      </x:c>
      <x:c r="B67" s="41" t="str">
        <x:v>G3-E048</x:v>
      </x:c>
      <x:c r="C67" s="41" t="str">
        <x:v>吉利汽车</x:v>
      </x:c>
      <x:c r="D67" s="42" t="str">
        <x:v>​00175</x:v>
      </x:c>
      <x:c r="E67" s="41" t="str">
        <x:v>新能源汽车</x:v>
      </x:c>
      <x:c r="F67" s="41" t="str">
        <x:v>港股</x:v>
      </x:c>
      <x:c r="G67" s="42" t="str">
        <x:v>​2025-11-27T16:36:09+08:00</x:v>
      </x:c>
      <x:c r="H67" s="41" t="str">
        <x:v>精确</x:v>
      </x:c>
      <x:c r="I67" s="41" t="str">
        <x:v>持续关连交易</x:v>
      </x:c>
      <x:c r="J67" s="41" t="str">
        <x:v>http://static.cninfo.com.cn/finalpage/2025-11-27/1224830298.PDF</x:v>
      </x:c>
      <x:c r="K67" s="41" t="str">
        <x:v>新能源转型见效，销量与出口双增长支撑收入，平台整合与毛利率改善是核心观察点。港股披露频率低于 A 股</x:v>
      </x:c>
      <x:c r="L67" s="41" t="str">
        <x:v>新能源车型销量放量带动整体销量增长，出口贡献增量</x:v>
      </x:c>
      <x:c r="M67" s="41" t="str">
        <x:v>平台化与规模效应改善毛利率，新能源转型不持续拖累盈利</x:v>
      </x:c>
      <x:c r="N67" s="41" t="str">
        <x:v>品牌与平台整合按计划推进，不出现大额整合损失</x:v>
      </x:c>
      <x:c r="O67" s="43" t="str">
        <x:v>公告披露：公司订立整车及整车成套件合作制造采购协议，并约定研发服务及技术支持安排。</x:v>
      </x:c>
      <x:c r="P67" s="43" t="str">
        <x:v>订单/合同</x:v>
      </x:c>
      <x:c r="Q67" s="43" t="str">
        <x:v>H3-产能与扩张</x:v>
      </x:c>
      <x:c r="R67" s="43" t="str">
        <x:v>支持</x:v>
      </x:c>
      <x:c r="S67" s="43" t="str">
        <x:v>中</x:v>
      </x:c>
      <x:c r="T67" s="43" t="str">
        <x:v>间接</x:v>
      </x:c>
      <x:c r="U67" s="43" t="str">
        <x:v>公司订立整车及整车成套件合作制造采购协议，并约定研发服务及技术支持安排。</x:v>
      </x:c>
      <x:c r="V67" s="43" t="str">
        <x:v>该事实提高H3-产能与扩张的可信度；判断基于公告直接披露的业务指标、阶段进展或风险信息。</x:v>
      </x:c>
      <x:c r="W67" s="43" t="n">
        <x:v>4</x:v>
      </x:c>
      <x:c r="X67" s="43" t="str">
        <x:v>无</x:v>
      </x:c>
      <x:c r="Y67" s="43" t="str">
        <x:v>B-CODEX-FIN-01</x:v>
      </x:c>
      <x:c r="Z67" s="49" t="str">
        <x:v>20260826T150309+08:00</x:v>
      </x:c>
    </x:row>
    <x:row r="68" ht="36" hidden="0" customHeight="1">
      <x:c r="A68" s="41" t="str">
        <x:v>67</x:v>
      </x:c>
      <x:c r="B68" s="41" t="str">
        <x:v>G3-E023</x:v>
      </x:c>
      <x:c r="C68" s="41" t="str">
        <x:v>兆易创新</x:v>
      </x:c>
      <x:c r="D68" s="42" t="str">
        <x:v>​603986</x:v>
      </x:c>
      <x:c r="E68" s="41" t="str">
        <x:v>芯片半导体</x:v>
      </x:c>
      <x:c r="F68" s="41" t="str">
        <x:v>A股</x:v>
      </x:c>
      <x:c r="G68" s="42" t="str">
        <x:v>​2025-10-29T00:00:00+08:00</x:v>
      </x:c>
      <x:c r="H68" s="41" t="str">
        <x:v>仅日期（按盘后处理）</x:v>
      </x:c>
      <x:c r="I68" s="41" t="str">
        <x:v>兆易创新第五届董事会第六次会议决议公告</x:v>
      </x:c>
      <x:c r="J68" s="41" t="str">
        <x:v>http://static.cninfo.com.cn/finalpage/2025-10-29/1224754268.PDF</x:v>
      </x:c>
      <x:c r="K68" s="41" t="str">
        <x:v>存储与 MCU 设计商，需求随下游复苏与库存去化回升，毛利率对存储价格周期高度敏感，需跟踪产品结构</x:v>
      </x:c>
      <x:c r="L68" s="41" t="str">
        <x:v>存储与 MCU 需求随消费电子与工业复苏回升，库存周期见底</x:v>
      </x:c>
      <x:c r="M68" s="41" t="str">
        <x:v>毛利率随产品结构改善回升，不因存储价格波动持续走低</x:v>
      </x:c>
      <x:c r="N68" s="41" t="str">
        <x:v>新品研发与产能储备按计划推进，不出现存货大额跌价</x:v>
      </x:c>
      <x:c r="O68" s="43" t="str">
        <x:v>公司披露《兆易创新第五届董事会第六次会议决议公告》，事项主要涉及治理、证券变动或程序安排。</x:v>
      </x:c>
      <x:c r="P68" s="43" t="str">
        <x:v>治理/其他</x:v>
      </x:c>
      <x:c r="Q68" s="43" t="str">
        <x:v>无关</x:v>
      </x:c>
      <x:c r="R68" s="43" t="str">
        <x:v>无关</x:v>
      </x:c>
      <x:c r="S68" s="43" t="str">
        <x:v>不适用</x:v>
      </x:c>
      <x:c r="T68" s="43" t="str">
        <x:v>不适用</x:v>
      </x:c>
      <x:c r="U68" s="43" t="str"/>
      <x:c r="V68" s="43" t="str">
        <x:v>公告未提供会改变需求出货、盈利质量或产能扩张判断的新增经营事实，故不进入核心证据链。</x:v>
      </x:c>
      <x:c r="W68" s="43" t="n">
        <x:v>5</x:v>
      </x:c>
      <x:c r="X68" s="43" t="str">
        <x:v>无</x:v>
      </x:c>
      <x:c r="Y68" s="43" t="str">
        <x:v>B-CODEX-FIN-01</x:v>
      </x:c>
      <x:c r="Z68" s="49" t="str">
        <x:v>20260826T150309+08:00</x:v>
      </x:c>
    </x:row>
    <x:row r="69" ht="36" hidden="0" customHeight="1">
      <x:c r="A69" s="41" t="str">
        <x:v>68</x:v>
      </x:c>
      <x:c r="B69" s="41" t="str">
        <x:v>G3-E032</x:v>
      </x:c>
      <x:c r="C69" s="41" t="str">
        <x:v>中芯国际</x:v>
      </x:c>
      <x:c r="D69" s="42" t="str">
        <x:v>​688981</x:v>
      </x:c>
      <x:c r="E69" s="41" t="str">
        <x:v>芯片半导体</x:v>
      </x:c>
      <x:c r="F69" s="41" t="str">
        <x:v>A股</x:v>
      </x:c>
      <x:c r="G69" s="42" t="str">
        <x:v>​2025-08-05T00:00:00+08:00</x:v>
      </x:c>
      <x:c r="H69" s="41" t="str">
        <x:v>仅日期（按盘后处理）</x:v>
      </x:c>
      <x:c r="I69" s="41" t="str">
        <x:v>华夏上证科创板50成份交易型开放式指数证券投资基金关于所持中芯国际集成电路制造有限公司境内股票变动的提示性公告</x:v>
      </x:c>
      <x:c r="J69" s="41" t="str">
        <x:v>http://static.cninfo.com.cn/finalpage/2025-08-05/1224386813.PDF</x:v>
      </x:c>
      <x:c r="K69" s="41" t="str">
        <x:v>成熟制程代工龙头，国产替代与产能利用率回升支撑收入，折旧与价格压力是盈利的主要观察点</x:v>
      </x:c>
      <x:c r="L69" s="41" t="str">
        <x:v>成熟制程产能利用率与晶圆出货保持增长，国产替代需求是主要驱动</x:v>
      </x:c>
      <x:c r="M69" s="41" t="str">
        <x:v>毛利率随产能利用率回升，折旧压力不导致盈利持续恶化</x:v>
      </x:c>
      <x:c r="N69" s="41" t="str">
        <x:v>资本开支与扩产节奏匹配下游需求，先进制程投入不出现大额减值</x:v>
      </x:c>
      <x:c r="O69" s="43" t="str">
        <x:v>公司披露《华夏上证科创板50成份交易型开放式指数证券投资基金关于所持中芯国际集成电路制造有限公司境内股票变动的提示性公告》，事项主要涉及治理、证券变动或程序安排。</x:v>
      </x:c>
      <x:c r="P69" s="43" t="str">
        <x:v>治理/其他</x:v>
      </x:c>
      <x:c r="Q69" s="43" t="str">
        <x:v>无关</x:v>
      </x:c>
      <x:c r="R69" s="43" t="str">
        <x:v>无关</x:v>
      </x:c>
      <x:c r="S69" s="43" t="str">
        <x:v>不适用</x:v>
      </x:c>
      <x:c r="T69" s="43" t="str">
        <x:v>不适用</x:v>
      </x:c>
      <x:c r="U69" s="43" t="str"/>
      <x:c r="V69" s="43" t="str">
        <x:v>公告未提供会改变需求出货、盈利质量或产能扩张判断的新增经营事实，故不进入核心证据链。</x:v>
      </x:c>
      <x:c r="W69" s="43" t="n">
        <x:v>5</x:v>
      </x:c>
      <x:c r="X69" s="43" t="str">
        <x:v>无</x:v>
      </x:c>
      <x:c r="Y69" s="43" t="str">
        <x:v>B-CODEX-FIN-01</x:v>
      </x:c>
      <x:c r="Z69" s="49" t="str">
        <x:v>20260826T150309+08:00</x:v>
      </x:c>
    </x:row>
    <x:row r="70" ht="36" hidden="0" customHeight="1">
      <x:c r="A70" s="41" t="str">
        <x:v>69</x:v>
      </x:c>
      <x:c r="B70" s="41" t="str">
        <x:v>G3-E028</x:v>
      </x:c>
      <x:c r="C70" s="41" t="str">
        <x:v>小鹏汽车</x:v>
      </x:c>
      <x:c r="D70" s="42" t="str">
        <x:v>​09868</x:v>
      </x:c>
      <x:c r="E70" s="41" t="str">
        <x:v>新能源汽车</x:v>
      </x:c>
      <x:c r="F70" s="41" t="str">
        <x:v>港股</x:v>
      </x:c>
      <x:c r="G70" s="42" t="str">
        <x:v>​2026-01-01T18:52:07+08:00</x:v>
      </x:c>
      <x:c r="H70" s="41" t="str">
        <x:v>精确</x:v>
      </x:c>
      <x:c r="I70" s="41" t="str">
        <x:v>自愿公告2025年12 月及第四季度智能车交付数据</x:v>
      </x:c>
      <x:c r="J70" s="41" t="str">
        <x:v>http://static.cninfo.com.cn/finalpage/2026-01-01/1224915704.PDF</x:v>
      </x:c>
      <x:c r="K70" s="41" t="str">
        <x:v>新势力整车厂，交付量与车型周期决定收入，毛利率从负值修复中，盈利质量仍是主要风险。港股仅披露中报与年报，季度颗粒度不足</x:v>
      </x:c>
      <x:c r="L70" s="41" t="str">
        <x:v>智能车交付量保持增长，新车型周期带动需求回升</x:v>
      </x:c>
      <x:c r="M70" s="41" t="str">
        <x:v>毛利率随规模与技术服务收入改善，不回落到历史低位</x:v>
      </x:c>
      <x:c r="N70" s="41" t="str">
        <x:v>研发与产能投入可持续，现金流不出现明显恶化</x:v>
      </x:c>
      <x:c r="O70" s="43" t="str">
        <x:v>公告披露：2025年12月，小鹏汽车共交付智能电动汽车37,508辆，同比增长2%。</x:v>
      </x:c>
      <x:c r="P70" s="43" t="str">
        <x:v>产销/需求</x:v>
      </x:c>
      <x:c r="Q70" s="43" t="str">
        <x:v>H1-需求与出货</x:v>
      </x:c>
      <x:c r="R70" s="43" t="str">
        <x:v>支持</x:v>
      </x:c>
      <x:c r="S70" s="43" t="str">
        <x:v>高</x:v>
      </x:c>
      <x:c r="T70" s="43" t="str">
        <x:v>直接</x:v>
      </x:c>
      <x:c r="U70" s="43" t="str">
        <x:v>2025年12月，小鹏汽车共交付智能电动汽车37,508辆，同比增长2%。</x:v>
      </x:c>
      <x:c r="V70" s="43" t="str">
        <x:v>该事实提高H1-需求与出货的可信度；判断基于公告直接披露的业务指标、阶段进展或风险信息。</x:v>
      </x:c>
      <x:c r="W70" s="43" t="n">
        <x:v>5</x:v>
      </x:c>
      <x:c r="X70" s="43" t="str">
        <x:v>无</x:v>
      </x:c>
      <x:c r="Y70" s="43" t="str">
        <x:v>B-CODEX-FIN-01</x:v>
      </x:c>
      <x:c r="Z70" s="49" t="str">
        <x:v>20260826T150309+08:00</x:v>
      </x:c>
    </x:row>
    <x:row r="71" ht="24" hidden="0" customHeight="1">
      <x:c r="A71" s="41" t="str">
        <x:v>70</x:v>
      </x:c>
      <x:c r="B71" s="41" t="str">
        <x:v>G3-E062</x:v>
      </x:c>
      <x:c r="C71" s="41" t="str">
        <x:v>吉利汽车</x:v>
      </x:c>
      <x:c r="D71" s="42" t="str">
        <x:v>​00175</x:v>
      </x:c>
      <x:c r="E71" s="41" t="str">
        <x:v>新能源汽车</x:v>
      </x:c>
      <x:c r="F71" s="41" t="str">
        <x:v>港股</x:v>
      </x:c>
      <x:c r="G71" s="42" t="str">
        <x:v>​2025-10-06T23:59:59+08:00</x:v>
      </x:c>
      <x:c r="H71" s="41" t="str">
        <x:v>精确</x:v>
      </x:c>
      <x:c r="I71" s="41" t="str">
        <x:v>翌日披露报表</x:v>
      </x:c>
      <x:c r="J71" s="41" t="str">
        <x:v>http://static.cninfo.com.cn/finalpage/2025-10-06/1224700096.PDF</x:v>
      </x:c>
      <x:c r="K71" s="41" t="str">
        <x:v>新能源转型见效，销量与出口双增长支撑收入，平台整合与毛利率改善是核心观察点。港股披露频率低于 A 股</x:v>
      </x:c>
      <x:c r="L71" s="41" t="str">
        <x:v>新能源车型销量放量带动整体销量增长，出口贡献增量</x:v>
      </x:c>
      <x:c r="M71" s="41" t="str">
        <x:v>平台化与规模效应改善毛利率，新能源转型不持续拖累盈利</x:v>
      </x:c>
      <x:c r="N71" s="41" t="str">
        <x:v>品牌与平台整合按计划推进，不出现大额整合损失</x:v>
      </x:c>
      <x:c r="O71" s="43" t="str">
        <x:v>公司披露《翌日披露报表》，事项主要涉及治理、证券变动或程序安排。</x:v>
      </x:c>
      <x:c r="P71" s="43" t="str">
        <x:v>治理/其他</x:v>
      </x:c>
      <x:c r="Q71" s="43" t="str">
        <x:v>无关</x:v>
      </x:c>
      <x:c r="R71" s="43" t="str">
        <x:v>无关</x:v>
      </x:c>
      <x:c r="S71" s="43" t="str">
        <x:v>不适用</x:v>
      </x:c>
      <x:c r="T71" s="43" t="str">
        <x:v>不适用</x:v>
      </x:c>
      <x:c r="U71" s="43" t="str"/>
      <x:c r="V71" s="43" t="str">
        <x:v>公告未提供会改变需求出货、盈利质量或产能扩张判断的新增经营事实，故不进入核心证据链。</x:v>
      </x:c>
      <x:c r="W71" s="43" t="n">
        <x:v>5</x:v>
      </x:c>
      <x:c r="X71" s="43" t="str">
        <x:v>无</x:v>
      </x:c>
      <x:c r="Y71" s="43" t="str">
        <x:v>B-CODEX-FIN-01</x:v>
      </x:c>
      <x:c r="Z71" s="49" t="str">
        <x:v>20260826T150309+08:00</x:v>
      </x:c>
    </x:row>
    <x:row r="72" ht="24" hidden="0" customHeight="1">
      <x:c r="A72" s="41" t="str">
        <x:v>71</x:v>
      </x:c>
      <x:c r="B72" s="41" t="str">
        <x:v>G3-E092</x:v>
      </x:c>
      <x:c r="C72" s="41" t="str">
        <x:v>比亚迪</x:v>
      </x:c>
      <x:c r="D72" s="42" t="str">
        <x:v>​002594</x:v>
      </x:c>
      <x:c r="E72" s="41" t="str">
        <x:v>新能源汽车</x:v>
      </x:c>
      <x:c r="F72" s="41" t="str">
        <x:v>A股</x:v>
      </x:c>
      <x:c r="G72" s="42" t="str">
        <x:v>​2024-01-30T00:00:00+08:00</x:v>
      </x:c>
      <x:c r="H72" s="41" t="str">
        <x:v>仅日期（按盘后处理）</x:v>
      </x:c>
      <x:c r="I72" s="41" t="str">
        <x:v>2023年度业绩预告</x:v>
      </x:c>
      <x:c r="J72" s="41" t="str">
        <x:v>http://static.cninfo.com.cn/finalpage/2024-01-30/1219028933.PDF</x:v>
      </x:c>
      <x:c r="K72" s="41" t="str">
        <x:v>新能源汽车销量与出口结构改善支撑收入，垂直一体化对冲价格战，需跟踪毛利率与海外扩张落地</x:v>
      </x:c>
      <x:c r="L72" s="41" t="str">
        <x:v>新能源汽车销量保持增长，出口占比提升对冲国内价格压力</x:v>
      </x:c>
      <x:c r="M72" s="41" t="str">
        <x:v>规模效应与垂直一体化维持毛利率，价格战不导致盈利持续恶化</x:v>
      </x:c>
      <x:c r="N72" s="41" t="str">
        <x:v>海外工厂与产能扩张按计划落地，不出现大额投资减值</x:v>
      </x:c>
      <x:c r="O72" s="43" t="str">
        <x:v>公告披露：2023年预计归母净利润同比上升74.46%-86.49%，新能源汽车销量再创历史新高。</x:v>
      </x:c>
      <x:c r="P72" s="43" t="str">
        <x:v>收入/利润</x:v>
      </x:c>
      <x:c r="Q72" s="43" t="str">
        <x:v>H2-盈利质量</x:v>
      </x:c>
      <x:c r="R72" s="43" t="str">
        <x:v>支持</x:v>
      </x:c>
      <x:c r="S72" s="43" t="str">
        <x:v>高</x:v>
      </x:c>
      <x:c r="T72" s="43" t="str">
        <x:v>直接</x:v>
      </x:c>
      <x:c r="U72" s="43" t="str">
        <x:v>2023年预计归母净利润同比上升74.46%-86.49%，新能源汽车销量再创历史新高。</x:v>
      </x:c>
      <x:c r="V72" s="43" t="str">
        <x:v>该事实提高H2-盈利质量的可信度；判断基于公告直接披露的业务指标、阶段进展或风险信息。</x:v>
      </x:c>
      <x:c r="W72" s="43" t="n">
        <x:v>5</x:v>
      </x:c>
      <x:c r="X72" s="43" t="str">
        <x:v>无</x:v>
      </x:c>
      <x:c r="Y72" s="43" t="str">
        <x:v>B-CODEX-FIN-01</x:v>
      </x:c>
      <x:c r="Z72" s="49" t="str">
        <x:v>20260826T150309+08:00</x:v>
      </x:c>
    </x:row>
    <x:row r="73" ht="24" hidden="0" customHeight="1">
      <x:c r="A73" s="41" t="str">
        <x:v>72</x:v>
      </x:c>
      <x:c r="B73" s="41" t="str">
        <x:v>G3-E075</x:v>
      </x:c>
      <x:c r="C73" s="41" t="str">
        <x:v>药明康德</x:v>
      </x:c>
      <x:c r="D73" s="42" t="str">
        <x:v>​603259</x:v>
      </x:c>
      <x:c r="E73" s="41" t="str">
        <x:v>医药</x:v>
      </x:c>
      <x:c r="F73" s="41" t="str">
        <x:v>A股</x:v>
      </x:c>
      <x:c r="G73" s="42" t="str">
        <x:v>​2026-04-28T00:00:00+08:00</x:v>
      </x:c>
      <x:c r="H73" s="41" t="str">
        <x:v>仅日期（按盘后处理）</x:v>
      </x:c>
      <x:c r="I73" s="41" t="str">
        <x:v>2026年第一季度报告</x:v>
      </x:c>
      <x:c r="J73" s="41" t="str">
        <x:v>http://static.cninfo.com.cn/finalpage/2026-04-28/1225200544.PDF</x:v>
      </x:c>
      <x:c r="K73" s="41" t="str">
        <x:v>全球医药研发外包龙头，订单随创新药投入周期波动，地缘政治与产能利用率是核心风险点</x:v>
      </x:c>
      <x:c r="L73" s="41" t="str">
        <x:v>CXO 订单与在手订单随全球创新药研发投入回暖恢复增长</x:v>
      </x:c>
      <x:c r="M73" s="41" t="str">
        <x:v>产能利用率与项目结构支撑毛利率，不因价格竞争持续走低</x:v>
      </x:c>
      <x:c r="N73" s="41" t="str">
        <x:v>新增产能与地缘政治风险可控，海外基地建设按计划推进</x:v>
      </x:c>
      <x:c r="O73" s="43" t="str">
        <x:v>公告披露：2026年第一季度营业收入同比增长28.8%，持续经营业务在手订单同比增长23.6%。</x:v>
      </x:c>
      <x:c r="P73" s="43" t="str">
        <x:v>收入/利润</x:v>
      </x:c>
      <x:c r="Q73" s="43" t="str">
        <x:v>H1-需求与出货</x:v>
      </x:c>
      <x:c r="R73" s="43" t="str">
        <x:v>支持</x:v>
      </x:c>
      <x:c r="S73" s="43" t="str">
        <x:v>高</x:v>
      </x:c>
      <x:c r="T73" s="43" t="str">
        <x:v>直接</x:v>
      </x:c>
      <x:c r="U73" s="43" t="str">
        <x:v>2026年第一季度营业收入同比增长28.8%，持续经营业务在手订单同比增长23.6%。</x:v>
      </x:c>
      <x:c r="V73" s="43" t="str">
        <x:v>该事实提高H1-需求与出货的可信度；判断基于公告直接披露的业务指标、阶段进展或风险信息。</x:v>
      </x:c>
      <x:c r="W73" s="43" t="n">
        <x:v>5</x:v>
      </x:c>
      <x:c r="X73" s="43" t="str">
        <x:v>无</x:v>
      </x:c>
      <x:c r="Y73" s="43" t="str">
        <x:v>B-CODEX-FIN-01</x:v>
      </x:c>
      <x:c r="Z73" s="49" t="str">
        <x:v>20260826T150309+08:00</x:v>
      </x:c>
    </x:row>
    <x:row r="74" ht="24" hidden="0" customHeight="1">
      <x:c r="A74" s="41" t="str">
        <x:v>73</x:v>
      </x:c>
      <x:c r="B74" s="41" t="str">
        <x:v>G3-E103</x:v>
      </x:c>
      <x:c r="C74" s="41" t="str">
        <x:v>恒瑞医药</x:v>
      </x:c>
      <x:c r="D74" s="42" t="str">
        <x:v>​600276</x:v>
      </x:c>
      <x:c r="E74" s="41" t="str">
        <x:v>医药</x:v>
      </x:c>
      <x:c r="F74" s="41" t="str">
        <x:v>A股</x:v>
      </x:c>
      <x:c r="G74" s="42" t="str">
        <x:v>​2025-07-18T00:00:00+08:00</x:v>
      </x:c>
      <x:c r="H74" s="41" t="str">
        <x:v>仅日期（按盘后处理）</x:v>
      </x:c>
      <x:c r="I74" s="41" t="str">
        <x:v>恒瑞医药关于获得药物临床试验批准通知书的公告</x:v>
      </x:c>
      <x:c r="J74" s="41" t="str">
        <x:v>http://static.cninfo.com.cn/finalpage/2025-07-18/1224202262.PDF</x:v>
      </x:c>
      <x:c r="K74" s="41" t="str">
        <x:v>创新药转型期，创新药放量与对外授权接续仿制药集采缺口，毛利率高但集采与研发成败是关键观察点</x:v>
      </x:c>
      <x:c r="L74" s="41" t="str">
        <x:v>创新药放量与授权合作收入接续仿制药集采下滑，研发管线持续推进</x:v>
      </x:c>
      <x:c r="M74" s="41" t="str">
        <x:v>创新药占比提升支撑高毛利率，集采降价不导致盈利持续恶化</x:v>
      </x:c>
      <x:c r="N74" s="41" t="str">
        <x:v>研发投入强度维持，管线推进不出现关键品种研发失败</x:v>
      </x:c>
      <x:c r="O74" s="43" t="str">
        <x:v>公告披露：根据我国药品注册相关的法律法规要求，药物在获得药物临床试验批准通知</x:v>
      </x:c>
      <x:c r="P74" s="43" t="str">
        <x:v>研发/注册</x:v>
      </x:c>
      <x:c r="Q74" s="43" t="str">
        <x:v>H3-产能与扩张</x:v>
      </x:c>
      <x:c r="R74" s="43" t="str">
        <x:v>支持</x:v>
      </x:c>
      <x:c r="S74" s="43" t="str">
        <x:v>中</x:v>
      </x:c>
      <x:c r="T74" s="43" t="str">
        <x:v>直接</x:v>
      </x:c>
      <x:c r="U74" s="43" t="str">
        <x:v>根据我国药品注册相关的法律法规要求，药物在获得药物临床试验批准通知</x:v>
      </x:c>
      <x:c r="V74" s="43" t="str">
        <x:v>该事实提高H3-产能与扩张的可信度；判断基于公告直接披露的业务指标、阶段进展或风险信息。</x:v>
      </x:c>
      <x:c r="W74" s="43" t="n">
        <x:v>5</x:v>
      </x:c>
      <x:c r="X74" s="43" t="str">
        <x:v>无</x:v>
      </x:c>
      <x:c r="Y74" s="43" t="str">
        <x:v>B-CODEX-FIN-01</x:v>
      </x:c>
      <x:c r="Z74" s="49" t="str">
        <x:v>20260826T150309+08:00</x:v>
      </x:c>
    </x:row>
    <x:row r="75" ht="24" hidden="0" customHeight="1">
      <x:c r="A75" s="41" t="str">
        <x:v>74</x:v>
      </x:c>
      <x:c r="B75" s="41" t="str">
        <x:v>G3-E113</x:v>
      </x:c>
      <x:c r="C75" s="41" t="str">
        <x:v>比亚迪</x:v>
      </x:c>
      <x:c r="D75" s="42" t="str">
        <x:v>​002594</x:v>
      </x:c>
      <x:c r="E75" s="41" t="str">
        <x:v>新能源汽车</x:v>
      </x:c>
      <x:c r="F75" s="41" t="str">
        <x:v>A股</x:v>
      </x:c>
      <x:c r="G75" s="42" t="str">
        <x:v>​2025-11-03T00:00:00+08:00</x:v>
      </x:c>
      <x:c r="H75" s="41" t="str">
        <x:v>仅日期（按盘后处理）</x:v>
      </x:c>
      <x:c r="I75" s="41" t="str">
        <x:v>2025年10月产销快报</x:v>
      </x:c>
      <x:c r="J75" s="41" t="str">
        <x:v>http://static.cninfo.com.cn/finalpage/2025-11-03/1224781922.PDF</x:v>
      </x:c>
      <x:c r="K75" s="41" t="str">
        <x:v>新能源汽车销量与出口结构改善支撑收入，垂直一体化对冲价格战，需跟踪毛利率与海外扩张落地</x:v>
      </x:c>
      <x:c r="L75" s="41" t="str">
        <x:v>新能源汽车销量保持增长，出口占比提升对冲国内价格压力</x:v>
      </x:c>
      <x:c r="M75" s="41" t="str">
        <x:v>规模效应与垂直一体化维持毛利率，价格战不导致盈利持续恶化</x:v>
      </x:c>
      <x:c r="N75" s="41" t="str">
        <x:v>海外工厂与产能扩张按计划落地，不出现大额投资减值</x:v>
      </x:c>
      <x:c r="O75" s="43" t="str">
        <x:v>公告披露：新能源汽车本年累计销量3,701,852辆，去年累计3,250,532辆，累计同比13.88%。</x:v>
      </x:c>
      <x:c r="P75" s="43" t="str">
        <x:v>产销/需求</x:v>
      </x:c>
      <x:c r="Q75" s="43" t="str">
        <x:v>H1-需求与出货</x:v>
      </x:c>
      <x:c r="R75" s="43" t="str">
        <x:v>支持</x:v>
      </x:c>
      <x:c r="S75" s="43" t="str">
        <x:v>高</x:v>
      </x:c>
      <x:c r="T75" s="43" t="str">
        <x:v>直接</x:v>
      </x:c>
      <x:c r="U75" s="43" t="str">
        <x:v>新能源汽车本年累计销量3,701,852辆，去年累计3,250,532辆，累计同比13.88%。</x:v>
      </x:c>
      <x:c r="V75" s="43" t="str">
        <x:v>该事实提高H1-需求与出货的可信度；判断基于公告直接披露的业务指标、阶段进展或风险信息。</x:v>
      </x:c>
      <x:c r="W75" s="43" t="n">
        <x:v>5</x:v>
      </x:c>
      <x:c r="X75" s="43" t="str">
        <x:v>无</x:v>
      </x:c>
      <x:c r="Y75" s="43" t="str">
        <x:v>B-CODEX-FIN-01</x:v>
      </x:c>
      <x:c r="Z75" s="49" t="str">
        <x:v>20260826T150309+08:00</x:v>
      </x:c>
    </x:row>
    <x:row r="76" ht="36" hidden="0" customHeight="1">
      <x:c r="A76" s="41" t="str">
        <x:v>75</x:v>
      </x:c>
      <x:c r="B76" s="41" t="str">
        <x:v>G3-E031</x:v>
      </x:c>
      <x:c r="C76" s="41" t="str">
        <x:v>药明康德</x:v>
      </x:c>
      <x:c r="D76" s="42" t="str">
        <x:v>​603259</x:v>
      </x:c>
      <x:c r="E76" s="41" t="str">
        <x:v>医药</x:v>
      </x:c>
      <x:c r="F76" s="41" t="str">
        <x:v>A股</x:v>
      </x:c>
      <x:c r="G76" s="42" t="str">
        <x:v>​2024-01-03T00:00:00+08:00</x:v>
      </x:c>
      <x:c r="H76" s="41" t="str">
        <x:v>仅日期（按盘后处理）</x:v>
      </x:c>
      <x:c r="I76" s="41" t="str">
        <x:v>关于2019年限制性股票与股票期权激励计划首次授予股票期权2023年第四季度自主行权结果暨股份变动公告</x:v>
      </x:c>
      <x:c r="J76" s="41" t="str">
        <x:v>http://static.cninfo.com.cn/finalpage/2024-01-03/1218791594.PDF</x:v>
      </x:c>
      <x:c r="K76" s="41" t="str">
        <x:v>全球医药研发外包龙头，订单随创新药投入周期波动，地缘政治与产能利用率是核心风险点</x:v>
      </x:c>
      <x:c r="L76" s="41" t="str">
        <x:v>CXO 订单与在手订单随全球创新药研发投入回暖恢复增长</x:v>
      </x:c>
      <x:c r="M76" s="41" t="str">
        <x:v>产能利用率与项目结构支撑毛利率，不因价格竞争持续走低</x:v>
      </x:c>
      <x:c r="N76" s="41" t="str">
        <x:v>新增产能与地缘政治风险可控，海外基地建设按计划推进</x:v>
      </x:c>
      <x:c r="O76" s="43" t="str">
        <x:v>公司披露《关于2019年限制性股票与股票期权激励计划首次授予股票期权2023年第四季度自主行权结果暨股份变动公告》，事项主要涉及治理、证券变动或程序安排。</x:v>
      </x:c>
      <x:c r="P76" s="43" t="str">
        <x:v>治理/其他</x:v>
      </x:c>
      <x:c r="Q76" s="43" t="str">
        <x:v>无关</x:v>
      </x:c>
      <x:c r="R76" s="43" t="str">
        <x:v>无关</x:v>
      </x:c>
      <x:c r="S76" s="43" t="str">
        <x:v>不适用</x:v>
      </x:c>
      <x:c r="T76" s="43" t="str">
        <x:v>不适用</x:v>
      </x:c>
      <x:c r="U76" s="43" t="str"/>
      <x:c r="V76" s="43" t="str">
        <x:v>公告未提供会改变需求出货、盈利质量或产能扩张判断的新增经营事实，故不进入核心证据链。</x:v>
      </x:c>
      <x:c r="W76" s="43" t="n">
        <x:v>5</x:v>
      </x:c>
      <x:c r="X76" s="43" t="str">
        <x:v>无</x:v>
      </x:c>
      <x:c r="Y76" s="43" t="str">
        <x:v>B-CODEX-FIN-01</x:v>
      </x:c>
      <x:c r="Z76" s="49" t="str">
        <x:v>20260826T150309+08:00</x:v>
      </x:c>
    </x:row>
    <x:row r="77" ht="24" hidden="0" customHeight="1">
      <x:c r="A77" s="41" t="str">
        <x:v>76</x:v>
      </x:c>
      <x:c r="B77" s="41" t="str">
        <x:v>G3-E057</x:v>
      </x:c>
      <x:c r="C77" s="41" t="str">
        <x:v>云南白药</x:v>
      </x:c>
      <x:c r="D77" s="42" t="str">
        <x:v>​000538</x:v>
      </x:c>
      <x:c r="E77" s="41" t="str">
        <x:v>医药</x:v>
      </x:c>
      <x:c r="F77" s="41" t="str">
        <x:v>A股</x:v>
      </x:c>
      <x:c r="G77" s="42" t="str">
        <x:v>​2026-04-01T00:00:00+08:00</x:v>
      </x:c>
      <x:c r="H77" s="41" t="str">
        <x:v>仅日期（按盘后处理）</x:v>
      </x:c>
      <x:c r="I77" s="41" t="str">
        <x:v>云南白药集团股份有限公司董事和高级管理人员所持公司股份及其变动管理制度</x:v>
      </x:c>
      <x:c r="J77" s="41" t="str">
        <x:v>http://static.cninfo.com.cn/finalpage/2026-04-01/1225067998.PDF</x:v>
      </x:c>
      <x:c r="K77" s="41" t="str">
        <x:v>中药与健康消费品，增长平稳，毛利率与渠道结构是主要观察点，历史上曾因证券投资造成业绩波动</x:v>
      </x:c>
      <x:c r="L77" s="41" t="str">
        <x:v>工业药品与健康品渠道保持稳定，不出现持续负增长</x:v>
      </x:c>
      <x:c r="M77" s="41" t="str">
        <x:v>毛利率随产品结构与原料成本波动，不持续低于历史区间</x:v>
      </x:c>
      <x:c r="N77" s="41" t="str">
        <x:v>渠道与品牌投入保持，不出现商誉或投资大额减值</x:v>
      </x:c>
      <x:c r="O77" s="43" t="str">
        <x:v>公司披露《云南白药集团股份有限公司董事和高级管理人员所持公司股份及其变动管理制度》，事项主要涉及治理、证券变动或程序安排。</x:v>
      </x:c>
      <x:c r="P77" s="43" t="str">
        <x:v>治理/其他</x:v>
      </x:c>
      <x:c r="Q77" s="43" t="str">
        <x:v>无关</x:v>
      </x:c>
      <x:c r="R77" s="43" t="str">
        <x:v>无关</x:v>
      </x:c>
      <x:c r="S77" s="43" t="str">
        <x:v>不适用</x:v>
      </x:c>
      <x:c r="T77" s="43" t="str">
        <x:v>不适用</x:v>
      </x:c>
      <x:c r="U77" s="43" t="str"/>
      <x:c r="V77" s="43" t="str">
        <x:v>公告未提供会改变需求出货、盈利质量或产能扩张判断的新增经营事实，故不进入核心证据链。</x:v>
      </x:c>
      <x:c r="W77" s="43" t="n">
        <x:v>5</x:v>
      </x:c>
      <x:c r="X77" s="43" t="str">
        <x:v>无</x:v>
      </x:c>
      <x:c r="Y77" s="43" t="str">
        <x:v>B-CODEX-FIN-01</x:v>
      </x:c>
      <x:c r="Z77" s="49" t="str">
        <x:v>20260826T150309+08:00</x:v>
      </x:c>
    </x:row>
    <x:row r="78" ht="36" hidden="0" customHeight="1">
      <x:c r="A78" s="41" t="str">
        <x:v>77</x:v>
      </x:c>
      <x:c r="B78" s="41" t="str">
        <x:v>G3-E100</x:v>
      </x:c>
      <x:c r="C78" s="41" t="str">
        <x:v>兆易创新</x:v>
      </x:c>
      <x:c r="D78" s="42" t="str">
        <x:v>​603986</x:v>
      </x:c>
      <x:c r="E78" s="41" t="str">
        <x:v>芯片半导体</x:v>
      </x:c>
      <x:c r="F78" s="41" t="str">
        <x:v>A股</x:v>
      </x:c>
      <x:c r="G78" s="42" t="str">
        <x:v>​2026-05-27T00:00:00+08:00</x:v>
      </x:c>
      <x:c r="H78" s="41" t="str">
        <x:v>仅日期（按盘后处理）</x:v>
      </x:c>
      <x:c r="I78" s="41" t="str">
        <x:v>兆易创新关于调整2024年股票期权激励计划相关事项的公告</x:v>
      </x:c>
      <x:c r="J78" s="41" t="str">
        <x:v>http://static.cninfo.com.cn/finalpage/2026-05-27/1225331853.PDF</x:v>
      </x:c>
      <x:c r="K78" s="41" t="str">
        <x:v>存储与 MCU 设计商，需求随下游复苏与库存去化回升，毛利率对存储价格周期高度敏感，需跟踪产品结构</x:v>
      </x:c>
      <x:c r="L78" s="41" t="str">
        <x:v>存储与 MCU 需求随消费电子与工业复苏回升，库存周期见底</x:v>
      </x:c>
      <x:c r="M78" s="41" t="str">
        <x:v>毛利率随产品结构改善回升，不因存储价格波动持续走低</x:v>
      </x:c>
      <x:c r="N78" s="41" t="str">
        <x:v>新品研发与产能储备按计划推进，不出现存货大额跌价</x:v>
      </x:c>
      <x:c r="O78" s="43" t="str">
        <x:v>公司披露《兆易创新关于调整2024年股票期权激励计划相关事项的公告》，事项主要涉及治理、证券变动或程序安排。</x:v>
      </x:c>
      <x:c r="P78" s="43" t="str">
        <x:v>治理/其他</x:v>
      </x:c>
      <x:c r="Q78" s="43" t="str">
        <x:v>无关</x:v>
      </x:c>
      <x:c r="R78" s="43" t="str">
        <x:v>无关</x:v>
      </x:c>
      <x:c r="S78" s="43" t="str">
        <x:v>不适用</x:v>
      </x:c>
      <x:c r="T78" s="43" t="str">
        <x:v>不适用</x:v>
      </x:c>
      <x:c r="U78" s="43" t="str"/>
      <x:c r="V78" s="43" t="str">
        <x:v>公告未提供会改变需求出货、盈利质量或产能扩张判断的新增经营事实，故不进入核心证据链。</x:v>
      </x:c>
      <x:c r="W78" s="43" t="n">
        <x:v>5</x:v>
      </x:c>
      <x:c r="X78" s="43" t="str">
        <x:v>无</x:v>
      </x:c>
      <x:c r="Y78" s="43" t="str">
        <x:v>B-CODEX-FIN-01</x:v>
      </x:c>
      <x:c r="Z78" s="49" t="str">
        <x:v>20260826T150309+08:00</x:v>
      </x:c>
    </x:row>
    <x:row r="79" ht="24" hidden="0" customHeight="1">
      <x:c r="A79" s="41" t="str">
        <x:v>78</x:v>
      </x:c>
      <x:c r="B79" s="41" t="str">
        <x:v>G3-E059</x:v>
      </x:c>
      <x:c r="C79" s="41" t="str">
        <x:v>北方华创</x:v>
      </x:c>
      <x:c r="D79" s="42" t="str">
        <x:v>​002371</x:v>
      </x:c>
      <x:c r="E79" s="41" t="str">
        <x:v>芯片半导体</x:v>
      </x:c>
      <x:c r="F79" s="41" t="str">
        <x:v>A股</x:v>
      </x:c>
      <x:c r="G79" s="42" t="str">
        <x:v>​2025-10-31T00:00:00+08:00</x:v>
      </x:c>
      <x:c r="H79" s="41" t="str">
        <x:v>仅日期（按盘后处理）</x:v>
      </x:c>
      <x:c r="I79" s="41" t="str">
        <x:v>募集资金管理办法（2025年10月)</x:v>
      </x:c>
      <x:c r="J79" s="41" t="str">
        <x:v>http://static.cninfo.com.cn/finalpage/2025-10-31/1224774330.PDF</x:v>
      </x:c>
      <x:c r="K79" s="41" t="str">
        <x:v>前道设备国产化核心标的，晶圆厂扩产与国产化率提升支撑订单与收入，需跟踪毛利率与交付节奏</x:v>
      </x:c>
      <x:c r="L79" s="41" t="str">
        <x:v>半导体设备订单随晶圆厂扩产与国产化率提升保持增长</x:v>
      </x:c>
      <x:c r="M79" s="41" t="str">
        <x:v>规模效应与国产化推进支撑毛利率，不因竞争加剧显著下滑</x:v>
      </x:c>
      <x:c r="N79" s="41" t="str">
        <x:v>产能与交付能力跟上订单增长，合同负债转化不出现明显滞后</x:v>
      </x:c>
      <x:c r="O79" s="43" t="str">
        <x:v>公司披露《募集资金管理办法（2025年10月)》，事项主要涉及治理、证券变动或程序安排。</x:v>
      </x:c>
      <x:c r="P79" s="43" t="str">
        <x:v>治理/其他</x:v>
      </x:c>
      <x:c r="Q79" s="43" t="str">
        <x:v>无关</x:v>
      </x:c>
      <x:c r="R79" s="43" t="str">
        <x:v>无关</x:v>
      </x:c>
      <x:c r="S79" s="43" t="str">
        <x:v>不适用</x:v>
      </x:c>
      <x:c r="T79" s="43" t="str">
        <x:v>不适用</x:v>
      </x:c>
      <x:c r="U79" s="43" t="str"/>
      <x:c r="V79" s="43" t="str">
        <x:v>公告未提供会改变需求出货、盈利质量或产能扩张判断的新增经营事实，故不进入核心证据链。</x:v>
      </x:c>
      <x:c r="W79" s="43" t="n">
        <x:v>5</x:v>
      </x:c>
      <x:c r="X79" s="43" t="str">
        <x:v>无</x:v>
      </x:c>
      <x:c r="Y79" s="43" t="str">
        <x:v>B-CODEX-FIN-01</x:v>
      </x:c>
      <x:c r="Z79" s="49" t="str">
        <x:v>20260826T150309+08:00</x:v>
      </x:c>
    </x:row>
    <x:row r="80" ht="36" hidden="0" customHeight="1">
      <x:c r="A80" s="41" t="str">
        <x:v>79</x:v>
      </x:c>
      <x:c r="B80" s="41" t="str">
        <x:v>G3-E076</x:v>
      </x:c>
      <x:c r="C80" s="41" t="str">
        <x:v>小鹏汽车</x:v>
      </x:c>
      <x:c r="D80" s="42" t="str">
        <x:v>​09868</x:v>
      </x:c>
      <x:c r="E80" s="41" t="str">
        <x:v>新能源汽车</x:v>
      </x:c>
      <x:c r="F80" s="41" t="str">
        <x:v>港股</x:v>
      </x:c>
      <x:c r="G80" s="42" t="str">
        <x:v>​2026-03-27T17:18:11+08:00</x:v>
      </x:c>
      <x:c r="H80" s="41" t="str">
        <x:v>精确</x:v>
      </x:c>
      <x:c r="I80" s="41" t="str">
        <x:v>中文名称（仅供识别）及中文股份简称变更</x:v>
      </x:c>
      <x:c r="J80" s="41" t="str">
        <x:v>http://static.cninfo.com.cn/finalpage/2026-03-27/1225040659.PDF</x:v>
      </x:c>
      <x:c r="K80" s="41" t="str">
        <x:v>新势力整车厂，交付量与车型周期决定收入，毛利率从负值修复中，盈利质量仍是主要风险。港股仅披露中报与年报，季度颗粒度不足</x:v>
      </x:c>
      <x:c r="L80" s="41" t="str">
        <x:v>智能车交付量保持增长，新车型周期带动需求回升</x:v>
      </x:c>
      <x:c r="M80" s="41" t="str">
        <x:v>毛利率随规模与技术服务收入改善，不回落到历史低位</x:v>
      </x:c>
      <x:c r="N80" s="41" t="str">
        <x:v>研发与产能投入可持续，现金流不出现明显恶化</x:v>
      </x:c>
      <x:c r="O80" s="43" t="str">
        <x:v>公司披露《中文名称（仅供识别）及中文股份简称变更》，事项主要涉及治理、证券变动或程序安排。</x:v>
      </x:c>
      <x:c r="P80" s="43" t="str">
        <x:v>治理/其他</x:v>
      </x:c>
      <x:c r="Q80" s="43" t="str">
        <x:v>无关</x:v>
      </x:c>
      <x:c r="R80" s="43" t="str">
        <x:v>无关</x:v>
      </x:c>
      <x:c r="S80" s="43" t="str">
        <x:v>不适用</x:v>
      </x:c>
      <x:c r="T80" s="43" t="str">
        <x:v>不适用</x:v>
      </x:c>
      <x:c r="U80" s="43" t="str"/>
      <x:c r="V80" s="43" t="str">
        <x:v>公告未提供会改变需求出货、盈利质量或产能扩张判断的新增经营事实，故不进入核心证据链。</x:v>
      </x:c>
      <x:c r="W80" s="43" t="n">
        <x:v>5</x:v>
      </x:c>
      <x:c r="X80" s="43" t="str">
        <x:v>无</x:v>
      </x:c>
      <x:c r="Y80" s="43" t="str">
        <x:v>B-CODEX-FIN-01</x:v>
      </x:c>
      <x:c r="Z80" s="49" t="str">
        <x:v>20260826T150309+08:00</x:v>
      </x:c>
    </x:row>
    <x:row r="81" ht="24" hidden="0" customHeight="1">
      <x:c r="A81" s="41" t="str">
        <x:v>80</x:v>
      </x:c>
      <x:c r="B81" s="41" t="str">
        <x:v>G3-E069</x:v>
      </x:c>
      <x:c r="C81" s="41" t="str">
        <x:v>北方华创</x:v>
      </x:c>
      <x:c r="D81" s="42" t="str">
        <x:v>​002371</x:v>
      </x:c>
      <x:c r="E81" s="41" t="str">
        <x:v>芯片半导体</x:v>
      </x:c>
      <x:c r="F81" s="41" t="str">
        <x:v>A股</x:v>
      </x:c>
      <x:c r="G81" s="42" t="str">
        <x:v>​2024-02-29T00:00:00+08:00</x:v>
      </x:c>
      <x:c r="H81" s="41" t="str">
        <x:v>仅日期（按盘后处理）</x:v>
      </x:c>
      <x:c r="I81" s="41" t="str">
        <x:v>关于2019年股票期权与限制性股票激励计划第三个行权期采用自主行权模式的提示性公告</x:v>
      </x:c>
      <x:c r="J81" s="41" t="str">
        <x:v>http://static.cninfo.com.cn/finalpage/2024-02-29/1219208962.PDF</x:v>
      </x:c>
      <x:c r="K81" s="41" t="str">
        <x:v>前道设备国产化核心标的，晶圆厂扩产与国产化率提升支撑订单与收入，需跟踪毛利率与交付节奏</x:v>
      </x:c>
      <x:c r="L81" s="41" t="str">
        <x:v>半导体设备订单随晶圆厂扩产与国产化率提升保持增长</x:v>
      </x:c>
      <x:c r="M81" s="41" t="str">
        <x:v>规模效应与国产化推进支撑毛利率，不因竞争加剧显著下滑</x:v>
      </x:c>
      <x:c r="N81" s="41" t="str">
        <x:v>产能与交付能力跟上订单增长，合同负债转化不出现明显滞后</x:v>
      </x:c>
      <x:c r="O81" s="43" t="str">
        <x:v>公司披露《关于2019年股票期权与限制性股票激励计划第三个行权期采用自主行权模式的提示性公告》，事项主要涉及治理、证券变动或程序安排。</x:v>
      </x:c>
      <x:c r="P81" s="43" t="str">
        <x:v>治理/其他</x:v>
      </x:c>
      <x:c r="Q81" s="43" t="str">
        <x:v>无关</x:v>
      </x:c>
      <x:c r="R81" s="43" t="str">
        <x:v>无关</x:v>
      </x:c>
      <x:c r="S81" s="43" t="str">
        <x:v>不适用</x:v>
      </x:c>
      <x:c r="T81" s="43" t="str">
        <x:v>不适用</x:v>
      </x:c>
      <x:c r="U81" s="43" t="str"/>
      <x:c r="V81" s="43" t="str">
        <x:v>公告未提供会改变需求出货、盈利质量或产能扩张判断的新增经营事实，故不进入核心证据链。</x:v>
      </x:c>
      <x:c r="W81" s="43" t="n">
        <x:v>5</x:v>
      </x:c>
      <x:c r="X81" s="43" t="str">
        <x:v>无</x:v>
      </x:c>
      <x:c r="Y81" s="43" t="str">
        <x:v>B-CODEX-FIN-01</x:v>
      </x:c>
      <x:c r="Z81" s="49" t="str">
        <x:v>20260826T150309+08:00</x:v>
      </x:c>
    </x:row>
    <x:row r="82" ht="24" hidden="0" customHeight="1">
      <x:c r="A82" s="41" t="str">
        <x:v>81</x:v>
      </x:c>
      <x:c r="B82" s="41" t="str">
        <x:v>G3-E102</x:v>
      </x:c>
      <x:c r="C82" s="41" t="str">
        <x:v>恒瑞医药</x:v>
      </x:c>
      <x:c r="D82" s="42" t="str">
        <x:v>​600276</x:v>
      </x:c>
      <x:c r="E82" s="41" t="str">
        <x:v>医药</x:v>
      </x:c>
      <x:c r="F82" s="41" t="str">
        <x:v>A股</x:v>
      </x:c>
      <x:c r="G82" s="42" t="str">
        <x:v>​2026-04-23T00:00:00+08:00</x:v>
      </x:c>
      <x:c r="H82" s="41" t="str">
        <x:v>仅日期（按盘后处理）</x:v>
      </x:c>
      <x:c r="I82" s="41" t="str">
        <x:v>恒瑞医药2026年第一季度报告</x:v>
      </x:c>
      <x:c r="J82" s="41" t="str">
        <x:v>http://static.cninfo.com.cn/finalpage/2026-04-23/1225145521.PDF</x:v>
      </x:c>
      <x:c r="K82" s="41" t="str">
        <x:v>创新药转型期，创新药放量与对外授权接续仿制药集采缺口，毛利率高但集采与研发成败是关键观察点</x:v>
      </x:c>
      <x:c r="L82" s="41" t="str">
        <x:v>创新药放量与授权合作收入接续仿制药集采下滑，研发管线持续推进</x:v>
      </x:c>
      <x:c r="M82" s="41" t="str">
        <x:v>创新药占比提升支撑高毛利率，集采降价不导致盈利持续恶化</x:v>
      </x:c>
      <x:c r="N82" s="41" t="str">
        <x:v>研发投入强度维持，管线推进不出现关键品种研发失败</x:v>
      </x:c>
      <x:c r="O82" s="43" t="str">
        <x:v>公告披露：2026年第一季度创新药销售收入45.26亿元，同比增长25.75%，占药品销售收入61.69%。</x:v>
      </x:c>
      <x:c r="P82" s="43" t="str">
        <x:v>收入/利润</x:v>
      </x:c>
      <x:c r="Q82" s="43" t="str">
        <x:v>H1-需求与出货</x:v>
      </x:c>
      <x:c r="R82" s="43" t="str">
        <x:v>支持</x:v>
      </x:c>
      <x:c r="S82" s="43" t="str">
        <x:v>高</x:v>
      </x:c>
      <x:c r="T82" s="43" t="str">
        <x:v>直接</x:v>
      </x:c>
      <x:c r="U82" s="43" t="str">
        <x:v>2026年第一季度创新药销售收入45.26亿元，同比增长25.75%，占药品销售收入61.69%。</x:v>
      </x:c>
      <x:c r="V82" s="43" t="str">
        <x:v>该事实提高H1-需求与出货的可信度；判断基于公告直接披露的业务指标、阶段进展或风险信息。</x:v>
      </x:c>
      <x:c r="W82" s="43" t="n">
        <x:v>5</x:v>
      </x:c>
      <x:c r="X82" s="43" t="str">
        <x:v>无</x:v>
      </x:c>
      <x:c r="Y82" s="43" t="str">
        <x:v>B-CODEX-FIN-01</x:v>
      </x:c>
      <x:c r="Z82" s="49" t="str">
        <x:v>20260826T150309+08:00</x:v>
      </x:c>
    </x:row>
    <x:row r="83" ht="24" hidden="0" customHeight="1">
      <x:c r="A83" s="41" t="str">
        <x:v>82</x:v>
      </x:c>
      <x:c r="B83" s="41" t="str">
        <x:v>G3-E025</x:v>
      </x:c>
      <x:c r="C83" s="41" t="str">
        <x:v>恒瑞医药</x:v>
      </x:c>
      <x:c r="D83" s="42" t="str">
        <x:v>​600276</x:v>
      </x:c>
      <x:c r="E83" s="41" t="str">
        <x:v>医药</x:v>
      </x:c>
      <x:c r="F83" s="41" t="str">
        <x:v>A股</x:v>
      </x:c>
      <x:c r="G83" s="42" t="str">
        <x:v>​2025-03-31T00:00:00+08:00</x:v>
      </x:c>
      <x:c r="H83" s="41" t="str">
        <x:v>仅日期（按盘后处理）</x:v>
      </x:c>
      <x:c r="I83" s="41" t="str">
        <x:v>恒瑞医药2024年年度报告</x:v>
      </x:c>
      <x:c r="J83" s="41" t="str">
        <x:v>http://static.cninfo.com.cn/finalpage/2025-03-31/1222961962.PDF</x:v>
      </x:c>
      <x:c r="K83" s="41" t="str">
        <x:v>创新药转型期，创新药放量与对外授权接续仿制药集采缺口，毛利率高但集采与研发成败是关键观察点</x:v>
      </x:c>
      <x:c r="L83" s="41" t="str">
        <x:v>创新药放量与授权合作收入接续仿制药集采下滑，研发管线持续推进</x:v>
      </x:c>
      <x:c r="M83" s="41" t="str">
        <x:v>创新药占比提升支撑高毛利率，集采降价不导致盈利持续恶化</x:v>
      </x:c>
      <x:c r="N83" s="41" t="str">
        <x:v>研发投入强度维持，管线推进不出现关键品种研发失败</x:v>
      </x:c>
      <x:c r="O83" s="43" t="str">
        <x:v>公告披露：2024年创新药销售收入138.92亿元，同比增长30.60%；营业收入同比增长22.63%。</x:v>
      </x:c>
      <x:c r="P83" s="43" t="str">
        <x:v>收入/利润</x:v>
      </x:c>
      <x:c r="Q83" s="43" t="str">
        <x:v>H1-需求与出货</x:v>
      </x:c>
      <x:c r="R83" s="43" t="str">
        <x:v>支持</x:v>
      </x:c>
      <x:c r="S83" s="43" t="str">
        <x:v>高</x:v>
      </x:c>
      <x:c r="T83" s="43" t="str">
        <x:v>直接</x:v>
      </x:c>
      <x:c r="U83" s="43" t="str">
        <x:v>2024年创新药销售收入138.92亿元，同比增长30.60%；营业收入同比增长22.63%。</x:v>
      </x:c>
      <x:c r="V83" s="43" t="str">
        <x:v>该事实提高H1-需求与出货的可信度；判断基于公告直接披露的业务指标、阶段进展或风险信息。</x:v>
      </x:c>
      <x:c r="W83" s="43" t="n">
        <x:v>5</x:v>
      </x:c>
      <x:c r="X83" s="43" t="str">
        <x:v>无</x:v>
      </x:c>
      <x:c r="Y83" s="43" t="str">
        <x:v>B-CODEX-FIN-01</x:v>
      </x:c>
      <x:c r="Z83" s="49" t="str">
        <x:v>20260826T150309+08:00</x:v>
      </x:c>
    </x:row>
    <x:row r="84" ht="24" hidden="0" customHeight="1">
      <x:c r="A84" s="41" t="str">
        <x:v>83</x:v>
      </x:c>
      <x:c r="B84" s="41" t="str">
        <x:v>G3-E020</x:v>
      </x:c>
      <x:c r="C84" s="41" t="str">
        <x:v>云南白药</x:v>
      </x:c>
      <x:c r="D84" s="42" t="str">
        <x:v>​000538</x:v>
      </x:c>
      <x:c r="E84" s="41" t="str">
        <x:v>医药</x:v>
      </x:c>
      <x:c r="F84" s="41" t="str">
        <x:v>A股</x:v>
      </x:c>
      <x:c r="G84" s="42" t="str">
        <x:v>​2026-02-11T00:00:00+08:00</x:v>
      </x:c>
      <x:c r="H84" s="41" t="str">
        <x:v>仅日期（按盘后处理）</x:v>
      </x:c>
      <x:c r="I84" s="41" t="str">
        <x:v>关于聘任中药战略科学家、首席科学家的自愿性信息披露公告</x:v>
      </x:c>
      <x:c r="J84" s="41" t="str">
        <x:v>http://static.cninfo.com.cn/finalpage/2026-02-11/1224975081.PDF</x:v>
      </x:c>
      <x:c r="K84" s="41" t="str">
        <x:v>中药与健康消费品，增长平稳，毛利率与渠道结构是主要观察点，历史上曾因证券投资造成业绩波动</x:v>
      </x:c>
      <x:c r="L84" s="41" t="str">
        <x:v>工业药品与健康品渠道保持稳定，不出现持续负增长</x:v>
      </x:c>
      <x:c r="M84" s="41" t="str">
        <x:v>毛利率随产品结构与原料成本波动，不持续低于历史区间</x:v>
      </x:c>
      <x:c r="N84" s="41" t="str">
        <x:v>渠道与品牌投入保持，不出现商誉或投资大额减值</x:v>
      </x:c>
      <x:c r="O84" s="43" t="str">
        <x:v>公告披露：员、研发总监、中药研发总监。现任云南白药集团股份有限公司中药战略科</x:v>
      </x:c>
      <x:c r="P84" s="43" t="str">
        <x:v>研发/注册</x:v>
      </x:c>
      <x:c r="Q84" s="43" t="str">
        <x:v>H3-产能与扩张</x:v>
      </x:c>
      <x:c r="R84" s="43" t="str">
        <x:v>支持</x:v>
      </x:c>
      <x:c r="S84" s="43" t="str">
        <x:v>低</x:v>
      </x:c>
      <x:c r="T84" s="43" t="str">
        <x:v>间接</x:v>
      </x:c>
      <x:c r="U84" s="43" t="str">
        <x:v>员、研发总监、中药研发总监。现任云南白药集团股份有限公司中药战略科</x:v>
      </x:c>
      <x:c r="V84" s="43" t="str">
        <x:v>该事实提高H3-产能与扩张的可信度；判断基于公告直接披露的业务指标、阶段进展或风险信息。</x:v>
      </x:c>
      <x:c r="W84" s="43" t="n">
        <x:v>4</x:v>
      </x:c>
      <x:c r="X84" s="43" t="str">
        <x:v>无</x:v>
      </x:c>
      <x:c r="Y84" s="43" t="str">
        <x:v>B-CODEX-FIN-01</x:v>
      </x:c>
      <x:c r="Z84" s="49" t="str">
        <x:v>20260826T150309+08:00</x:v>
      </x:c>
    </x:row>
    <x:row r="85" ht="36" hidden="0" customHeight="1">
      <x:c r="A85" s="41" t="str">
        <x:v>84</x:v>
      </x:c>
      <x:c r="B85" s="41" t="str">
        <x:v>G3-E006</x:v>
      </x:c>
      <x:c r="C85" s="41" t="str">
        <x:v>小鹏汽车</x:v>
      </x:c>
      <x:c r="D85" s="42" t="str">
        <x:v>​09868</x:v>
      </x:c>
      <x:c r="E85" s="41" t="str">
        <x:v>新能源汽车</x:v>
      </x:c>
      <x:c r="F85" s="41" t="str">
        <x:v>港股</x:v>
      </x:c>
      <x:c r="G85" s="42" t="str">
        <x:v>​2026-04-23T20:48:07+08:00</x:v>
      </x:c>
      <x:c r="H85" s="41" t="str">
        <x:v>精确</x:v>
      </x:c>
      <x:c r="I85" s="41" t="str">
        <x:v>股东周年大会登记日期</x:v>
      </x:c>
      <x:c r="J85" s="41" t="str">
        <x:v>http://static.cninfo.com.cn/finalpage/2026-04-23/1225172357.PDF</x:v>
      </x:c>
      <x:c r="K85" s="41" t="str">
        <x:v>新势力整车厂，交付量与车型周期决定收入，毛利率从负值修复中，盈利质量仍是主要风险。港股仅披露中报与年报，季度颗粒度不足</x:v>
      </x:c>
      <x:c r="L85" s="41" t="str">
        <x:v>智能车交付量保持增长，新车型周期带动需求回升</x:v>
      </x:c>
      <x:c r="M85" s="41" t="str">
        <x:v>毛利率随规模与技术服务收入改善，不回落到历史低位</x:v>
      </x:c>
      <x:c r="N85" s="41" t="str">
        <x:v>研发与产能投入可持续，现金流不出现明显恶化</x:v>
      </x:c>
      <x:c r="O85" s="43" t="str">
        <x:v>公司披露《股东周年大会登记日期》，事项主要涉及治理、证券变动或程序安排。</x:v>
      </x:c>
      <x:c r="P85" s="43" t="str">
        <x:v>治理/其他</x:v>
      </x:c>
      <x:c r="Q85" s="43" t="str">
        <x:v>无关</x:v>
      </x:c>
      <x:c r="R85" s="43" t="str">
        <x:v>无关</x:v>
      </x:c>
      <x:c r="S85" s="43" t="str">
        <x:v>不适用</x:v>
      </x:c>
      <x:c r="T85" s="43" t="str">
        <x:v>不适用</x:v>
      </x:c>
      <x:c r="U85" s="43" t="str"/>
      <x:c r="V85" s="43" t="str">
        <x:v>公告未提供会改变需求出货、盈利质量或产能扩张判断的新增经营事实，故不进入核心证据链。</x:v>
      </x:c>
      <x:c r="W85" s="43" t="n">
        <x:v>5</x:v>
      </x:c>
      <x:c r="X85" s="43" t="str">
        <x:v>无</x:v>
      </x:c>
      <x:c r="Y85" s="43" t="str">
        <x:v>B-CODEX-FIN-01</x:v>
      </x:c>
      <x:c r="Z85" s="49" t="str">
        <x:v>20260826T150309+08:00</x:v>
      </x:c>
    </x:row>
    <x:row r="86" ht="24" hidden="0" customHeight="1">
      <x:c r="A86" s="41" t="str">
        <x:v>85</x:v>
      </x:c>
      <x:c r="B86" s="41" t="str">
        <x:v>G3-E051</x:v>
      </x:c>
      <x:c r="C86" s="41" t="str">
        <x:v>中芯国际</x:v>
      </x:c>
      <x:c r="D86" s="42" t="str">
        <x:v>​688981</x:v>
      </x:c>
      <x:c r="E86" s="41" t="str">
        <x:v>芯片半导体</x:v>
      </x:c>
      <x:c r="F86" s="41" t="str">
        <x:v>A股</x:v>
      </x:c>
      <x:c r="G86" s="42" t="str">
        <x:v>​2026-05-13T00:00:00+08:00</x:v>
      </x:c>
      <x:c r="H86" s="41" t="str">
        <x:v>仅日期（按盘后处理）</x:v>
      </x:c>
      <x:c r="I86" s="41" t="str">
        <x:v>中芯国际集成电路制造有限公司关于发行股份购买资产暨关联交易报告书修订说明的公告</x:v>
      </x:c>
      <x:c r="J86" s="41" t="str">
        <x:v>http://static.cninfo.com.cn/finalpage/2026-05-13/1225300706.PDF</x:v>
      </x:c>
      <x:c r="K86" s="41" t="str">
        <x:v>成熟制程代工龙头，国产替代与产能利用率回升支撑收入，折旧与价格压力是盈利的主要观察点</x:v>
      </x:c>
      <x:c r="L86" s="41" t="str">
        <x:v>成熟制程产能利用率与晶圆出货保持增长，国产替代需求是主要驱动</x:v>
      </x:c>
      <x:c r="M86" s="41" t="str">
        <x:v>毛利率随产能利用率回升，折旧压力不导致盈利持续恶化</x:v>
      </x:c>
      <x:c r="N86" s="41" t="str">
        <x:v>资本开支与扩产节奏匹配下游需求，先进制程投入不出现大额减值</x:v>
      </x:c>
      <x:c r="O86" s="43" t="str">
        <x:v>公司披露《中芯国际集成电路制造有限公司关于发行股份购买资产暨关联交易报告书修订说明的公告》，事项主要涉及治理、证券变动或程序安排。</x:v>
      </x:c>
      <x:c r="P86" s="43" t="str">
        <x:v>治理/其他</x:v>
      </x:c>
      <x:c r="Q86" s="43" t="str">
        <x:v>无关</x:v>
      </x:c>
      <x:c r="R86" s="43" t="str">
        <x:v>无关</x:v>
      </x:c>
      <x:c r="S86" s="43" t="str">
        <x:v>不适用</x:v>
      </x:c>
      <x:c r="T86" s="43" t="str">
        <x:v>不适用</x:v>
      </x:c>
      <x:c r="U86" s="43" t="str"/>
      <x:c r="V86" s="43" t="str">
        <x:v>公告未提供会改变需求出货、盈利质量或产能扩张判断的新增经营事实，故不进入核心证据链。</x:v>
      </x:c>
      <x:c r="W86" s="43" t="n">
        <x:v>5</x:v>
      </x:c>
      <x:c r="X86" s="43" t="str">
        <x:v>无</x:v>
      </x:c>
      <x:c r="Y86" s="43" t="str">
        <x:v>B-CODEX-FIN-01</x:v>
      </x:c>
      <x:c r="Z86" s="49" t="str">
        <x:v>20260826T150309+08:00</x:v>
      </x:c>
    </x:row>
    <x:row r="87" ht="24" hidden="0" customHeight="1">
      <x:c r="A87" s="41" t="str">
        <x:v>86</x:v>
      </x:c>
      <x:c r="B87" s="41" t="str">
        <x:v>G3-E095</x:v>
      </x:c>
      <x:c r="C87" s="41" t="str">
        <x:v>北方华创</x:v>
      </x:c>
      <x:c r="D87" s="42" t="str">
        <x:v>​002371</x:v>
      </x:c>
      <x:c r="E87" s="41" t="str">
        <x:v>芯片半导体</x:v>
      </x:c>
      <x:c r="F87" s="41" t="str">
        <x:v>A股</x:v>
      </x:c>
      <x:c r="G87" s="42" t="str">
        <x:v>​2025-02-18T00:00:00+08:00</x:v>
      </x:c>
      <x:c r="H87" s="41" t="str">
        <x:v>仅日期（按盘后处理）</x:v>
      </x:c>
      <x:c r="I87" s="41" t="str">
        <x:v>关于向全资子公司增资并参与设立北京集成电路装备产业投资并购二期基金暨关联交易的进展公告</x:v>
      </x:c>
      <x:c r="J87" s="41" t="str">
        <x:v>http://static.cninfo.com.cn/finalpage/2025-02-18/1222558599.PDF</x:v>
      </x:c>
      <x:c r="K87" s="41" t="str">
        <x:v>前道设备国产化核心标的，晶圆厂扩产与国产化率提升支撑订单与收入，需跟踪毛利率与交付节奏</x:v>
      </x:c>
      <x:c r="L87" s="41" t="str">
        <x:v>半导体设备订单随晶圆厂扩产与国产化率提升保持增长</x:v>
      </x:c>
      <x:c r="M87" s="41" t="str">
        <x:v>规模效应与国产化推进支撑毛利率，不因竞争加剧显著下滑</x:v>
      </x:c>
      <x:c r="N87" s="41" t="str">
        <x:v>产能与交付能力跟上订单增长，合同负债转化不出现明显滞后</x:v>
      </x:c>
      <x:c r="O87" s="43" t="str">
        <x:v>公告披露：全资子公司参与投建集成电路装备产业投资并购基金，相关交易已取得进展。</x:v>
      </x:c>
      <x:c r="P87" s="43" t="str">
        <x:v>产能/资本开支</x:v>
      </x:c>
      <x:c r="Q87" s="43" t="str">
        <x:v>H3-产能与扩张</x:v>
      </x:c>
      <x:c r="R87" s="43" t="str">
        <x:v>支持</x:v>
      </x:c>
      <x:c r="S87" s="43" t="str">
        <x:v>低</x:v>
      </x:c>
      <x:c r="T87" s="43" t="str">
        <x:v>间接</x:v>
      </x:c>
      <x:c r="U87" s="43" t="str">
        <x:v>全资子公司参与投建集成电路装备产业投资并购基金，相关交易已取得进展。</x:v>
      </x:c>
      <x:c r="V87" s="43" t="str">
        <x:v>该事实提高H3-产能与扩张的可信度；判断基于公告直接披露的业务指标、阶段进展或风险信息。</x:v>
      </x:c>
      <x:c r="W87" s="43" t="n">
        <x:v>4</x:v>
      </x:c>
      <x:c r="X87" s="43" t="str">
        <x:v>无</x:v>
      </x:c>
      <x:c r="Y87" s="43" t="str">
        <x:v>B-CODEX-FIN-01</x:v>
      </x:c>
      <x:c r="Z87" s="49" t="str">
        <x:v>20260826T150309+08:00</x:v>
      </x:c>
    </x:row>
    <x:row r="88" ht="24" hidden="0" customHeight="1">
      <x:c r="A88" s="41" t="str">
        <x:v>87</x:v>
      </x:c>
      <x:c r="B88" s="41" t="str">
        <x:v>G3-E017</x:v>
      </x:c>
      <x:c r="C88" s="41" t="str">
        <x:v>北方华创</x:v>
      </x:c>
      <x:c r="D88" s="42" t="str">
        <x:v>​002371</x:v>
      </x:c>
      <x:c r="E88" s="41" t="str">
        <x:v>芯片半导体</x:v>
      </x:c>
      <x:c r="F88" s="41" t="str">
        <x:v>A股</x:v>
      </x:c>
      <x:c r="G88" s="42" t="str">
        <x:v>​2024-04-30T00:00:00+08:00</x:v>
      </x:c>
      <x:c r="H88" s="41" t="str">
        <x:v>仅日期（按盘后处理）</x:v>
      </x:c>
      <x:c r="I88" s="41" t="str">
        <x:v>关于公司2024年度日常关联交易预计的公告</x:v>
      </x:c>
      <x:c r="J88" s="41" t="str">
        <x:v>http://static.cninfo.com.cn/finalpage/2024-04-30/1219908871.PDF</x:v>
      </x:c>
      <x:c r="K88" s="41" t="str">
        <x:v>前道设备国产化核心标的，晶圆厂扩产与国产化率提升支撑订单与收入，需跟踪毛利率与交付节奏</x:v>
      </x:c>
      <x:c r="L88" s="41" t="str">
        <x:v>半导体设备订单随晶圆厂扩产与国产化率提升保持增长</x:v>
      </x:c>
      <x:c r="M88" s="41" t="str">
        <x:v>规模效应与国产化推进支撑毛利率，不因竞争加剧显著下滑</x:v>
      </x:c>
      <x:c r="N88" s="41" t="str">
        <x:v>产能与交付能力跟上订单增长，合同负债转化不出现明显滞后</x:v>
      </x:c>
      <x:c r="O88" s="43" t="str">
        <x:v>公告披露：租赁、综合服务以及产品销售、采购等有关业务上发生日常关联交易，合计金额</x:v>
      </x:c>
      <x:c r="P88" s="43" t="str">
        <x:v>订单/合同</x:v>
      </x:c>
      <x:c r="Q88" s="43" t="str">
        <x:v>H1-需求与出货</x:v>
      </x:c>
      <x:c r="R88" s="43" t="str">
        <x:v>中性</x:v>
      </x:c>
      <x:c r="S88" s="43" t="str">
        <x:v>低</x:v>
      </x:c>
      <x:c r="T88" s="43" t="str">
        <x:v>间接</x:v>
      </x:c>
      <x:c r="U88" s="43" t="str">
        <x:v>租赁、综合服务以及产品销售、采购等有关业务上发生日常关联交易，合计金额</x:v>
      </x:c>
      <x:c r="V88" s="43" t="str">
        <x:v>该事实涉及但尚不足以改变H1-需求与出货的可信度；判断基于公告直接披露的业务指标、阶段进展或风险信息。</x:v>
      </x:c>
      <x:c r="W88" s="43" t="n">
        <x:v>4</x:v>
      </x:c>
      <x:c r="X88" s="43" t="str">
        <x:v>无</x:v>
      </x:c>
      <x:c r="Y88" s="43" t="str">
        <x:v>B-CODEX-FIN-01</x:v>
      </x:c>
      <x:c r="Z88" s="49" t="str">
        <x:v>20260826T150309+08:00</x:v>
      </x:c>
    </x:row>
    <x:row r="89" ht="24" hidden="0" customHeight="1">
      <x:c r="A89" s="41" t="str">
        <x:v>88</x:v>
      </x:c>
      <x:c r="B89" s="41" t="str">
        <x:v>G3-E098</x:v>
      </x:c>
      <x:c r="C89" s="41" t="str">
        <x:v>吉利汽车</x:v>
      </x:c>
      <x:c r="D89" s="42" t="str">
        <x:v>​00175</x:v>
      </x:c>
      <x:c r="E89" s="41" t="str">
        <x:v>新能源汽车</x:v>
      </x:c>
      <x:c r="F89" s="41" t="str">
        <x:v>港股</x:v>
      </x:c>
      <x:c r="G89" s="42" t="str">
        <x:v>​2024-02-01T17:06:22+08:00</x:v>
      </x:c>
      <x:c r="H89" s="41" t="str">
        <x:v>精确</x:v>
      </x:c>
      <x:c r="I89" s="41" t="str">
        <x:v>未经审核之二零二四年一月销量</x:v>
      </x:c>
      <x:c r="J89" s="41" t="str">
        <x:v>http://static.cninfo.com.cn/finalpage/2024-02-01/1219065223.PDF</x:v>
      </x:c>
      <x:c r="K89" s="41" t="str">
        <x:v>新能源转型见效，销量与出口双增长支撑收入，平台整合与毛利率改善是核心观察点。港股披露频率低于 A 股</x:v>
      </x:c>
      <x:c r="L89" s="41" t="str">
        <x:v>新能源车型销量放量带动整体销量增长，出口贡献增量</x:v>
      </x:c>
      <x:c r="M89" s="41" t="str">
        <x:v>平台化与规模效应改善毛利率，新能源转型不持续拖累盈利</x:v>
      </x:c>
      <x:c r="N89" s="41" t="str">
        <x:v>品牌与平台整合按计划推进，不出现大额整合损失</x:v>
      </x:c>
      <x:c r="O89" s="43" t="str">
        <x:v>公告披露：本集团于二零二四年一月之总销量为213,487部汽车，较去年同期增长约110%。</x:v>
      </x:c>
      <x:c r="P89" s="43" t="str">
        <x:v>产销/需求</x:v>
      </x:c>
      <x:c r="Q89" s="43" t="str">
        <x:v>H1-需求与出货</x:v>
      </x:c>
      <x:c r="R89" s="43" t="str">
        <x:v>支持</x:v>
      </x:c>
      <x:c r="S89" s="43" t="str">
        <x:v>高</x:v>
      </x:c>
      <x:c r="T89" s="43" t="str">
        <x:v>直接</x:v>
      </x:c>
      <x:c r="U89" s="43" t="str">
        <x:v>本集团于二零二四年一月之总销量为213,487部汽车，较去年同期增长约110%。</x:v>
      </x:c>
      <x:c r="V89" s="43" t="str">
        <x:v>该事实提高H1-需求与出货的可信度；判断基于公告直接披露的业务指标、阶段进展或风险信息。</x:v>
      </x:c>
      <x:c r="W89" s="43" t="n">
        <x:v>5</x:v>
      </x:c>
      <x:c r="X89" s="43" t="str">
        <x:v>无</x:v>
      </x:c>
      <x:c r="Y89" s="43" t="str">
        <x:v>B-CODEX-FIN-01</x:v>
      </x:c>
      <x:c r="Z89" s="49" t="str">
        <x:v>20260826T150309+08:00</x:v>
      </x:c>
    </x:row>
    <x:row r="90" ht="36" hidden="0" customHeight="1">
      <x:c r="A90" s="41" t="str">
        <x:v>89</x:v>
      </x:c>
      <x:c r="B90" s="41" t="str">
        <x:v>G3-E004</x:v>
      </x:c>
      <x:c r="C90" s="41" t="str">
        <x:v>兆易创新</x:v>
      </x:c>
      <x:c r="D90" s="42" t="str">
        <x:v>​603986</x:v>
      </x:c>
      <x:c r="E90" s="41" t="str">
        <x:v>芯片半导体</x:v>
      </x:c>
      <x:c r="F90" s="41" t="str">
        <x:v>A股</x:v>
      </x:c>
      <x:c r="G90" s="42" t="str">
        <x:v>​2026-07-30T00:00:00+08:00</x:v>
      </x:c>
      <x:c r="H90" s="41" t="str">
        <x:v>仅日期（按盘后处理）</x:v>
      </x:c>
      <x:c r="I90" s="41" t="str">
        <x:v>兆易创新股东增持股份计划公告</x:v>
      </x:c>
      <x:c r="J90" s="41" t="str">
        <x:v>http://static.cninfo.com.cn/finalpage/2026-07-30/1225447344.PDF</x:v>
      </x:c>
      <x:c r="K90" s="41" t="str">
        <x:v>存储与 MCU 设计商，需求随下游复苏与库存去化回升，毛利率对存储价格周期高度敏感，需跟踪产品结构</x:v>
      </x:c>
      <x:c r="L90" s="41" t="str">
        <x:v>存储与 MCU 需求随消费电子与工业复苏回升，库存周期见底</x:v>
      </x:c>
      <x:c r="M90" s="41" t="str">
        <x:v>毛利率随产品结构改善回升，不因存储价格波动持续走低</x:v>
      </x:c>
      <x:c r="N90" s="41" t="str">
        <x:v>新品研发与产能储备按计划推进，不出现存货大额跌价</x:v>
      </x:c>
      <x:c r="O90" s="43" t="str">
        <x:v>公司披露《兆易创新股东增持股份计划公告》，事项主要涉及治理、证券变动或程序安排。</x:v>
      </x:c>
      <x:c r="P90" s="43" t="str">
        <x:v>治理/其他</x:v>
      </x:c>
      <x:c r="Q90" s="43" t="str">
        <x:v>无关</x:v>
      </x:c>
      <x:c r="R90" s="43" t="str">
        <x:v>无关</x:v>
      </x:c>
      <x:c r="S90" s="43" t="str">
        <x:v>不适用</x:v>
      </x:c>
      <x:c r="T90" s="43" t="str">
        <x:v>不适用</x:v>
      </x:c>
      <x:c r="U90" s="43" t="str"/>
      <x:c r="V90" s="43" t="str">
        <x:v>公告未提供会改变需求出货、盈利质量或产能扩张判断的新增经营事实，故不进入核心证据链。</x:v>
      </x:c>
      <x:c r="W90" s="43" t="n">
        <x:v>5</x:v>
      </x:c>
      <x:c r="X90" s="43" t="str">
        <x:v>无</x:v>
      </x:c>
      <x:c r="Y90" s="43" t="str">
        <x:v>B-CODEX-FIN-01</x:v>
      </x:c>
      <x:c r="Z90" s="49" t="str">
        <x:v>20260826T150309+08:00</x:v>
      </x:c>
    </x:row>
    <x:row r="91" ht="24" hidden="0" customHeight="1">
      <x:c r="A91" s="41" t="str">
        <x:v>90</x:v>
      </x:c>
      <x:c r="B91" s="41" t="str">
        <x:v>G3-E112</x:v>
      </x:c>
      <x:c r="C91" s="41" t="str">
        <x:v>药明康德</x:v>
      </x:c>
      <x:c r="D91" s="42" t="str">
        <x:v>​603259</x:v>
      </x:c>
      <x:c r="E91" s="41" t="str">
        <x:v>医药</x:v>
      </x:c>
      <x:c r="F91" s="41" t="str">
        <x:v>A股</x:v>
      </x:c>
      <x:c r="G91" s="42" t="str">
        <x:v>​2025-09-03T00:00:00+08:00</x:v>
      </x:c>
      <x:c r="H91" s="41" t="str">
        <x:v>仅日期（按盘后处理）</x:v>
      </x:c>
      <x:c r="I91" s="41" t="str">
        <x:v>关于与关联方签署框架协议暨日常关联交易的公告</x:v>
      </x:c>
      <x:c r="J91" s="41" t="str">
        <x:v>http://static.cninfo.com.cn/finalpage/2025-09-03/1224634480.PDF</x:v>
      </x:c>
      <x:c r="K91" s="41" t="str">
        <x:v>全球医药研发外包龙头，订单随创新药投入周期波动，地缘政治与产能利用率是核心风险点</x:v>
      </x:c>
      <x:c r="L91" s="41" t="str">
        <x:v>CXO 订单与在手订单随全球创新药研发投入回暖恢复增长</x:v>
      </x:c>
      <x:c r="M91" s="41" t="str">
        <x:v>产能利用率与项目结构支撑毛利率，不因价格竞争持续走低</x:v>
      </x:c>
      <x:c r="N91" s="41" t="str">
        <x:v>新增产能与地缘政治风险可控，海外基地建设按计划推进</x:v>
      </x:c>
      <x:c r="O91" s="43" t="str">
        <x:v>公告披露：因有效载荷连接子服务需求增长，2025年预计交易金额由1.68亿元提升至2.00亿元。</x:v>
      </x:c>
      <x:c r="P91" s="43" t="str">
        <x:v>订单/合同</x:v>
      </x:c>
      <x:c r="Q91" s="43" t="str">
        <x:v>H1-需求与出货</x:v>
      </x:c>
      <x:c r="R91" s="43" t="str">
        <x:v>支持</x:v>
      </x:c>
      <x:c r="S91" s="43" t="str">
        <x:v>中</x:v>
      </x:c>
      <x:c r="T91" s="43" t="str">
        <x:v>直接</x:v>
      </x:c>
      <x:c r="U91" s="43" t="str">
        <x:v>因有效载荷连接子服务需求增长，2025年预计交易金额由1.68亿元提升至2.00亿元。</x:v>
      </x:c>
      <x:c r="V91" s="43" t="str">
        <x:v>该事实提高H1-需求与出货的可信度；判断基于公告直接披露的业务指标、阶段进展或风险信息。</x:v>
      </x:c>
      <x:c r="W91" s="43" t="n">
        <x:v>5</x:v>
      </x:c>
      <x:c r="X91" s="43" t="str">
        <x:v>无</x:v>
      </x:c>
      <x:c r="Y91" s="43" t="str">
        <x:v>B-CODEX-FIN-01</x:v>
      </x:c>
      <x:c r="Z91" s="49" t="str">
        <x:v>20260826T150309+08:00</x:v>
      </x:c>
    </x:row>
    <x:row r="92" ht="36" hidden="0" customHeight="1">
      <x:c r="A92" s="41" t="str">
        <x:v>91</x:v>
      </x:c>
      <x:c r="B92" s="41" t="str">
        <x:v>G3-E071</x:v>
      </x:c>
      <x:c r="C92" s="41" t="str">
        <x:v>兆易创新</x:v>
      </x:c>
      <x:c r="D92" s="42" t="str">
        <x:v>​603986</x:v>
      </x:c>
      <x:c r="E92" s="41" t="str">
        <x:v>芯片半导体</x:v>
      </x:c>
      <x:c r="F92" s="41" t="str">
        <x:v>A股</x:v>
      </x:c>
      <x:c r="G92" s="42" t="str">
        <x:v>​2025-04-26T00:00:00+08:00</x:v>
      </x:c>
      <x:c r="H92" s="41" t="str">
        <x:v>仅日期（按盘后处理）</x:v>
      </x:c>
      <x:c r="I92" s="41" t="str">
        <x:v>兆易创新关于使用闲置募集资金进行现金管理的公告</x:v>
      </x:c>
      <x:c r="J92" s="41" t="str">
        <x:v>http://static.cninfo.com.cn/finalpage/2025-04-26/1223305106.PDF</x:v>
      </x:c>
      <x:c r="K92" s="41" t="str">
        <x:v>存储与 MCU 设计商，需求随下游复苏与库存去化回升，毛利率对存储价格周期高度敏感，需跟踪产品结构</x:v>
      </x:c>
      <x:c r="L92" s="41" t="str">
        <x:v>存储与 MCU 需求随消费电子与工业复苏回升，库存周期见底</x:v>
      </x:c>
      <x:c r="M92" s="41" t="str">
        <x:v>毛利率随产品结构改善回升，不因存储价格波动持续走低</x:v>
      </x:c>
      <x:c r="N92" s="41" t="str">
        <x:v>新品研发与产能储备按计划推进，不出现存货大额跌价</x:v>
      </x:c>
      <x:c r="O92" s="43" t="str">
        <x:v>公司披露《兆易创新关于使用闲置募集资金进行现金管理的公告》，事项主要涉及治理、证券变动或程序安排。</x:v>
      </x:c>
      <x:c r="P92" s="43" t="str">
        <x:v>治理/其他</x:v>
      </x:c>
      <x:c r="Q92" s="43" t="str">
        <x:v>无关</x:v>
      </x:c>
      <x:c r="R92" s="43" t="str">
        <x:v>无关</x:v>
      </x:c>
      <x:c r="S92" s="43" t="str">
        <x:v>不适用</x:v>
      </x:c>
      <x:c r="T92" s="43" t="str">
        <x:v>不适用</x:v>
      </x:c>
      <x:c r="U92" s="43" t="str"/>
      <x:c r="V92" s="43" t="str">
        <x:v>公告未提供会改变需求出货、盈利质量或产能扩张判断的新增经营事实，故不进入核心证据链。</x:v>
      </x:c>
      <x:c r="W92" s="43" t="n">
        <x:v>5</x:v>
      </x:c>
      <x:c r="X92" s="43" t="str">
        <x:v>无</x:v>
      </x:c>
      <x:c r="Y92" s="43" t="str">
        <x:v>B-CODEX-FIN-01</x:v>
      </x:c>
      <x:c r="Z92" s="49" t="str">
        <x:v>20260826T150309+08:00</x:v>
      </x:c>
    </x:row>
    <x:row r="93" ht="24" hidden="0" customHeight="1">
      <x:c r="A93" s="41" t="str">
        <x:v>92</x:v>
      </x:c>
      <x:c r="B93" s="41" t="str">
        <x:v>G3-E074</x:v>
      </x:c>
      <x:c r="C93" s="41" t="str">
        <x:v>北方华创</x:v>
      </x:c>
      <x:c r="D93" s="42" t="str">
        <x:v>​002371</x:v>
      </x:c>
      <x:c r="E93" s="41" t="str">
        <x:v>芯片半导体</x:v>
      </x:c>
      <x:c r="F93" s="41" t="str">
        <x:v>A股</x:v>
      </x:c>
      <x:c r="G93" s="42" t="str">
        <x:v>​2025-10-18T00:00:00+08:00</x:v>
      </x:c>
      <x:c r="H93" s="41" t="str">
        <x:v>仅日期（按盘后处理）</x:v>
      </x:c>
      <x:c r="I93" s="41" t="str">
        <x:v>关于归还暂时补充流动资金的闲置募集资金的公告</x:v>
      </x:c>
      <x:c r="J93" s="41" t="str">
        <x:v>http://static.cninfo.com.cn/finalpage/2025-10-18/1224718261.PDF</x:v>
      </x:c>
      <x:c r="K93" s="41" t="str">
        <x:v>前道设备国产化核心标的，晶圆厂扩产与国产化率提升支撑订单与收入，需跟踪毛利率与交付节奏</x:v>
      </x:c>
      <x:c r="L93" s="41" t="str">
        <x:v>半导体设备订单随晶圆厂扩产与国产化率提升保持增长</x:v>
      </x:c>
      <x:c r="M93" s="41" t="str">
        <x:v>规模效应与国产化推进支撑毛利率，不因竞争加剧显著下滑</x:v>
      </x:c>
      <x:c r="N93" s="41" t="str">
        <x:v>产能与交付能力跟上订单增长，合同负债转化不出现明显滞后</x:v>
      </x:c>
      <x:c r="O93" s="43" t="str">
        <x:v>公司披露《关于归还暂时补充流动资金的闲置募集资金的公告》，事项主要涉及治理、证券变动或程序安排。</x:v>
      </x:c>
      <x:c r="P93" s="43" t="str">
        <x:v>治理/其他</x:v>
      </x:c>
      <x:c r="Q93" s="43" t="str">
        <x:v>无关</x:v>
      </x:c>
      <x:c r="R93" s="43" t="str">
        <x:v>无关</x:v>
      </x:c>
      <x:c r="S93" s="43" t="str">
        <x:v>不适用</x:v>
      </x:c>
      <x:c r="T93" s="43" t="str">
        <x:v>不适用</x:v>
      </x:c>
      <x:c r="U93" s="43" t="str"/>
      <x:c r="V93" s="43" t="str">
        <x:v>公告未提供会改变需求出货、盈利质量或产能扩张判断的新增经营事实，故不进入核心证据链。</x:v>
      </x:c>
      <x:c r="W93" s="43" t="n">
        <x:v>5</x:v>
      </x:c>
      <x:c r="X93" s="43" t="str">
        <x:v>无</x:v>
      </x:c>
      <x:c r="Y93" s="43" t="str">
        <x:v>B-CODEX-FIN-01</x:v>
      </x:c>
      <x:c r="Z93" s="49" t="str">
        <x:v>20260826T150309+08:00</x:v>
      </x:c>
    </x:row>
    <x:row r="94" ht="24" hidden="0" customHeight="1">
      <x:c r="A94" s="41" t="str">
        <x:v>93</x:v>
      </x:c>
      <x:c r="B94" s="41" t="str">
        <x:v>G3-E061</x:v>
      </x:c>
      <x:c r="C94" s="41" t="str">
        <x:v>中芯国际</x:v>
      </x:c>
      <x:c r="D94" s="42" t="str">
        <x:v>​688981</x:v>
      </x:c>
      <x:c r="E94" s="41" t="str">
        <x:v>芯片半导体</x:v>
      </x:c>
      <x:c r="F94" s="41" t="str">
        <x:v>A股</x:v>
      </x:c>
      <x:c r="G94" s="42" t="str">
        <x:v>​2026-04-09T00:00:00+08:00</x:v>
      </x:c>
      <x:c r="H94" s="41" t="str">
        <x:v>仅日期（按盘后处理）</x:v>
      </x:c>
      <x:c r="I94" s="41" t="str">
        <x:v>港股公告：2025年年报</x:v>
      </x:c>
      <x:c r="J94" s="41" t="str">
        <x:v>http://static.cninfo.com.cn/finalpage/2026-04-09/1225084819.PDF</x:v>
      </x:c>
      <x:c r="K94" s="41" t="str">
        <x:v>成熟制程代工龙头，国产替代与产能利用率回升支撑收入，折旧与价格压力是盈利的主要观察点</x:v>
      </x:c>
      <x:c r="L94" s="41" t="str">
        <x:v>成熟制程产能利用率与晶圆出货保持增长，国产替代需求是主要驱动</x:v>
      </x:c>
      <x:c r="M94" s="41" t="str">
        <x:v>毛利率随产能利用率回升，折旧压力不导致盈利持续恶化</x:v>
      </x:c>
      <x:c r="N94" s="41" t="str">
        <x:v>资本开支与扩产节奏匹配下游需求，先进制程投入不出现大额减值</x:v>
      </x:c>
      <x:c r="O94" s="43" t="str">
        <x:v>公告披露：2025年收入9,326,799千美元，同比增长16.2%；毛利率21.0%，同比增加3.0个百分点；归母净利润575,556千美元，同比增长56.0%。</x:v>
      </x:c>
      <x:c r="P94" s="43" t="str">
        <x:v>收入/利润</x:v>
      </x:c>
      <x:c r="Q94" s="43" t="str">
        <x:v>H2-盈利质量</x:v>
      </x:c>
      <x:c r="R94" s="43" t="str">
        <x:v>支持</x:v>
      </x:c>
      <x:c r="S94" s="43" t="str">
        <x:v>高</x:v>
      </x:c>
      <x:c r="T94" s="43" t="str">
        <x:v>直接</x:v>
      </x:c>
      <x:c r="U94" s="43" t="str">
        <x:v>2025年收入9,326,799千美元，同比增长16.2%；毛利率21.0%，同比增加3.0个百分点；归母净利润575,556千美元，同比增长56.0%。</x:v>
      </x:c>
      <x:c r="V94" s="43" t="str">
        <x:v>该事实提高H2-盈利质量的可信度；判断基于公告直接披露的业务指标、阶段进展或风险信息。</x:v>
      </x:c>
      <x:c r="W94" s="43" t="n">
        <x:v>5</x:v>
      </x:c>
      <x:c r="X94" s="43" t="str">
        <x:v>无</x:v>
      </x:c>
      <x:c r="Y94" s="43" t="str">
        <x:v>B-CODEX-FIN-01</x:v>
      </x:c>
      <x:c r="Z94" s="49" t="str">
        <x:v>20260826T150309+08:00</x:v>
      </x:c>
    </x:row>
    <x:row r="95" ht="24" hidden="0" customHeight="1">
      <x:c r="A95" s="41" t="str">
        <x:v>94</x:v>
      </x:c>
      <x:c r="B95" s="41" t="str">
        <x:v>G3-E091</x:v>
      </x:c>
      <x:c r="C95" s="41" t="str">
        <x:v>药明康德</x:v>
      </x:c>
      <x:c r="D95" s="42" t="str">
        <x:v>​603259</x:v>
      </x:c>
      <x:c r="E95" s="41" t="str">
        <x:v>医药</x:v>
      </x:c>
      <x:c r="F95" s="41" t="str">
        <x:v>A股</x:v>
      </x:c>
      <x:c r="G95" s="42" t="str">
        <x:v>​2026-03-24T00:00:00+08:00</x:v>
      </x:c>
      <x:c r="H95" s="41" t="str">
        <x:v>仅日期（按盘后处理）</x:v>
      </x:c>
      <x:c r="I95" s="41" t="str">
        <x:v>关于2025年度计提资产减值准备的公告</x:v>
      </x:c>
      <x:c r="J95" s="41" t="str">
        <x:v>http://static.cninfo.com.cn/finalpage/2026-03-24/1225025227.PDF</x:v>
      </x:c>
      <x:c r="K95" s="41" t="str">
        <x:v>全球医药研发外包龙头，订单随创新药投入周期波动，地缘政治与产能利用率是核心风险点</x:v>
      </x:c>
      <x:c r="L95" s="41" t="str">
        <x:v>CXO 订单与在手订单随全球创新药研发投入回暖恢复增长</x:v>
      </x:c>
      <x:c r="M95" s="41" t="str">
        <x:v>产能利用率与项目结构支撑毛利率，不因价格竞争持续走低</x:v>
      </x:c>
      <x:c r="N95" s="41" t="str">
        <x:v>新增产能与地缘政治风险可控，海外基地建设按计划推进</x:v>
      </x:c>
      <x:c r="O95" s="43" t="str">
        <x:v>公告披露：2025年度计提各项减值损失106,951.80万元，将等额减少合并报表利润总额。</x:v>
      </x:c>
      <x:c r="P95" s="43" t="str">
        <x:v>收入/利润</x:v>
      </x:c>
      <x:c r="Q95" s="43" t="str">
        <x:v>H2-盈利质量</x:v>
      </x:c>
      <x:c r="R95" s="43" t="str">
        <x:v>冲突</x:v>
      </x:c>
      <x:c r="S95" s="43" t="str">
        <x:v>高</x:v>
      </x:c>
      <x:c r="T95" s="43" t="str">
        <x:v>直接</x:v>
      </x:c>
      <x:c r="U95" s="43" t="str">
        <x:v>2025年度计提各项减值损失106,951.80万元，将等额减少合并报表利润总额。</x:v>
      </x:c>
      <x:c r="V95" s="43" t="str">
        <x:v>该事实降低H2-盈利质量的可信度；判断基于公告直接披露的业务指标、阶段进展或风险信息。</x:v>
      </x:c>
      <x:c r="W95" s="43" t="n">
        <x:v>5</x:v>
      </x:c>
      <x:c r="X95" s="43" t="str">
        <x:v>无</x:v>
      </x:c>
      <x:c r="Y95" s="43" t="str">
        <x:v>B-CODEX-FIN-01</x:v>
      </x:c>
      <x:c r="Z95" s="49" t="str">
        <x:v>20260826T150309+08:00</x:v>
      </x:c>
    </x:row>
    <x:row r="96" ht="24" hidden="0" customHeight="1">
      <x:c r="A96" s="41" t="str">
        <x:v>95</x:v>
      </x:c>
      <x:c r="B96" s="41" t="str">
        <x:v>G3-E104</x:v>
      </x:c>
      <x:c r="C96" s="41" t="str">
        <x:v>北方华创</x:v>
      </x:c>
      <x:c r="D96" s="42" t="str">
        <x:v>​002371</x:v>
      </x:c>
      <x:c r="E96" s="41" t="str">
        <x:v>芯片半导体</x:v>
      </x:c>
      <x:c r="F96" s="41" t="str">
        <x:v>A股</x:v>
      </x:c>
      <x:c r="G96" s="42" t="str">
        <x:v>​2024-10-30T00:00:00+08:00</x:v>
      </x:c>
      <x:c r="H96" s="41" t="str">
        <x:v>仅日期（按盘后处理）</x:v>
      </x:c>
      <x:c r="I96" s="41" t="str">
        <x:v>2024年三季度报告</x:v>
      </x:c>
      <x:c r="J96" s="41" t="str">
        <x:v>http://static.cninfo.com.cn/finalpage/2024-10-30/1221555085.PDF</x:v>
      </x:c>
      <x:c r="K96" s="41" t="str">
        <x:v>前道设备国产化核心标的，晶圆厂扩产与国产化率提升支撑订单与收入，需跟踪毛利率与交付节奏</x:v>
      </x:c>
      <x:c r="L96" s="41" t="str">
        <x:v>半导体设备订单随晶圆厂扩产与国产化率提升保持增长</x:v>
      </x:c>
      <x:c r="M96" s="41" t="str">
        <x:v>规模效应与国产化推进支撑毛利率，不因竞争加剧显著下滑</x:v>
      </x:c>
      <x:c r="N96" s="41" t="str">
        <x:v>产能与交付能力跟上订单增长，合同负债转化不出现明显滞后</x:v>
      </x:c>
      <x:c r="O96" s="43" t="str">
        <x:v>公告披露：2024年1-9月电子工艺装备收入同比增长46.96%，带动营业收入同比增长39.51%。</x:v>
      </x:c>
      <x:c r="P96" s="43" t="str">
        <x:v>收入/利润</x:v>
      </x:c>
      <x:c r="Q96" s="43" t="str">
        <x:v>H1-需求与出货</x:v>
      </x:c>
      <x:c r="R96" s="43" t="str">
        <x:v>支持</x:v>
      </x:c>
      <x:c r="S96" s="43" t="str">
        <x:v>高</x:v>
      </x:c>
      <x:c r="T96" s="43" t="str">
        <x:v>直接</x:v>
      </x:c>
      <x:c r="U96" s="43" t="str">
        <x:v>2024年1-9月电子工艺装备收入同比增长46.96%，带动营业收入同比增长39.51%。</x:v>
      </x:c>
      <x:c r="V96" s="43" t="str">
        <x:v>该事实提高H1-需求与出货的可信度；判断基于公告直接披露的业务指标、阶段进展或风险信息。</x:v>
      </x:c>
      <x:c r="W96" s="43" t="n">
        <x:v>5</x:v>
      </x:c>
      <x:c r="X96" s="43" t="str">
        <x:v>无</x:v>
      </x:c>
      <x:c r="Y96" s="43" t="str">
        <x:v>B-CODEX-FIN-01</x:v>
      </x:c>
      <x:c r="Z96" s="49" t="str">
        <x:v>20260826T150309+08:00</x:v>
      </x:c>
    </x:row>
    <x:row r="97" ht="24" hidden="0" customHeight="1">
      <x:c r="A97" s="41" t="str">
        <x:v>96</x:v>
      </x:c>
      <x:c r="B97" s="41" t="str">
        <x:v>G3-E060</x:v>
      </x:c>
      <x:c r="C97" s="41" t="str">
        <x:v>比亚迪</x:v>
      </x:c>
      <x:c r="D97" s="42" t="str">
        <x:v>​002594</x:v>
      </x:c>
      <x:c r="E97" s="41" t="str">
        <x:v>新能源汽车</x:v>
      </x:c>
      <x:c r="F97" s="41" t="str">
        <x:v>A股</x:v>
      </x:c>
      <x:c r="G97" s="42" t="str">
        <x:v>​2024-12-02T00:00:00+08:00</x:v>
      </x:c>
      <x:c r="H97" s="41" t="str">
        <x:v>仅日期（按盘后处理）</x:v>
      </x:c>
      <x:c r="I97" s="41" t="str">
        <x:v>2024年11月产销快报</x:v>
      </x:c>
      <x:c r="J97" s="41" t="str">
        <x:v>http://static.cninfo.com.cn/finalpage/2024-12-02/1221902564.PDF</x:v>
      </x:c>
      <x:c r="K97" s="41" t="str">
        <x:v>新能源汽车销量与出口结构改善支撑收入，垂直一体化对冲价格战，需跟踪毛利率与海外扩张落地</x:v>
      </x:c>
      <x:c r="L97" s="41" t="str">
        <x:v>新能源汽车销量保持增长，出口占比提升对冲国内价格压力</x:v>
      </x:c>
      <x:c r="M97" s="41" t="str">
        <x:v>规模效应与垂直一体化维持毛利率，价格战不导致盈利持续恶化</x:v>
      </x:c>
      <x:c r="N97" s="41" t="str">
        <x:v>海外工厂与产能扩张按计划落地，不出现大额投资减值</x:v>
      </x:c>
      <x:c r="O97" s="43" t="str">
        <x:v>公告披露：新能源汽车本年累计销量3,757,336辆，去年累计2,683,374辆，累计同比40.02%。</x:v>
      </x:c>
      <x:c r="P97" s="43" t="str">
        <x:v>产销/需求</x:v>
      </x:c>
      <x:c r="Q97" s="43" t="str">
        <x:v>H1-需求与出货</x:v>
      </x:c>
      <x:c r="R97" s="43" t="str">
        <x:v>支持</x:v>
      </x:c>
      <x:c r="S97" s="43" t="str">
        <x:v>高</x:v>
      </x:c>
      <x:c r="T97" s="43" t="str">
        <x:v>直接</x:v>
      </x:c>
      <x:c r="U97" s="43" t="str">
        <x:v>新能源汽车本年累计销量3,757,336辆，去年累计2,683,374辆，累计同比40.02%。</x:v>
      </x:c>
      <x:c r="V97" s="43" t="str">
        <x:v>该事实提高H1-需求与出货的可信度；判断基于公告直接披露的业务指标、阶段进展或风险信息。</x:v>
      </x:c>
      <x:c r="W97" s="43" t="n">
        <x:v>5</x:v>
      </x:c>
      <x:c r="X97" s="43" t="str">
        <x:v>无</x:v>
      </x:c>
      <x:c r="Y97" s="43" t="str">
        <x:v>B-CODEX-FIN-01</x:v>
      </x:c>
      <x:c r="Z97" s="49" t="str">
        <x:v>20260826T150309+08:00</x:v>
      </x:c>
    </x:row>
    <x:row r="98" ht="36" hidden="0" customHeight="1">
      <x:c r="A98" s="41" t="str">
        <x:v>97</x:v>
      </x:c>
      <x:c r="B98" s="41" t="str">
        <x:v>G3-E042</x:v>
      </x:c>
      <x:c r="C98" s="41" t="str">
        <x:v>兆易创新</x:v>
      </x:c>
      <x:c r="D98" s="42" t="str">
        <x:v>​603986</x:v>
      </x:c>
      <x:c r="E98" s="41" t="str">
        <x:v>芯片半导体</x:v>
      </x:c>
      <x:c r="F98" s="41" t="str">
        <x:v>A股</x:v>
      </x:c>
      <x:c r="G98" s="42" t="str">
        <x:v>​2026-06-17T00:00:00+08:00</x:v>
      </x:c>
      <x:c r="H98" s="41" t="str">
        <x:v>仅日期（按盘后处理）</x:v>
      </x:c>
      <x:c r="I98" s="41" t="str">
        <x:v>兆易创新关于2024年股票期权激励计划第二个行权期行权结果暨股份过户登记及上市的公告</x:v>
      </x:c>
      <x:c r="J98" s="41" t="str">
        <x:v>http://static.cninfo.com.cn/finalpage/2026-06-17/1225373802.PDF</x:v>
      </x:c>
      <x:c r="K98" s="41" t="str">
        <x:v>存储与 MCU 设计商，需求随下游复苏与库存去化回升，毛利率对存储价格周期高度敏感，需跟踪产品结构</x:v>
      </x:c>
      <x:c r="L98" s="41" t="str">
        <x:v>存储与 MCU 需求随消费电子与工业复苏回升，库存周期见底</x:v>
      </x:c>
      <x:c r="M98" s="41" t="str">
        <x:v>毛利率随产品结构改善回升，不因存储价格波动持续走低</x:v>
      </x:c>
      <x:c r="N98" s="41" t="str">
        <x:v>新品研发与产能储备按计划推进，不出现存货大额跌价</x:v>
      </x:c>
      <x:c r="O98" s="43" t="str">
        <x:v>公司披露《兆易创新关于2024年股票期权激励计划第二个行权期行权结果暨股份过户登记及上市的公告》，事项主要涉及治理、证券变动或程序安排。</x:v>
      </x:c>
      <x:c r="P98" s="43" t="str">
        <x:v>治理/其他</x:v>
      </x:c>
      <x:c r="Q98" s="43" t="str">
        <x:v>无关</x:v>
      </x:c>
      <x:c r="R98" s="43" t="str">
        <x:v>无关</x:v>
      </x:c>
      <x:c r="S98" s="43" t="str">
        <x:v>不适用</x:v>
      </x:c>
      <x:c r="T98" s="43" t="str">
        <x:v>不适用</x:v>
      </x:c>
      <x:c r="U98" s="43" t="str"/>
      <x:c r="V98" s="43" t="str">
        <x:v>公告未提供会改变需求出货、盈利质量或产能扩张判断的新增经营事实，故不进入核心证据链。</x:v>
      </x:c>
      <x:c r="W98" s="43" t="n">
        <x:v>5</x:v>
      </x:c>
      <x:c r="X98" s="43" t="str">
        <x:v>无</x:v>
      </x:c>
      <x:c r="Y98" s="43" t="str">
        <x:v>B-CODEX-FIN-01</x:v>
      </x:c>
      <x:c r="Z98" s="49" t="str">
        <x:v>20260826T150309+08:00</x:v>
      </x:c>
    </x:row>
    <x:row r="99" ht="24" hidden="0" customHeight="1">
      <x:c r="A99" s="41" t="str">
        <x:v>98</x:v>
      </x:c>
      <x:c r="B99" s="41" t="str">
        <x:v>G3-E052</x:v>
      </x:c>
      <x:c r="C99" s="41" t="str">
        <x:v>恒瑞医药</x:v>
      </x:c>
      <x:c r="D99" s="42" t="str">
        <x:v>​600276</x:v>
      </x:c>
      <x:c r="E99" s="41" t="str">
        <x:v>医药</x:v>
      </x:c>
      <x:c r="F99" s="41" t="str">
        <x:v>A股</x:v>
      </x:c>
      <x:c r="G99" s="42" t="str">
        <x:v>​2025-03-17T00:00:00+08:00</x:v>
      </x:c>
      <x:c r="H99" s="41" t="str">
        <x:v>仅日期（按盘后处理）</x:v>
      </x:c>
      <x:c r="I99" s="41" t="str">
        <x:v>恒瑞医药关于获得药品注册证书的公告</x:v>
      </x:c>
      <x:c r="J99" s="41" t="str">
        <x:v>http://static.cninfo.com.cn/finalpage/2025-03-17/1222816001.PDF</x:v>
      </x:c>
      <x:c r="K99" s="41" t="str">
        <x:v>创新药转型期，创新药放量与对外授权接续仿制药集采缺口，毛利率高但集采与研发成败是关键观察点</x:v>
      </x:c>
      <x:c r="L99" s="41" t="str">
        <x:v>创新药放量与授权合作收入接续仿制药集采下滑，研发管线持续推进</x:v>
      </x:c>
      <x:c r="M99" s="41" t="str">
        <x:v>创新药占比提升支撑高毛利率，集采降价不导致盈利持续恶化</x:v>
      </x:c>
      <x:c r="N99" s="41" t="str">
        <x:v>研发投入强度维持，管线推进不出现关键品种研发失败</x:v>
      </x:c>
      <x:c r="O99" s="43" t="str">
        <x:v>公告披露：册证书》，批准公司自主研发的 1 类创新药富马酸泰吉利定注射液新增适应症，</x:v>
      </x:c>
      <x:c r="P99" s="43" t="str">
        <x:v>研发/注册</x:v>
      </x:c>
      <x:c r="Q99" s="43" t="str">
        <x:v>H1-需求与出货</x:v>
      </x:c>
      <x:c r="R99" s="43" t="str">
        <x:v>支持</x:v>
      </x:c>
      <x:c r="S99" s="43" t="str">
        <x:v>中</x:v>
      </x:c>
      <x:c r="T99" s="43" t="str">
        <x:v>直接</x:v>
      </x:c>
      <x:c r="U99" s="43" t="str">
        <x:v>册证书》，批准公司自主研发的 1 类创新药富马酸泰吉利定注射液新增适应症，</x:v>
      </x:c>
      <x:c r="V99" s="43" t="str">
        <x:v>该事实提高H1-需求与出货的可信度；判断基于公告直接披露的业务指标、阶段进展或风险信息。</x:v>
      </x:c>
      <x:c r="W99" s="43" t="n">
        <x:v>5</x:v>
      </x:c>
      <x:c r="X99" s="43" t="str">
        <x:v>无</x:v>
      </x:c>
      <x:c r="Y99" s="43" t="str">
        <x:v>B-CODEX-FIN-01</x:v>
      </x:c>
      <x:c r="Z99" s="49" t="str">
        <x:v>20260826T150309+08:00</x:v>
      </x:c>
    </x:row>
    <x:row r="100" ht="24" hidden="0" customHeight="1">
      <x:c r="A100" s="41" t="str">
        <x:v>99</x:v>
      </x:c>
      <x:c r="B100" s="41" t="str">
        <x:v>G3-E090</x:v>
      </x:c>
      <x:c r="C100" s="41" t="str">
        <x:v>中芯国际</x:v>
      </x:c>
      <x:c r="D100" s="42" t="str">
        <x:v>​688981</x:v>
      </x:c>
      <x:c r="E100" s="41" t="str">
        <x:v>芯片半导体</x:v>
      </x:c>
      <x:c r="F100" s="41" t="str">
        <x:v>A股</x:v>
      </x:c>
      <x:c r="G100" s="42" t="str">
        <x:v>​2026-01-28T00:00:00+08:00</x:v>
      </x:c>
      <x:c r="H100" s="41" t="str">
        <x:v>仅日期（按盘后处理）</x:v>
      </x:c>
      <x:c r="I100" s="41" t="str">
        <x:v>中芯国际关于召开2025年第四季度业绩说明会的预告公告</x:v>
      </x:c>
      <x:c r="J100" s="41" t="str">
        <x:v>http://static.cninfo.com.cn/finalpage/2026-01-28/1224952956.PDF</x:v>
      </x:c>
      <x:c r="K100" s="41" t="str">
        <x:v>成熟制程代工龙头，国产替代与产能利用率回升支撑收入，折旧与价格压力是盈利的主要观察点</x:v>
      </x:c>
      <x:c r="L100" s="41" t="str">
        <x:v>成熟制程产能利用率与晶圆出货保持增长，国产替代需求是主要驱动</x:v>
      </x:c>
      <x:c r="M100" s="41" t="str">
        <x:v>毛利率随产能利用率回升，折旧压力不导致盈利持续恶化</x:v>
      </x:c>
      <x:c r="N100" s="41" t="str">
        <x:v>资本开支与扩产节奏匹配下游需求，先进制程投入不出现大额减值</x:v>
      </x:c>
      <x:c r="O100" s="43" t="str">
        <x:v>公司披露《中芯国际关于召开2025年第四季度业绩说明会的预告公告》，事项主要涉及治理、证券变动或程序安排。</x:v>
      </x:c>
      <x:c r="P100" s="43" t="str">
        <x:v>治理/其他</x:v>
      </x:c>
      <x:c r="Q100" s="43" t="str">
        <x:v>无关</x:v>
      </x:c>
      <x:c r="R100" s="43" t="str">
        <x:v>无关</x:v>
      </x:c>
      <x:c r="S100" s="43" t="str">
        <x:v>不适用</x:v>
      </x:c>
      <x:c r="T100" s="43" t="str">
        <x:v>不适用</x:v>
      </x:c>
      <x:c r="U100" s="43" t="str"/>
      <x:c r="V100" s="43" t="str">
        <x:v>公告未提供会改变需求出货、盈利质量或产能扩张判断的新增经营事实，故不进入核心证据链。</x:v>
      </x:c>
      <x:c r="W100" s="43" t="n">
        <x:v>5</x:v>
      </x:c>
      <x:c r="X100" s="43" t="str">
        <x:v>无</x:v>
      </x:c>
      <x:c r="Y100" s="43" t="str">
        <x:v>B-CODEX-FIN-01</x:v>
      </x:c>
      <x:c r="Z100" s="49" t="str">
        <x:v>20260826T150309+08:00</x:v>
      </x:c>
    </x:row>
    <x:row r="101" ht="36" hidden="0" customHeight="1">
      <x:c r="A101" s="41" t="str">
        <x:v>100</x:v>
      </x:c>
      <x:c r="B101" s="41" t="str">
        <x:v>G3-E106</x:v>
      </x:c>
      <x:c r="C101" s="41" t="str">
        <x:v>小鹏汽车</x:v>
      </x:c>
      <x:c r="D101" s="42" t="str">
        <x:v>​09868</x:v>
      </x:c>
      <x:c r="E101" s="41" t="str">
        <x:v>新能源汽车</x:v>
      </x:c>
      <x:c r="F101" s="41" t="str">
        <x:v>港股</x:v>
      </x:c>
      <x:c r="G101" s="42" t="str">
        <x:v>​2026-03-05T17:34:11+08:00</x:v>
      </x:c>
      <x:c r="H101" s="41" t="str">
        <x:v>精确</x:v>
      </x:c>
      <x:c r="I101" s="41" t="str">
        <x:v>董事会会议通告</x:v>
      </x:c>
      <x:c r="J101" s="41" t="str">
        <x:v>http://static.cninfo.com.cn/finalpage/2026-03-05/1224997456.PDF</x:v>
      </x:c>
      <x:c r="K101" s="41" t="str">
        <x:v>新势力整车厂，交付量与车型周期决定收入，毛利率从负值修复中，盈利质量仍是主要风险。港股仅披露中报与年报，季度颗粒度不足</x:v>
      </x:c>
      <x:c r="L101" s="41" t="str">
        <x:v>智能车交付量保持增长，新车型周期带动需求回升</x:v>
      </x:c>
      <x:c r="M101" s="41" t="str">
        <x:v>毛利率随规模与技术服务收入改善，不回落到历史低位</x:v>
      </x:c>
      <x:c r="N101" s="41" t="str">
        <x:v>研发与产能投入可持续，现金流不出现明显恶化</x:v>
      </x:c>
      <x:c r="O101" s="43" t="str">
        <x:v>公司披露《董事会会议通告》，事项主要涉及治理、证券变动或程序安排。</x:v>
      </x:c>
      <x:c r="P101" s="43" t="str">
        <x:v>治理/其他</x:v>
      </x:c>
      <x:c r="Q101" s="43" t="str">
        <x:v>无关</x:v>
      </x:c>
      <x:c r="R101" s="43" t="str">
        <x:v>无关</x:v>
      </x:c>
      <x:c r="S101" s="43" t="str">
        <x:v>不适用</x:v>
      </x:c>
      <x:c r="T101" s="43" t="str">
        <x:v>不适用</x:v>
      </x:c>
      <x:c r="U101" s="43" t="str"/>
      <x:c r="V101" s="43" t="str">
        <x:v>公告未提供会改变需求出货、盈利质量或产能扩张判断的新增经营事实，故不进入核心证据链。</x:v>
      </x:c>
      <x:c r="W101" s="43" t="n">
        <x:v>5</x:v>
      </x:c>
      <x:c r="X101" s="43" t="str">
        <x:v>无</x:v>
      </x:c>
      <x:c r="Y101" s="43" t="str">
        <x:v>B-CODEX-FIN-01</x:v>
      </x:c>
      <x:c r="Z101" s="49" t="str">
        <x:v>20260826T150309+08:00</x:v>
      </x:c>
    </x:row>
    <x:row r="102" ht="36" hidden="0" customHeight="1">
      <x:c r="A102" s="41" t="str">
        <x:v>101</x:v>
      </x:c>
      <x:c r="B102" s="41" t="str">
        <x:v>G3-E120</x:v>
      </x:c>
      <x:c r="C102" s="41" t="str">
        <x:v>小鹏汽车</x:v>
      </x:c>
      <x:c r="D102" s="42" t="str">
        <x:v>​09868</x:v>
      </x:c>
      <x:c r="E102" s="41" t="str">
        <x:v>新能源汽车</x:v>
      </x:c>
      <x:c r="F102" s="41" t="str">
        <x:v>港股</x:v>
      </x:c>
      <x:c r="G102" s="42" t="str">
        <x:v>​2024-04-17T17:18:27+08:00</x:v>
      </x:c>
      <x:c r="H102" s="41" t="str">
        <x:v>精确</x:v>
      </x:c>
      <x:c r="I102" s="41" t="str">
        <x:v>自愿公告 与大众汽车集团签订电子电气架构技术战略合作框架协议</x:v>
      </x:c>
      <x:c r="J102" s="41" t="str">
        <x:v>http://static.cninfo.com.cn/finalpage/2024-04-17/1219647424.PDF</x:v>
      </x:c>
      <x:c r="K102" s="41" t="str">
        <x:v>新势力整车厂，交付量与车型周期决定收入，毛利率从负值修复中，盈利质量仍是主要风险。港股仅披露中报与年报，季度颗粒度不足</x:v>
      </x:c>
      <x:c r="L102" s="41" t="str">
        <x:v>智能车交付量保持增长，新车型周期带动需求回升</x:v>
      </x:c>
      <x:c r="M102" s="41" t="str">
        <x:v>毛利率随规模与技术服务收入改善，不回落到历史低位</x:v>
      </x:c>
      <x:c r="N102" s="41" t="str">
        <x:v>研发与产能投入可持续，现金流不出现明显恶化</x:v>
      </x:c>
      <x:c r="O102" s="43" t="str">
        <x:v>公告披露：公司与大众汽车集团签署扩展电子电气架构战略技术合作联合开发协议。</x:v>
      </x:c>
      <x:c r="P102" s="43" t="str">
        <x:v>订单/合同</x:v>
      </x:c>
      <x:c r="Q102" s="43" t="str">
        <x:v>H1-需求与出货</x:v>
      </x:c>
      <x:c r="R102" s="43" t="str">
        <x:v>支持</x:v>
      </x:c>
      <x:c r="S102" s="43" t="str">
        <x:v>中</x:v>
      </x:c>
      <x:c r="T102" s="43" t="str">
        <x:v>间接</x:v>
      </x:c>
      <x:c r="U102" s="43" t="str">
        <x:v>公司与大众汽车集团签署扩展电子电气架构战略技术合作联合开发协议。</x:v>
      </x:c>
      <x:c r="V102" s="43" t="str">
        <x:v>该事实提高H1-需求与出货的可信度；判断基于公告直接披露的业务指标、阶段进展或风险信息。</x:v>
      </x:c>
      <x:c r="W102" s="43" t="n">
        <x:v>4</x:v>
      </x:c>
      <x:c r="X102" s="43" t="str">
        <x:v>无</x:v>
      </x:c>
      <x:c r="Y102" s="43" t="str">
        <x:v>B-CODEX-FIN-01</x:v>
      </x:c>
      <x:c r="Z102" s="49" t="str">
        <x:v>20260826T150309+08:00</x:v>
      </x:c>
    </x:row>
    <x:row r="103" ht="24" hidden="0" customHeight="1">
      <x:c r="A103" s="41" t="str">
        <x:v>102</x:v>
      </x:c>
      <x:c r="B103" s="41" t="str">
        <x:v>G3-E016</x:v>
      </x:c>
      <x:c r="C103" s="41" t="str">
        <x:v>吉利汽车</x:v>
      </x:c>
      <x:c r="D103" s="42" t="str">
        <x:v>​00175</x:v>
      </x:c>
      <x:c r="E103" s="41" t="str">
        <x:v>新能源汽车</x:v>
      </x:c>
      <x:c r="F103" s="41" t="str">
        <x:v>港股</x:v>
      </x:c>
      <x:c r="G103" s="42" t="str">
        <x:v>​2025-10-01T23:59:59+08:00</x:v>
      </x:c>
      <x:c r="H103" s="41" t="str">
        <x:v>精确</x:v>
      </x:c>
      <x:c r="I103" s="41" t="str">
        <x:v>未经审核之二零二五年九月销量</x:v>
      </x:c>
      <x:c r="J103" s="41" t="str">
        <x:v>http://static.cninfo.com.cn/finalpage/2025-10-01/1224697779.PDF</x:v>
      </x:c>
      <x:c r="K103" s="41" t="str">
        <x:v>新能源转型见效，销量与出口双增长支撑收入，平台整合与毛利率改善是核心观察点。港股披露频率低于 A 股</x:v>
      </x:c>
      <x:c r="L103" s="41" t="str">
        <x:v>新能源车型销量放量带动整体销量增长，出口贡献增量</x:v>
      </x:c>
      <x:c r="M103" s="41" t="str">
        <x:v>平台化与规模效应改善毛利率，新能源转型不持续拖累盈利</x:v>
      </x:c>
      <x:c r="N103" s="41" t="str">
        <x:v>品牌与平台整合按计划推进，不出现大额整合损失</x:v>
      </x:c>
      <x:c r="O103" s="43" t="str">
        <x:v>公告披露：汽车总销量273,125部，去年同期201,949部，同比增加35%。</x:v>
      </x:c>
      <x:c r="P103" s="43" t="str">
        <x:v>产销/需求</x:v>
      </x:c>
      <x:c r="Q103" s="43" t="str">
        <x:v>H1-需求与出货</x:v>
      </x:c>
      <x:c r="R103" s="43" t="str">
        <x:v>支持</x:v>
      </x:c>
      <x:c r="S103" s="43" t="str">
        <x:v>高</x:v>
      </x:c>
      <x:c r="T103" s="43" t="str">
        <x:v>直接</x:v>
      </x:c>
      <x:c r="U103" s="43" t="str">
        <x:v>汽车总销量273,125部，去年同期201,949部，同比增加35%。</x:v>
      </x:c>
      <x:c r="V103" s="43" t="str">
        <x:v>该事实提高H1-需求与出货的可信度；判断基于公告直接披露的业务指标、阶段进展或风险信息。</x:v>
      </x:c>
      <x:c r="W103" s="43" t="n">
        <x:v>5</x:v>
      </x:c>
      <x:c r="X103" s="43" t="str">
        <x:v>无</x:v>
      </x:c>
      <x:c r="Y103" s="43" t="str">
        <x:v>B-CODEX-FIN-01</x:v>
      </x:c>
      <x:c r="Z103" s="49" t="str">
        <x:v>20260826T150309+08:00</x:v>
      </x:c>
    </x:row>
    <x:row r="104" ht="24" hidden="0" customHeight="1">
      <x:c r="A104" s="41" t="str">
        <x:v>103</x:v>
      </x:c>
      <x:c r="B104" s="41" t="str">
        <x:v>G3-E037</x:v>
      </x:c>
      <x:c r="C104" s="41" t="str">
        <x:v>恒瑞医药</x:v>
      </x:c>
      <x:c r="D104" s="42" t="str">
        <x:v>​600276</x:v>
      </x:c>
      <x:c r="E104" s="41" t="str">
        <x:v>医药</x:v>
      </x:c>
      <x:c r="F104" s="41" t="str">
        <x:v>A股</x:v>
      </x:c>
      <x:c r="G104" s="42" t="str">
        <x:v>​2024-02-01T00:00:00+08:00</x:v>
      </x:c>
      <x:c r="H104" s="41" t="str">
        <x:v>仅日期（按盘后处理）</x:v>
      </x:c>
      <x:c r="I104" s="41" t="str">
        <x:v>恒瑞医药关于获得药品注册证书的公告</x:v>
      </x:c>
      <x:c r="J104" s="41" t="str">
        <x:v>http://static.cninfo.com.cn/finalpage/2024-02-01/1219055661.PDF</x:v>
      </x:c>
      <x:c r="K104" s="41" t="str">
        <x:v>创新药转型期，创新药放量与对外授权接续仿制药集采缺口，毛利率高但集采与研发成败是关键观察点</x:v>
      </x:c>
      <x:c r="L104" s="41" t="str">
        <x:v>创新药放量与授权合作收入接续仿制药集采下滑，研发管线持续推进</x:v>
      </x:c>
      <x:c r="M104" s="41" t="str">
        <x:v>创新药占比提升支撑高毛利率，集采降价不导致盈利持续恶化</x:v>
      </x:c>
      <x:c r="N104" s="41" t="str">
        <x:v>研发投入强度维持，管线推进不出现关键品种研发失败</x:v>
      </x:c>
      <x:c r="O104" s="43" t="str">
        <x:v>公告披露：管理局（以下简称“国家药监局”）核准签发的《药品注册证书》，批准公司自</x:v>
      </x:c>
      <x:c r="P104" s="43" t="str">
        <x:v>研发/注册</x:v>
      </x:c>
      <x:c r="Q104" s="43" t="str">
        <x:v>H1-需求与出货</x:v>
      </x:c>
      <x:c r="R104" s="43" t="str">
        <x:v>支持</x:v>
      </x:c>
      <x:c r="S104" s="43" t="str">
        <x:v>中</x:v>
      </x:c>
      <x:c r="T104" s="43" t="str">
        <x:v>直接</x:v>
      </x:c>
      <x:c r="U104" s="43" t="str">
        <x:v>管理局（以下简称“国家药监局”）核准签发的《药品注册证书》，批准公司自</x:v>
      </x:c>
      <x:c r="V104" s="43" t="str">
        <x:v>该事实提高H1-需求与出货的可信度；判断基于公告直接披露的业务指标、阶段进展或风险信息。</x:v>
      </x:c>
      <x:c r="W104" s="43" t="n">
        <x:v>5</x:v>
      </x:c>
      <x:c r="X104" s="43" t="str">
        <x:v>无</x:v>
      </x:c>
      <x:c r="Y104" s="43" t="str">
        <x:v>B-CODEX-FIN-01</x:v>
      </x:c>
      <x:c r="Z104" s="49" t="str">
        <x:v>20260826T150309+08:00</x:v>
      </x:c>
    </x:row>
    <x:row r="105" ht="24" hidden="0" customHeight="1">
      <x:c r="A105" s="41" t="str">
        <x:v>104</x:v>
      </x:c>
      <x:c r="B105" s="41" t="str">
        <x:v>G3-E108</x:v>
      </x:c>
      <x:c r="C105" s="41" t="str">
        <x:v>中芯国际</x:v>
      </x:c>
      <x:c r="D105" s="42" t="str">
        <x:v>​688981</x:v>
      </x:c>
      <x:c r="E105" s="41" t="str">
        <x:v>芯片半导体</x:v>
      </x:c>
      <x:c r="F105" s="41" t="str">
        <x:v>A股</x:v>
      </x:c>
      <x:c r="G105" s="42" t="str">
        <x:v>​2026-02-11T00:00:00+08:00</x:v>
      </x:c>
      <x:c r="H105" s="41" t="str">
        <x:v>仅日期（按盘后处理）</x:v>
      </x:c>
      <x:c r="I105" s="41" t="str">
        <x:v>中芯国际2025年第四季度业绩快报公告</x:v>
      </x:c>
      <x:c r="J105" s="41" t="str">
        <x:v>http://static.cninfo.com.cn/finalpage/2026-02-11/1224974869.PDF</x:v>
      </x:c>
      <x:c r="K105" s="41" t="str">
        <x:v>成熟制程代工龙头，国产替代与产能利用率回升支撑收入，折旧与价格压力是盈利的主要观察点</x:v>
      </x:c>
      <x:c r="L105" s="41" t="str">
        <x:v>成熟制程产能利用率与晶圆出货保持增长，国产替代需求是主要驱动</x:v>
      </x:c>
      <x:c r="M105" s="41" t="str">
        <x:v>毛利率随产能利用率回升，折旧压力不导致盈利持续恶化</x:v>
      </x:c>
      <x:c r="N105" s="41" t="str">
        <x:v>资本开支与扩产节奏匹配下游需求，先进制程投入不出现大额减值</x:v>
      </x:c>
      <x:c r="O105" s="43" t="str">
        <x:v>公告披露：2025年毛利率21.0%，同比上升3.0个百分点；年平均产能利用率93.5%，同比提升8个百分点。</x:v>
      </x:c>
      <x:c r="P105" s="43" t="str">
        <x:v>收入/利润</x:v>
      </x:c>
      <x:c r="Q105" s="43" t="str">
        <x:v>H2-盈利质量</x:v>
      </x:c>
      <x:c r="R105" s="43" t="str">
        <x:v>支持</x:v>
      </x:c>
      <x:c r="S105" s="43" t="str">
        <x:v>高</x:v>
      </x:c>
      <x:c r="T105" s="43" t="str">
        <x:v>直接</x:v>
      </x:c>
      <x:c r="U105" s="43" t="str">
        <x:v>2025年毛利率21.0%，同比上升3.0个百分点；年平均产能利用率93.5%，同比提升8个百分点。</x:v>
      </x:c>
      <x:c r="V105" s="43" t="str">
        <x:v>该事实提高H2-盈利质量的可信度；判断基于公告直接披露的业务指标、阶段进展或风险信息。</x:v>
      </x:c>
      <x:c r="W105" s="43" t="n">
        <x:v>5</x:v>
      </x:c>
      <x:c r="X105" s="43" t="str">
        <x:v>无</x:v>
      </x:c>
      <x:c r="Y105" s="43" t="str">
        <x:v>B-CODEX-FIN-01</x:v>
      </x:c>
      <x:c r="Z105" s="49" t="str">
        <x:v>20260826T150309+08:00</x:v>
      </x:c>
    </x:row>
    <x:row r="106" ht="36" hidden="0" customHeight="1">
      <x:c r="A106" s="41" t="str">
        <x:v>105</x:v>
      </x:c>
      <x:c r="B106" s="41" t="str">
        <x:v>G3-E001</x:v>
      </x:c>
      <x:c r="C106" s="41" t="str">
        <x:v>兆易创新</x:v>
      </x:c>
      <x:c r="D106" s="42" t="str">
        <x:v>​603986</x:v>
      </x:c>
      <x:c r="E106" s="41" t="str">
        <x:v>芯片半导体</x:v>
      </x:c>
      <x:c r="F106" s="41" t="str">
        <x:v>A股</x:v>
      </x:c>
      <x:c r="G106" s="42" t="str">
        <x:v>​2026-08-01T00:00:00+08:00</x:v>
      </x:c>
      <x:c r="H106" s="41" t="str">
        <x:v>仅日期（按盘后处理）</x:v>
      </x:c>
      <x:c r="I106" s="41" t="str">
        <x:v>兆易创新第五届董事会第十四次会议决议公告</x:v>
      </x:c>
      <x:c r="J106" s="41" t="str">
        <x:v>http://static.cninfo.com.cn/finalpage/2026-08-01/1225450991.PDF</x:v>
      </x:c>
      <x:c r="K106" s="41" t="str">
        <x:v>存储与 MCU 设计商，需求随下游复苏与库存去化回升，毛利率对存储价格周期高度敏感，需跟踪产品结构</x:v>
      </x:c>
      <x:c r="L106" s="41" t="str">
        <x:v>存储与 MCU 需求随消费电子与工业复苏回升，库存周期见底</x:v>
      </x:c>
      <x:c r="M106" s="41" t="str">
        <x:v>毛利率随产品结构改善回升，不因存储价格波动持续走低</x:v>
      </x:c>
      <x:c r="N106" s="41" t="str">
        <x:v>新品研发与产能储备按计划推进，不出现存货大额跌价</x:v>
      </x:c>
      <x:c r="O106" s="43" t="str">
        <x:v>公司披露《兆易创新第五届董事会第十四次会议决议公告》，事项主要涉及治理、证券变动或程序安排。</x:v>
      </x:c>
      <x:c r="P106" s="43" t="str">
        <x:v>治理/其他</x:v>
      </x:c>
      <x:c r="Q106" s="43" t="str">
        <x:v>无关</x:v>
      </x:c>
      <x:c r="R106" s="43" t="str">
        <x:v>无关</x:v>
      </x:c>
      <x:c r="S106" s="43" t="str">
        <x:v>不适用</x:v>
      </x:c>
      <x:c r="T106" s="43" t="str">
        <x:v>不适用</x:v>
      </x:c>
      <x:c r="U106" s="43" t="str"/>
      <x:c r="V106" s="43" t="str">
        <x:v>公告未提供会改变需求出货、盈利质量或产能扩张判断的新增经营事实，故不进入核心证据链。</x:v>
      </x:c>
      <x:c r="W106" s="43" t="n">
        <x:v>5</x:v>
      </x:c>
      <x:c r="X106" s="43" t="str">
        <x:v>无</x:v>
      </x:c>
      <x:c r="Y106" s="43" t="str">
        <x:v>B-CODEX-FIN-01</x:v>
      </x:c>
      <x:c r="Z106" s="49" t="str">
        <x:v>20260826T150309+08:00</x:v>
      </x:c>
    </x:row>
    <x:row r="107" ht="36" hidden="0" customHeight="1">
      <x:c r="A107" s="41" t="str">
        <x:v>106</x:v>
      </x:c>
      <x:c r="B107" s="41" t="str">
        <x:v>G3-E034</x:v>
      </x:c>
      <x:c r="C107" s="41" t="str">
        <x:v>兆易创新</x:v>
      </x:c>
      <x:c r="D107" s="42" t="str">
        <x:v>​603986</x:v>
      </x:c>
      <x:c r="E107" s="41" t="str">
        <x:v>芯片半导体</x:v>
      </x:c>
      <x:c r="F107" s="41" t="str">
        <x:v>A股</x:v>
      </x:c>
      <x:c r="G107" s="42" t="str">
        <x:v>​2024-08-21T00:00:00+08:00</x:v>
      </x:c>
      <x:c r="H107" s="41" t="str">
        <x:v>仅日期（按盘后处理）</x:v>
      </x:c>
      <x:c r="I107" s="41" t="str">
        <x:v>兆易创新2024年半年度募集资金存放与实际使用情况专项报告</x:v>
      </x:c>
      <x:c r="J107" s="41" t="str">
        <x:v>http://static.cninfo.com.cn/finalpage/2024-08-21/1220923954.PDF</x:v>
      </x:c>
      <x:c r="K107" s="41" t="str">
        <x:v>存储与 MCU 设计商，需求随下游复苏与库存去化回升，毛利率对存储价格周期高度敏感，需跟踪产品结构</x:v>
      </x:c>
      <x:c r="L107" s="41" t="str">
        <x:v>存储与 MCU 需求随消费电子与工业复苏回升，库存周期见底</x:v>
      </x:c>
      <x:c r="M107" s="41" t="str">
        <x:v>毛利率随产品结构改善回升，不因存储价格波动持续走低</x:v>
      </x:c>
      <x:c r="N107" s="41" t="str">
        <x:v>新品研发与产能储备按计划推进，不出现存货大额跌价</x:v>
      </x:c>
      <x:c r="O107" s="43" t="str">
        <x:v>公告披露：截至2024年6月30日，募集资金累计投入150,135.03万元，用于DRAM等募投项目。</x:v>
      </x:c>
      <x:c r="P107" s="43" t="str">
        <x:v>产能/资本开支</x:v>
      </x:c>
      <x:c r="Q107" s="43" t="str">
        <x:v>H3-产能与扩张</x:v>
      </x:c>
      <x:c r="R107" s="43" t="str">
        <x:v>支持</x:v>
      </x:c>
      <x:c r="S107" s="43" t="str">
        <x:v>中</x:v>
      </x:c>
      <x:c r="T107" s="43" t="str">
        <x:v>直接</x:v>
      </x:c>
      <x:c r="U107" s="43" t="str">
        <x:v>截至2024年6月30日，募集资金累计投入150,135.03万元，用于DRAM等募投项目。</x:v>
      </x:c>
      <x:c r="V107" s="43" t="str">
        <x:v>该事实提高H3-产能与扩张的可信度；判断基于公告直接披露的业务指标、阶段进展或风险信息。</x:v>
      </x:c>
      <x:c r="W107" s="43" t="n">
        <x:v>5</x:v>
      </x:c>
      <x:c r="X107" s="43" t="str">
        <x:v>无</x:v>
      </x:c>
      <x:c r="Y107" s="43" t="str">
        <x:v>B-CODEX-FIN-01</x:v>
      </x:c>
      <x:c r="Z107" s="49" t="str">
        <x:v>20260826T150309+08:00</x:v>
      </x:c>
    </x:row>
    <x:row r="108" ht="24" hidden="0" customHeight="1">
      <x:c r="A108" s="41" t="str">
        <x:v>107</x:v>
      </x:c>
      <x:c r="B108" s="41" t="str">
        <x:v>G3-E047</x:v>
      </x:c>
      <x:c r="C108" s="41" t="str">
        <x:v>恒瑞医药</x:v>
      </x:c>
      <x:c r="D108" s="42" t="str">
        <x:v>​600276</x:v>
      </x:c>
      <x:c r="E108" s="41" t="str">
        <x:v>医药</x:v>
      </x:c>
      <x:c r="F108" s="41" t="str">
        <x:v>A股</x:v>
      </x:c>
      <x:c r="G108" s="42" t="str">
        <x:v>​2026-02-06T00:00:00+08:00</x:v>
      </x:c>
      <x:c r="H108" s="41" t="str">
        <x:v>仅日期（按盘后处理）</x:v>
      </x:c>
      <x:c r="I108" s="41" t="str">
        <x:v>恒瑞医药关于药品上市许可申请获受理的提示性公告</x:v>
      </x:c>
      <x:c r="J108" s="41" t="str">
        <x:v>http://static.cninfo.com.cn/finalpage/2026-02-06/1224968189.PDF</x:v>
      </x:c>
      <x:c r="K108" s="41" t="str">
        <x:v>创新药转型期，创新药放量与对外授权接续仿制药集采缺口，毛利率高但集采与研发成败是关键观察点</x:v>
      </x:c>
      <x:c r="L108" s="41" t="str">
        <x:v>创新药放量与授权合作收入接续仿制药集采下滑，研发管线持续推进</x:v>
      </x:c>
      <x:c r="M108" s="41" t="str">
        <x:v>创新药占比提升支撑高毛利率，集采降价不导致盈利持续恶化</x:v>
      </x:c>
      <x:c r="N108" s="41" t="str">
        <x:v>研发投入强度维持，管线推进不出现关键品种研发失败</x:v>
      </x:c>
      <x:c r="O108" s="43" t="str">
        <x:v>公告披露：关于药品上市许可申请获受理的提示性公告</x:v>
      </x:c>
      <x:c r="P108" s="43" t="str">
        <x:v>研发/注册</x:v>
      </x:c>
      <x:c r="Q108" s="43" t="str">
        <x:v>H3-产能与扩张</x:v>
      </x:c>
      <x:c r="R108" s="43" t="str">
        <x:v>支持</x:v>
      </x:c>
      <x:c r="S108" s="43" t="str">
        <x:v>低</x:v>
      </x:c>
      <x:c r="T108" s="43" t="str">
        <x:v>直接</x:v>
      </x:c>
      <x:c r="U108" s="43" t="str">
        <x:v>关于药品上市许可申请获受理的提示性公告</x:v>
      </x:c>
      <x:c r="V108" s="43" t="str">
        <x:v>该事实提高H3-产能与扩张的可信度；判断基于公告直接披露的业务指标、阶段进展或风险信息。</x:v>
      </x:c>
      <x:c r="W108" s="43" t="n">
        <x:v>4</x:v>
      </x:c>
      <x:c r="X108" s="43" t="str">
        <x:v>无</x:v>
      </x:c>
      <x:c r="Y108" s="43" t="str">
        <x:v>B-CODEX-FIN-01</x:v>
      </x:c>
      <x:c r="Z108" s="49" t="str">
        <x:v>20260826T150309+08:00</x:v>
      </x:c>
    </x:row>
    <x:row r="109" ht="24" hidden="0" customHeight="1">
      <x:c r="A109" s="41" t="str">
        <x:v>108</x:v>
      </x:c>
      <x:c r="B109" s="41" t="str">
        <x:v>G3-E087</x:v>
      </x:c>
      <x:c r="C109" s="41" t="str">
        <x:v>云南白药</x:v>
      </x:c>
      <x:c r="D109" s="42" t="str">
        <x:v>​000538</x:v>
      </x:c>
      <x:c r="E109" s="41" t="str">
        <x:v>医药</x:v>
      </x:c>
      <x:c r="F109" s="41" t="str">
        <x:v>A股</x:v>
      </x:c>
      <x:c r="G109" s="42" t="str">
        <x:v>​2024-02-28T00:00:00+08:00</x:v>
      </x:c>
      <x:c r="H109" s="41" t="str">
        <x:v>仅日期（按盘后处理）</x:v>
      </x:c>
      <x:c r="I109" s="41" t="str">
        <x:v>关于发行超短期融资券获准注册的公告</x:v>
      </x:c>
      <x:c r="J109" s="41" t="str">
        <x:v>http://static.cninfo.com.cn/finalpage/2024-02-28/1219198280.PDF</x:v>
      </x:c>
      <x:c r="K109" s="41" t="str">
        <x:v>中药与健康消费品，增长平稳，毛利率与渠道结构是主要观察点，历史上曾因证券投资造成业绩波动</x:v>
      </x:c>
      <x:c r="L109" s="41" t="str">
        <x:v>工业药品与健康品渠道保持稳定，不出现持续负增长</x:v>
      </x:c>
      <x:c r="M109" s="41" t="str">
        <x:v>毛利率随产品结构与原料成本波动，不持续低于历史区间</x:v>
      </x:c>
      <x:c r="N109" s="41" t="str">
        <x:v>渠道与品牌投入保持，不出现商誉或投资大额减值</x:v>
      </x:c>
      <x:c r="O109" s="43" t="str">
        <x:v>公告披露：超短期融资券获准注册，注册金额30亿元，额度有效期2年。</x:v>
      </x:c>
      <x:c r="P109" s="43" t="str">
        <x:v>融资/现金流</x:v>
      </x:c>
      <x:c r="Q109" s="43" t="str">
        <x:v>H3-产能与扩张</x:v>
      </x:c>
      <x:c r="R109" s="43" t="str">
        <x:v>中性</x:v>
      </x:c>
      <x:c r="S109" s="43" t="str">
        <x:v>低</x:v>
      </x:c>
      <x:c r="T109" s="43" t="str">
        <x:v>间接</x:v>
      </x:c>
      <x:c r="U109" s="43" t="str">
        <x:v>超短期融资券获准注册，注册金额30亿元，额度有效期2年。</x:v>
      </x:c>
      <x:c r="V109" s="43" t="str">
        <x:v>该事实涉及但尚不足以改变H3-产能与扩张的可信度；判断基于公告直接披露的业务指标、阶段进展或风险信息。</x:v>
      </x:c>
      <x:c r="W109" s="43" t="n">
        <x:v>4</x:v>
      </x:c>
      <x:c r="X109" s="43" t="str">
        <x:v>无</x:v>
      </x:c>
      <x:c r="Y109" s="43" t="str">
        <x:v>B-CODEX-FIN-01</x:v>
      </x:c>
      <x:c r="Z109" s="49" t="str">
        <x:v>20260826T150309+08:00</x:v>
      </x:c>
    </x:row>
    <x:row r="110" ht="24" hidden="0" customHeight="1">
      <x:c r="A110" s="41" t="str">
        <x:v>109</x:v>
      </x:c>
      <x:c r="B110" s="41" t="str">
        <x:v>G3-E053</x:v>
      </x:c>
      <x:c r="C110" s="41" t="str">
        <x:v>中芯国际</x:v>
      </x:c>
      <x:c r="D110" s="42" t="str">
        <x:v>​688981</x:v>
      </x:c>
      <x:c r="E110" s="41" t="str">
        <x:v>芯片半导体</x:v>
      </x:c>
      <x:c r="F110" s="41" t="str">
        <x:v>A股</x:v>
      </x:c>
      <x:c r="G110" s="42" t="str">
        <x:v>​2026-03-27T00:00:00+08:00</x:v>
      </x:c>
      <x:c r="H110" s="41" t="str">
        <x:v>仅日期（按盘后处理）</x:v>
      </x:c>
      <x:c r="I110" s="41" t="str">
        <x:v>中芯国际2025年度内部控制评价报告</x:v>
      </x:c>
      <x:c r="J110" s="41" t="str">
        <x:v>http://static.cninfo.com.cn/finalpage/2026-03-27/1225037110.PDF</x:v>
      </x:c>
      <x:c r="K110" s="41" t="str">
        <x:v>成熟制程代工龙头，国产替代与产能利用率回升支撑收入，折旧与价格压力是盈利的主要观察点</x:v>
      </x:c>
      <x:c r="L110" s="41" t="str">
        <x:v>成熟制程产能利用率与晶圆出货保持增长，国产替代需求是主要驱动</x:v>
      </x:c>
      <x:c r="M110" s="41" t="str">
        <x:v>毛利率随产能利用率回升，折旧压力不导致盈利持续恶化</x:v>
      </x:c>
      <x:c r="N110" s="41" t="str">
        <x:v>资本开支与扩产节奏匹配下游需求，先进制程投入不出现大额减值</x:v>
      </x:c>
      <x:c r="O110" s="43" t="str">
        <x:v>公司披露《中芯国际2025年度内部控制评价报告》，事项主要涉及治理、证券变动或程序安排。</x:v>
      </x:c>
      <x:c r="P110" s="43" t="str">
        <x:v>治理/其他</x:v>
      </x:c>
      <x:c r="Q110" s="43" t="str">
        <x:v>无关</x:v>
      </x:c>
      <x:c r="R110" s="43" t="str">
        <x:v>无关</x:v>
      </x:c>
      <x:c r="S110" s="43" t="str">
        <x:v>不适用</x:v>
      </x:c>
      <x:c r="T110" s="43" t="str">
        <x:v>不适用</x:v>
      </x:c>
      <x:c r="U110" s="43" t="str"/>
      <x:c r="V110" s="43" t="str">
        <x:v>公告未提供会改变需求出货、盈利质量或产能扩张判断的新增经营事实，故不进入核心证据链。</x:v>
      </x:c>
      <x:c r="W110" s="43" t="n">
        <x:v>5</x:v>
      </x:c>
      <x:c r="X110" s="43" t="str">
        <x:v>无</x:v>
      </x:c>
      <x:c r="Y110" s="43" t="str">
        <x:v>B-CODEX-FIN-01</x:v>
      </x:c>
      <x:c r="Z110" s="49" t="str">
        <x:v>20260826T150309+08:00</x:v>
      </x:c>
    </x:row>
    <x:row r="111" ht="36" hidden="0" customHeight="1">
      <x:c r="A111" s="41" t="str">
        <x:v>110</x:v>
      </x:c>
      <x:c r="B111" s="41" t="str">
        <x:v>G3-E014</x:v>
      </x:c>
      <x:c r="C111" s="41" t="str">
        <x:v>小鹏汽车</x:v>
      </x:c>
      <x:c r="D111" s="42" t="str">
        <x:v>​09868</x:v>
      </x:c>
      <x:c r="E111" s="41" t="str">
        <x:v>新能源汽车</x:v>
      </x:c>
      <x:c r="F111" s="41" t="str">
        <x:v>港股</x:v>
      </x:c>
      <x:c r="G111" s="42" t="str">
        <x:v>​2024-04-02T12:07:33+08:00</x:v>
      </x:c>
      <x:c r="H111" s="41" t="str">
        <x:v>精确</x:v>
      </x:c>
      <x:c r="I111" s="41" t="str">
        <x:v>自愿公告 2024年3月及第一季度智能车交付数据</x:v>
      </x:c>
      <x:c r="J111" s="41" t="str">
        <x:v>http://static.cninfo.com.cn/finalpage/2024-04-02/1219499685.PDF</x:v>
      </x:c>
      <x:c r="K111" s="41" t="str">
        <x:v>新势力整车厂，交付量与车型周期决定收入，毛利率从负值修复中，盈利质量仍是主要风险。港股仅披露中报与年报，季度颗粒度不足</x:v>
      </x:c>
      <x:c r="L111" s="41" t="str">
        <x:v>智能车交付量保持增长，新车型周期带动需求回升</x:v>
      </x:c>
      <x:c r="M111" s="41" t="str">
        <x:v>毛利率随规模与技术服务收入改善，不回落到历史低位</x:v>
      </x:c>
      <x:c r="N111" s="41" t="str">
        <x:v>研发与产能投入可持续，现金流不出现明显恶化</x:v>
      </x:c>
      <x:c r="O111" s="43" t="str">
        <x:v>公告披露：2024年3月，小鹏汽车共交付智能电动汽车9,026辆，同比增长29%。</x:v>
      </x:c>
      <x:c r="P111" s="43" t="str">
        <x:v>产销/需求</x:v>
      </x:c>
      <x:c r="Q111" s="43" t="str">
        <x:v>H1-需求与出货</x:v>
      </x:c>
      <x:c r="R111" s="43" t="str">
        <x:v>支持</x:v>
      </x:c>
      <x:c r="S111" s="43" t="str">
        <x:v>高</x:v>
      </x:c>
      <x:c r="T111" s="43" t="str">
        <x:v>直接</x:v>
      </x:c>
      <x:c r="U111" s="43" t="str">
        <x:v>2024年3月，小鹏汽车共交付智能电动汽车9,026辆，同比增长29%。</x:v>
      </x:c>
      <x:c r="V111" s="43" t="str">
        <x:v>该事实提高H1-需求与出货的可信度；判断基于公告直接披露的业务指标、阶段进展或风险信息。</x:v>
      </x:c>
      <x:c r="W111" s="43" t="n">
        <x:v>5</x:v>
      </x:c>
      <x:c r="X111" s="43" t="str">
        <x:v>无</x:v>
      </x:c>
      <x:c r="Y111" s="43" t="str">
        <x:v>B-CODEX-FIN-01</x:v>
      </x:c>
      <x:c r="Z111" s="49" t="str">
        <x:v>20260826T150309+08:00</x:v>
      </x:c>
    </x:row>
    <x:row r="112" ht="24" hidden="0" customHeight="1">
      <x:c r="A112" s="41" t="str">
        <x:v>111</x:v>
      </x:c>
      <x:c r="B112" s="41" t="str">
        <x:v>G3-E086</x:v>
      </x:c>
      <x:c r="C112" s="41" t="str">
        <x:v>恒瑞医药</x:v>
      </x:c>
      <x:c r="D112" s="42" t="str">
        <x:v>​600276</x:v>
      </x:c>
      <x:c r="E112" s="41" t="str">
        <x:v>医药</x:v>
      </x:c>
      <x:c r="F112" s="41" t="str">
        <x:v>A股</x:v>
      </x:c>
      <x:c r="G112" s="42" t="str">
        <x:v>​2026-05-20T00:00:00+08:00</x:v>
      </x:c>
      <x:c r="H112" s="41" t="str">
        <x:v>仅日期（按盘后处理）</x:v>
      </x:c>
      <x:c r="I112" s="41" t="str">
        <x:v>恒瑞医药关于获得药品注册批准的公告</x:v>
      </x:c>
      <x:c r="J112" s="41" t="str">
        <x:v>http://static.cninfo.com.cn/finalpage/2026-05-20/1225315769.PDF</x:v>
      </x:c>
      <x:c r="K112" s="41" t="str">
        <x:v>创新药转型期，创新药放量与对外授权接续仿制药集采缺口，毛利率高但集采与研发成败是关键观察点</x:v>
      </x:c>
      <x:c r="L112" s="41" t="str">
        <x:v>创新药放量与授权合作收入接续仿制药集采下滑，研发管线持续推进</x:v>
      </x:c>
      <x:c r="M112" s="41" t="str">
        <x:v>创新药占比提升支撑高毛利率，集采降价不导致盈利持续恶化</x:v>
      </x:c>
      <x:c r="N112" s="41" t="str">
        <x:v>研发投入强度维持，管线推进不出现关键品种研发失败</x:v>
      </x:c>
      <x:c r="O112" s="43" t="str">
        <x:v>公告披露：关于获得药品注册批准的公告</x:v>
      </x:c>
      <x:c r="P112" s="43" t="str">
        <x:v>研发/注册</x:v>
      </x:c>
      <x:c r="Q112" s="43" t="str">
        <x:v>H1-需求与出货</x:v>
      </x:c>
      <x:c r="R112" s="43" t="str">
        <x:v>支持</x:v>
      </x:c>
      <x:c r="S112" s="43" t="str">
        <x:v>中</x:v>
      </x:c>
      <x:c r="T112" s="43" t="str">
        <x:v>直接</x:v>
      </x:c>
      <x:c r="U112" s="43" t="str">
        <x:v>关于获得药品注册批准的公告</x:v>
      </x:c>
      <x:c r="V112" s="43" t="str">
        <x:v>该事实提高H1-需求与出货的可信度；判断基于公告直接披露的业务指标、阶段进展或风险信息。</x:v>
      </x:c>
      <x:c r="W112" s="43" t="n">
        <x:v>5</x:v>
      </x:c>
      <x:c r="X112" s="43" t="str">
        <x:v>无</x:v>
      </x:c>
      <x:c r="Y112" s="43" t="str">
        <x:v>B-CODEX-FIN-01</x:v>
      </x:c>
      <x:c r="Z112" s="49" t="str">
        <x:v>20260826T150309+08:00</x:v>
      </x:c>
    </x:row>
    <x:row r="113" ht="24" hidden="0" customHeight="1">
      <x:c r="A113" s="41" t="str">
        <x:v>112</x:v>
      </x:c>
      <x:c r="B113" s="41" t="str">
        <x:v>G3-E039</x:v>
      </x:c>
      <x:c r="C113" s="41" t="str">
        <x:v>吉利汽车</x:v>
      </x:c>
      <x:c r="D113" s="42" t="str">
        <x:v>​00175</x:v>
      </x:c>
      <x:c r="E113" s="41" t="str">
        <x:v>新能源汽车</x:v>
      </x:c>
      <x:c r="F113" s="41" t="str">
        <x:v>港股</x:v>
      </x:c>
      <x:c r="G113" s="42" t="str">
        <x:v>​2026-08-02T18:14:26+08:00</x:v>
      </x:c>
      <x:c r="H113" s="41" t="str">
        <x:v>精确</x:v>
      </x:c>
      <x:c r="I113" s="41" t="str">
        <x:v>月报表截至31/7/2026</x:v>
      </x:c>
      <x:c r="J113" s="41" t="str">
        <x:v>http://static.cninfo.com.cn/finalpage/2026-08-02/1225452827.PDF</x:v>
      </x:c>
      <x:c r="K113" s="41" t="str">
        <x:v>新能源转型见效，销量与出口双增长支撑收入，平台整合与毛利率改善是核心观察点。港股披露频率低于 A 股</x:v>
      </x:c>
      <x:c r="L113" s="41" t="str">
        <x:v>新能源车型销量放量带动整体销量增长，出口贡献增量</x:v>
      </x:c>
      <x:c r="M113" s="41" t="str">
        <x:v>平台化与规模效应改善毛利率，新能源转型不持续拖累盈利</x:v>
      </x:c>
      <x:c r="N113" s="41" t="str">
        <x:v>品牌与平台整合按计划推进，不出现大额整合损失</x:v>
      </x:c>
      <x:c r="O113" s="43" t="str">
        <x:v>公司披露《月报表截至31/7/2026》，事项主要涉及治理、证券变动或程序安排。</x:v>
      </x:c>
      <x:c r="P113" s="43" t="str">
        <x:v>治理/其他</x:v>
      </x:c>
      <x:c r="Q113" s="43" t="str">
        <x:v>无关</x:v>
      </x:c>
      <x:c r="R113" s="43" t="str">
        <x:v>无关</x:v>
      </x:c>
      <x:c r="S113" s="43" t="str">
        <x:v>不适用</x:v>
      </x:c>
      <x:c r="T113" s="43" t="str">
        <x:v>不适用</x:v>
      </x:c>
      <x:c r="U113" s="43" t="str"/>
      <x:c r="V113" s="43" t="str">
        <x:v>公告未提供会改变需求出货、盈利质量或产能扩张判断的新增经营事实，故不进入核心证据链。</x:v>
      </x:c>
      <x:c r="W113" s="43" t="n">
        <x:v>5</x:v>
      </x:c>
      <x:c r="X113" s="43" t="str">
        <x:v>无</x:v>
      </x:c>
      <x:c r="Y113" s="43" t="str">
        <x:v>B-CODEX-FIN-01</x:v>
      </x:c>
      <x:c r="Z113" s="49" t="str">
        <x:v>20260826T150309+08:00</x:v>
      </x:c>
    </x:row>
    <x:row r="114" ht="24" hidden="0" customHeight="1">
      <x:c r="A114" s="41" t="str">
        <x:v>113</x:v>
      </x:c>
      <x:c r="B114" s="41" t="str">
        <x:v>G3-E067</x:v>
      </x:c>
      <x:c r="C114" s="41" t="str">
        <x:v>北方华创</x:v>
      </x:c>
      <x:c r="D114" s="42" t="str">
        <x:v>​002371</x:v>
      </x:c>
      <x:c r="E114" s="41" t="str">
        <x:v>芯片半导体</x:v>
      </x:c>
      <x:c r="F114" s="41" t="str">
        <x:v>A股</x:v>
      </x:c>
      <x:c r="G114" s="42" t="str">
        <x:v>​2026-06-23T00:00:00+08:00</x:v>
      </x:c>
      <x:c r="H114" s="41" t="str">
        <x:v>仅日期（按盘后处理）</x:v>
      </x:c>
      <x:c r="I114" s="41" t="str">
        <x:v>关于放弃参股公司增资优先认购权暨关联交易的公告</x:v>
      </x:c>
      <x:c r="J114" s="41" t="str">
        <x:v>http://static.cninfo.com.cn/finalpage/2026-06-23/1225381704.PDF</x:v>
      </x:c>
      <x:c r="K114" s="41" t="str">
        <x:v>前道设备国产化核心标的，晶圆厂扩产与国产化率提升支撑订单与收入，需跟踪毛利率与交付节奏</x:v>
      </x:c>
      <x:c r="L114" s="41" t="str">
        <x:v>半导体设备订单随晶圆厂扩产与国产化率提升保持增长</x:v>
      </x:c>
      <x:c r="M114" s="41" t="str">
        <x:v>规模效应与国产化推进支撑毛利率，不因竞争加剧显著下滑</x:v>
      </x:c>
      <x:c r="N114" s="41" t="str">
        <x:v>产能与交付能力跟上订单增长，合同负债转化不出现明显滞后</x:v>
      </x:c>
      <x:c r="O114" s="43" t="str">
        <x:v>公司披露《关于放弃参股公司增资优先认购权暨关联交易的公告》，事项主要涉及治理、证券变动或程序安排。</x:v>
      </x:c>
      <x:c r="P114" s="43" t="str">
        <x:v>治理/其他</x:v>
      </x:c>
      <x:c r="Q114" s="43" t="str">
        <x:v>无关</x:v>
      </x:c>
      <x:c r="R114" s="43" t="str">
        <x:v>无关</x:v>
      </x:c>
      <x:c r="S114" s="43" t="str">
        <x:v>不适用</x:v>
      </x:c>
      <x:c r="T114" s="43" t="str">
        <x:v>不适用</x:v>
      </x:c>
      <x:c r="U114" s="43" t="str"/>
      <x:c r="V114" s="43" t="str">
        <x:v>公告未提供会改变需求出货、盈利质量或产能扩张判断的新增经营事实，故不进入核心证据链。</x:v>
      </x:c>
      <x:c r="W114" s="43" t="n">
        <x:v>5</x:v>
      </x:c>
      <x:c r="X114" s="43" t="str">
        <x:v>无</x:v>
      </x:c>
      <x:c r="Y114" s="43" t="str">
        <x:v>B-CODEX-FIN-01</x:v>
      </x:c>
      <x:c r="Z114" s="49" t="str">
        <x:v>20260826T150309+08:00</x:v>
      </x:c>
    </x:row>
    <x:row r="115" ht="24" hidden="0" customHeight="1">
      <x:c r="A115" s="41" t="str">
        <x:v>114</x:v>
      </x:c>
      <x:c r="B115" s="41" t="str">
        <x:v>G3-E079</x:v>
      </x:c>
      <x:c r="C115" s="41" t="str">
        <x:v>云南白药</x:v>
      </x:c>
      <x:c r="D115" s="42" t="str">
        <x:v>​000538</x:v>
      </x:c>
      <x:c r="E115" s="41" t="str">
        <x:v>医药</x:v>
      </x:c>
      <x:c r="F115" s="41" t="str">
        <x:v>A股</x:v>
      </x:c>
      <x:c r="G115" s="42" t="str">
        <x:v>​2024-12-18T00:00:00+08:00</x:v>
      </x:c>
      <x:c r="H115" s="41" t="str">
        <x:v>仅日期（按盘后处理）</x:v>
      </x:c>
      <x:c r="I115" s="41" t="str">
        <x:v>关于2024年度第一期超短期融资券（科创票据/乡村振兴）兑付完成的公告</x:v>
      </x:c>
      <x:c r="J115" s="41" t="str">
        <x:v>http://static.cninfo.com.cn/finalpage/2024-12-18/1222047993.PDF</x:v>
      </x:c>
      <x:c r="K115" s="41" t="str">
        <x:v>中药与健康消费品，增长平稳，毛利率与渠道结构是主要观察点，历史上曾因证券投资造成业绩波动</x:v>
      </x:c>
      <x:c r="L115" s="41" t="str">
        <x:v>工业药品与健康品渠道保持稳定，不出现持续负增长</x:v>
      </x:c>
      <x:c r="M115" s="41" t="str">
        <x:v>毛利率随产品结构与原料成本波动，不持续低于历史区间</x:v>
      </x:c>
      <x:c r="N115" s="41" t="str">
        <x:v>渠道与品牌投入保持，不出现商誉或投资大额减值</x:v>
      </x:c>
      <x:c r="O115" s="43" t="str">
        <x:v>公司披露《关于2024年度第一期超短期融资券（科创票据/乡村振兴）兑付完成的公告》，事项主要涉及治理、证券变动或程序安排。</x:v>
      </x:c>
      <x:c r="P115" s="43" t="str">
        <x:v>治理/其他</x:v>
      </x:c>
      <x:c r="Q115" s="43" t="str">
        <x:v>无关</x:v>
      </x:c>
      <x:c r="R115" s="43" t="str">
        <x:v>无关</x:v>
      </x:c>
      <x:c r="S115" s="43" t="str">
        <x:v>不适用</x:v>
      </x:c>
      <x:c r="T115" s="43" t="str">
        <x:v>不适用</x:v>
      </x:c>
      <x:c r="U115" s="43" t="str"/>
      <x:c r="V115" s="43" t="str">
        <x:v>公告未提供会改变需求出货、盈利质量或产能扩张判断的新增经营事实，故不进入核心证据链。</x:v>
      </x:c>
      <x:c r="W115" s="43" t="n">
        <x:v>5</x:v>
      </x:c>
      <x:c r="X115" s="43" t="str">
        <x:v>无</x:v>
      </x:c>
      <x:c r="Y115" s="43" t="str">
        <x:v>B-CODEX-FIN-01</x:v>
      </x:c>
      <x:c r="Z115" s="49" t="str">
        <x:v>20260826T150309+08:00</x:v>
      </x:c>
    </x:row>
    <x:row r="116" ht="24" hidden="0" customHeight="1">
      <x:c r="A116" s="41" t="str">
        <x:v>115</x:v>
      </x:c>
      <x:c r="B116" s="41" t="str">
        <x:v>G3-E015</x:v>
      </x:c>
      <x:c r="C116" s="41" t="str">
        <x:v>恒瑞医药</x:v>
      </x:c>
      <x:c r="D116" s="42" t="str">
        <x:v>​600276</x:v>
      </x:c>
      <x:c r="E116" s="41" t="str">
        <x:v>医药</x:v>
      </x:c>
      <x:c r="F116" s="41" t="str">
        <x:v>A股</x:v>
      </x:c>
      <x:c r="G116" s="42" t="str">
        <x:v>​2025-01-10T00:00:00+08:00</x:v>
      </x:c>
      <x:c r="H116" s="41" t="str">
        <x:v>仅日期（按盘后处理）</x:v>
      </x:c>
      <x:c r="I116" s="41" t="str">
        <x:v>恒瑞医药关于药品上市许可申请获受理的提示性公告</x:v>
      </x:c>
      <x:c r="J116" s="41" t="str">
        <x:v>http://static.cninfo.com.cn/finalpage/2025-01-10/1222283951.PDF</x:v>
      </x:c>
      <x:c r="K116" s="41" t="str">
        <x:v>创新药转型期，创新药放量与对外授权接续仿制药集采缺口，毛利率高但集采与研发成败是关键观察点</x:v>
      </x:c>
      <x:c r="L116" s="41" t="str">
        <x:v>创新药放量与授权合作收入接续仿制药集采下滑，研发管线持续推进</x:v>
      </x:c>
      <x:c r="M116" s="41" t="str">
        <x:v>创新药占比提升支撑高毛利率，集采降价不导致盈利持续恶化</x:v>
      </x:c>
      <x:c r="N116" s="41" t="str">
        <x:v>研发投入强度维持，管线推进不出现关键品种研发失败</x:v>
      </x:c>
      <x:c r="O116" s="43" t="str">
        <x:v>公告披露：关于药品上市许可申请获受理的提示性公告</x:v>
      </x:c>
      <x:c r="P116" s="43" t="str">
        <x:v>研发/注册</x:v>
      </x:c>
      <x:c r="Q116" s="43" t="str">
        <x:v>H3-产能与扩张</x:v>
      </x:c>
      <x:c r="R116" s="43" t="str">
        <x:v>支持</x:v>
      </x:c>
      <x:c r="S116" s="43" t="str">
        <x:v>低</x:v>
      </x:c>
      <x:c r="T116" s="43" t="str">
        <x:v>直接</x:v>
      </x:c>
      <x:c r="U116" s="43" t="str">
        <x:v>关于药品上市许可申请获受理的提示性公告</x:v>
      </x:c>
      <x:c r="V116" s="43" t="str">
        <x:v>该事实提高H3-产能与扩张的可信度；判断基于公告直接披露的业务指标、阶段进展或风险信息。</x:v>
      </x:c>
      <x:c r="W116" s="43" t="n">
        <x:v>4</x:v>
      </x:c>
      <x:c r="X116" s="43" t="str">
        <x:v>无</x:v>
      </x:c>
      <x:c r="Y116" s="43" t="str">
        <x:v>B-CODEX-FIN-01</x:v>
      </x:c>
      <x:c r="Z116" s="49" t="str">
        <x:v>20260826T150309+08:00</x:v>
      </x:c>
    </x:row>
    <x:row r="117" ht="24" hidden="0" customHeight="1">
      <x:c r="A117" s="41" t="str">
        <x:v>116</x:v>
      </x:c>
      <x:c r="B117" s="41" t="str">
        <x:v>G3-E009</x:v>
      </x:c>
      <x:c r="C117" s="41" t="str">
        <x:v>比亚迪</x:v>
      </x:c>
      <x:c r="D117" s="42" t="str">
        <x:v>​002594</x:v>
      </x:c>
      <x:c r="E117" s="41" t="str">
        <x:v>新能源汽车</x:v>
      </x:c>
      <x:c r="F117" s="41" t="str">
        <x:v>A股</x:v>
      </x:c>
      <x:c r="G117" s="42" t="str">
        <x:v>​2024-11-02T00:00:00+08:00</x:v>
      </x:c>
      <x:c r="H117" s="41" t="str">
        <x:v>仅日期（按盘后处理）</x:v>
      </x:c>
      <x:c r="I117" s="41" t="str">
        <x:v>2024年10月产销快报</x:v>
      </x:c>
      <x:c r="J117" s="41" t="str">
        <x:v>http://static.cninfo.com.cn/finalpage/2024-11-02/1221604106.PDF</x:v>
      </x:c>
      <x:c r="K117" s="41" t="str">
        <x:v>新能源汽车销量与出口结构改善支撑收入，垂直一体化对冲价格战，需跟踪毛利率与海外扩张落地</x:v>
      </x:c>
      <x:c r="L117" s="41" t="str">
        <x:v>新能源汽车销量保持增长，出口占比提升对冲国内价格压力</x:v>
      </x:c>
      <x:c r="M117" s="41" t="str">
        <x:v>规模效应与垂直一体化维持毛利率，价格战不导致盈利持续恶化</x:v>
      </x:c>
      <x:c r="N117" s="41" t="str">
        <x:v>海外工厂与产能扩张按计划落地，不出现大额投资减值</x:v>
      </x:c>
      <x:c r="O117" s="43" t="str">
        <x:v>公告披露：新能源汽车本年累计销量3,250,532辆，去年累计2,381,471辆，累计同比36.49%。</x:v>
      </x:c>
      <x:c r="P117" s="43" t="str">
        <x:v>产销/需求</x:v>
      </x:c>
      <x:c r="Q117" s="43" t="str">
        <x:v>H1-需求与出货</x:v>
      </x:c>
      <x:c r="R117" s="43" t="str">
        <x:v>支持</x:v>
      </x:c>
      <x:c r="S117" s="43" t="str">
        <x:v>高</x:v>
      </x:c>
      <x:c r="T117" s="43" t="str">
        <x:v>直接</x:v>
      </x:c>
      <x:c r="U117" s="43" t="str">
        <x:v>新能源汽车本年累计销量3,250,532辆，去年累计2,381,471辆，累计同比36.49%。</x:v>
      </x:c>
      <x:c r="V117" s="43" t="str">
        <x:v>该事实提高H1-需求与出货的可信度；判断基于公告直接披露的业务指标、阶段进展或风险信息。</x:v>
      </x:c>
      <x:c r="W117" s="43" t="n">
        <x:v>5</x:v>
      </x:c>
      <x:c r="X117" s="43" t="str">
        <x:v>无</x:v>
      </x:c>
      <x:c r="Y117" s="43" t="str">
        <x:v>B-CODEX-FIN-01</x:v>
      </x:c>
      <x:c r="Z117" s="49" t="str">
        <x:v>20260826T150309+08:00</x:v>
      </x:c>
    </x:row>
    <x:row r="118" ht="24" hidden="0" customHeight="1">
      <x:c r="A118" s="41" t="str">
        <x:v>117</x:v>
      </x:c>
      <x:c r="B118" s="41" t="str">
        <x:v>G3-E030</x:v>
      </x:c>
      <x:c r="C118" s="41" t="str">
        <x:v>恒瑞医药</x:v>
      </x:c>
      <x:c r="D118" s="42" t="str">
        <x:v>​600276</x:v>
      </x:c>
      <x:c r="E118" s="41" t="str">
        <x:v>医药</x:v>
      </x:c>
      <x:c r="F118" s="41" t="str">
        <x:v>A股</x:v>
      </x:c>
      <x:c r="G118" s="42" t="str">
        <x:v>​2026-01-06T00:00:00+08:00</x:v>
      </x:c>
      <x:c r="H118" s="41" t="str">
        <x:v>仅日期（按盘后处理）</x:v>
      </x:c>
      <x:c r="I118" s="41" t="str">
        <x:v>恒瑞医药关于获得药物临床试验批准通知书的公告</x:v>
      </x:c>
      <x:c r="J118" s="41" t="str">
        <x:v>http://static.cninfo.com.cn/finalpage/2026-01-06/1224919037.PDF</x:v>
      </x:c>
      <x:c r="K118" s="41" t="str">
        <x:v>创新药转型期，创新药放量与对外授权接续仿制药集采缺口，毛利率高但集采与研发成败是关键观察点</x:v>
      </x:c>
      <x:c r="L118" s="41" t="str">
        <x:v>创新药放量与授权合作收入接续仿制药集采下滑，研发管线持续推进</x:v>
      </x:c>
      <x:c r="M118" s="41" t="str">
        <x:v>创新药占比提升支撑高毛利率，集采降价不导致盈利持续恶化</x:v>
      </x:c>
      <x:c r="N118" s="41" t="str">
        <x:v>研发投入强度维持，管线推进不出现关键品种研发失败</x:v>
      </x:c>
      <x:c r="O118" s="43" t="str">
        <x:v>公告披露：根据我国药品注册相关的法律法规要求，药物在获得药物临床试验批准通知</x:v>
      </x:c>
      <x:c r="P118" s="43" t="str">
        <x:v>研发/注册</x:v>
      </x:c>
      <x:c r="Q118" s="43" t="str">
        <x:v>H3-产能与扩张</x:v>
      </x:c>
      <x:c r="R118" s="43" t="str">
        <x:v>支持</x:v>
      </x:c>
      <x:c r="S118" s="43" t="str">
        <x:v>中</x:v>
      </x:c>
      <x:c r="T118" s="43" t="str">
        <x:v>直接</x:v>
      </x:c>
      <x:c r="U118" s="43" t="str">
        <x:v>根据我国药品注册相关的法律法规要求，药物在获得药物临床试验批准通知</x:v>
      </x:c>
      <x:c r="V118" s="43" t="str">
        <x:v>该事实提高H3-产能与扩张的可信度；判断基于公告直接披露的业务指标、阶段进展或风险信息。</x:v>
      </x:c>
      <x:c r="W118" s="43" t="n">
        <x:v>5</x:v>
      </x:c>
      <x:c r="X118" s="43" t="str">
        <x:v>无</x:v>
      </x:c>
      <x:c r="Y118" s="43" t="str">
        <x:v>B-CODEX-FIN-01</x:v>
      </x:c>
      <x:c r="Z118" s="49" t="str">
        <x:v>20260826T150309+08:00</x:v>
      </x:c>
    </x:row>
    <x:row r="119" ht="24" hidden="0" customHeight="1">
      <x:c r="A119" s="41" t="str">
        <x:v>118</x:v>
      </x:c>
      <x:c r="B119" s="41" t="str">
        <x:v>G3-E008</x:v>
      </x:c>
      <x:c r="C119" s="41" t="str">
        <x:v>吉利汽车</x:v>
      </x:c>
      <x:c r="D119" s="42" t="str">
        <x:v>​00175</x:v>
      </x:c>
      <x:c r="E119" s="41" t="str">
        <x:v>新能源汽车</x:v>
      </x:c>
      <x:c r="F119" s="41" t="str">
        <x:v>港股</x:v>
      </x:c>
      <x:c r="G119" s="42" t="str">
        <x:v>​2026-07-23T17:48:11+08:00</x:v>
      </x:c>
      <x:c r="H119" s="41" t="str">
        <x:v>精确</x:v>
      </x:c>
      <x:c r="I119" s="41" t="str">
        <x:v>自愿公布收购西班牙一间目标公司34%的股权及成立一间合营公司从事乘用车合约生产</x:v>
      </x:c>
      <x:c r="J119" s="41" t="str">
        <x:v>http://static.cninfo.com.cn/finalpage/2026-07-23/1225439110.PDF</x:v>
      </x:c>
      <x:c r="K119" s="41" t="str">
        <x:v>新能源转型见效，销量与出口双增长支撑收入，平台整合与毛利率改善是核心观察点。港股披露频率低于 A 股</x:v>
      </x:c>
      <x:c r="L119" s="41" t="str">
        <x:v>新能源车型销量放量带动整体销量增长，出口贡献增量</x:v>
      </x:c>
      <x:c r="M119" s="41" t="str">
        <x:v>平台化与规模效应改善毛利率，新能源转型不持续拖累盈利</x:v>
      </x:c>
      <x:c r="N119" s="41" t="str">
        <x:v>品牌与平台整合按计划推进，不出现大额整合损失</x:v>
      </x:c>
      <x:c r="O119" s="43" t="str">
        <x:v>公告披露：公司拟收购西班牙目标公司34%股权并成立合营公司从事乘用车合约生产，代价为221百万欧元。</x:v>
      </x:c>
      <x:c r="P119" s="43" t="str">
        <x:v>产能/资本开支</x:v>
      </x:c>
      <x:c r="Q119" s="43" t="str">
        <x:v>H3-产能与扩张</x:v>
      </x:c>
      <x:c r="R119" s="43" t="str">
        <x:v>支持</x:v>
      </x:c>
      <x:c r="S119" s="43" t="str">
        <x:v>高</x:v>
      </x:c>
      <x:c r="T119" s="43" t="str">
        <x:v>直接</x:v>
      </x:c>
      <x:c r="U119" s="43" t="str">
        <x:v>公司拟收购西班牙目标公司34%股权并成立合营公司从事乘用车合约生产，代价为221百万欧元。</x:v>
      </x:c>
      <x:c r="V119" s="43" t="str">
        <x:v>该事实提高H3-产能与扩张的可信度；判断基于公告直接披露的业务指标、阶段进展或风险信息。</x:v>
      </x:c>
      <x:c r="W119" s="43" t="n">
        <x:v>5</x:v>
      </x:c>
      <x:c r="X119" s="43" t="str">
        <x:v>无</x:v>
      </x:c>
      <x:c r="Y119" s="43" t="str">
        <x:v>B-CODEX-FIN-01</x:v>
      </x:c>
      <x:c r="Z119" s="49" t="str">
        <x:v>20260826T150309+08:00</x:v>
      </x:c>
    </x:row>
    <x:row r="120" ht="36" hidden="0" customHeight="1">
      <x:c r="A120" s="41" t="str">
        <x:v>119</x:v>
      </x:c>
      <x:c r="B120" s="41" t="str">
        <x:v>G3-E081</x:v>
      </x:c>
      <x:c r="C120" s="41" t="str">
        <x:v>小鹏汽车</x:v>
      </x:c>
      <x:c r="D120" s="42" t="str">
        <x:v>​09868</x:v>
      </x:c>
      <x:c r="E120" s="41" t="str">
        <x:v>新能源汽车</x:v>
      </x:c>
      <x:c r="F120" s="41" t="str">
        <x:v>港股</x:v>
      </x:c>
      <x:c r="G120" s="42" t="str">
        <x:v>​2025-03-03T19:18:14+08:00</x:v>
      </x:c>
      <x:c r="H120" s="41" t="str">
        <x:v>精确</x:v>
      </x:c>
      <x:c r="I120" s="41" t="str">
        <x:v>自愿公告2025年2月智能车交付数据</x:v>
      </x:c>
      <x:c r="J120" s="41" t="str">
        <x:v>http://static.cninfo.com.cn/finalpage/2025-03-03/1222693592.PDF</x:v>
      </x:c>
      <x:c r="K120" s="41" t="str">
        <x:v>新势力整车厂，交付量与车型周期决定收入，毛利率从负值修复中，盈利质量仍是主要风险。港股仅披露中报与年报，季度颗粒度不足</x:v>
      </x:c>
      <x:c r="L120" s="41" t="str">
        <x:v>智能车交付量保持增长，新车型周期带动需求回升</x:v>
      </x:c>
      <x:c r="M120" s="41" t="str">
        <x:v>毛利率随规模与技术服务收入改善，不回落到历史低位</x:v>
      </x:c>
      <x:c r="N120" s="41" t="str">
        <x:v>研发与产能投入可持续，现金流不出现明显恶化</x:v>
      </x:c>
      <x:c r="O120" s="43" t="str">
        <x:v>公告披露：2025年2月，小鹏汽车共交付智能电动汽车30,453辆，同比增长570%。</x:v>
      </x:c>
      <x:c r="P120" s="43" t="str">
        <x:v>产销/需求</x:v>
      </x:c>
      <x:c r="Q120" s="43" t="str">
        <x:v>H1-需求与出货</x:v>
      </x:c>
      <x:c r="R120" s="43" t="str">
        <x:v>支持</x:v>
      </x:c>
      <x:c r="S120" s="43" t="str">
        <x:v>高</x:v>
      </x:c>
      <x:c r="T120" s="43" t="str">
        <x:v>直接</x:v>
      </x:c>
      <x:c r="U120" s="43" t="str">
        <x:v>2025年2月，小鹏汽车共交付智能电动汽车30,453辆，同比增长570%。</x:v>
      </x:c>
      <x:c r="V120" s="43" t="str">
        <x:v>该事实提高H1-需求与出货的可信度；判断基于公告直接披露的业务指标、阶段进展或风险信息。</x:v>
      </x:c>
      <x:c r="W120" s="43" t="n">
        <x:v>5</x:v>
      </x:c>
      <x:c r="X120" s="43" t="str">
        <x:v>无</x:v>
      </x:c>
      <x:c r="Y120" s="43" t="str">
        <x:v>B-CODEX-FIN-01</x:v>
      </x:c>
      <x:c r="Z120" s="49" t="str">
        <x:v>20260826T150309+08:00</x:v>
      </x:c>
    </x:row>
    <x:row r="121" ht="24" hidden="0" customHeight="1">
      <x:c r="A121" s="41" t="str">
        <x:v>120</x:v>
      </x:c>
      <x:c r="B121" s="41" t="str">
        <x:v>G3-E114</x:v>
      </x:c>
      <x:c r="C121" s="41" t="str">
        <x:v>北方华创</x:v>
      </x:c>
      <x:c r="D121" s="42" t="str">
        <x:v>​002371</x:v>
      </x:c>
      <x:c r="E121" s="41" t="str">
        <x:v>芯片半导体</x:v>
      </x:c>
      <x:c r="F121" s="41" t="str">
        <x:v>A股</x:v>
      </x:c>
      <x:c r="G121" s="42" t="str">
        <x:v>​2024-01-16T00:00:00+08:00</x:v>
      </x:c>
      <x:c r="H121" s="41" t="str">
        <x:v>仅日期（按盘后处理）</x:v>
      </x:c>
      <x:c r="I121" s="41" t="str">
        <x:v>2023年度业绩预告</x:v>
      </x:c>
      <x:c r="J121" s="41" t="str">
        <x:v>http://static.cninfo.com.cn/finalpage/2024-01-16/1218892163.PDF</x:v>
      </x:c>
      <x:c r="K121" s="41" t="str">
        <x:v>前道设备国产化核心标的，晶圆厂扩产与国产化率提升支撑订单与收入，需跟踪毛利率与交付节奏</x:v>
      </x:c>
      <x:c r="L121" s="41" t="str">
        <x:v>半导体设备订单随晶圆厂扩产与国产化率提升保持增长</x:v>
      </x:c>
      <x:c r="M121" s="41" t="str">
        <x:v>规模效应与国产化推进支撑毛利率，不因竞争加剧显著下滑</x:v>
      </x:c>
      <x:c r="N121" s="41" t="str">
        <x:v>产能与交付能力跟上订单增长，合同负债转化不出现明显滞后</x:v>
      </x:c>
      <x:c r="O121" s="43" t="str">
        <x:v>公告披露：2023年新签订单超过300亿元，其中集成电路领域占比超过70%。</x:v>
      </x:c>
      <x:c r="P121" s="43" t="str">
        <x:v>收入/利润</x:v>
      </x:c>
      <x:c r="Q121" s="43" t="str">
        <x:v>H1-需求与出货</x:v>
      </x:c>
      <x:c r="R121" s="43" t="str">
        <x:v>支持</x:v>
      </x:c>
      <x:c r="S121" s="43" t="str">
        <x:v>高</x:v>
      </x:c>
      <x:c r="T121" s="43" t="str">
        <x:v>直接</x:v>
      </x:c>
      <x:c r="U121" s="43" t="str">
        <x:v>2023年新签订单超过300亿元，其中集成电路领域占比超过70%。</x:v>
      </x:c>
      <x:c r="V121" s="43" t="str">
        <x:v>该事实提高H1-需求与出货的可信度；判断基于公告直接披露的业务指标、阶段进展或风险信息。</x:v>
      </x:c>
      <x:c r="W121" s="43" t="n">
        <x:v>5</x:v>
      </x:c>
      <x:c r="X121" s="43" t="str">
        <x:v>无</x:v>
      </x:c>
      <x:c r="Y121" s="43" t="str">
        <x:v>B-CODEX-FIN-01</x:v>
      </x:c>
      <x:c r="Z121" s="49" t="str">
        <x:v>20260826T150309+08:00</x:v>
      </x:c>
    </x:row>
  </x:sheetData>
  <x:dataValidations count="7">
    <x:dataValidation type="list" sqref="P2:P121">
      <x:formula1>"产销/需求,收入/利润,研发/注册,产能/资本开支,订单/合同,融资/现金流,风险/合规,治理/其他,无法判断"</x:formula1>
    </x:dataValidation>
    <x:dataValidation type="list" sqref="Q2:Q121">
      <x:formula1>"H1-需求与出货,H2-盈利质量,H3-产能与扩张,无关,信息不足"</x:formula1>
    </x:dataValidation>
    <x:dataValidation type="list" sqref="R2:R121">
      <x:formula1>"支持,冲突,中性,无关,信息不足"</x:formula1>
    </x:dataValidation>
    <x:dataValidation type="list" sqref="S2:S121">
      <x:formula1>"高,中,低,不适用"</x:formula1>
    </x:dataValidation>
    <x:dataValidation type="list" sqref="T2:T121">
      <x:formula1>"直接,间接,不适用"</x:formula1>
    </x:dataValidation>
    <x:dataValidation type="list" sqref="W2:W121">
      <x:formula1>"1,2,3,4,5"</x:formula1>
    </x:dataValidation>
    <x:dataValidation type="list" sqref="X2:X121">
      <x:formula1>"无,原文不可达,正文不可提取,疑似重复,时间不明确,证券归属存疑,其他"</x:formula1>
    </x:dataValidation>
  </x:dataValidation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7" hidden="0" customWidth="1"/>
    <x:col min="2" max="2" width="13" hidden="0" customWidth="1"/>
    <x:col min="3" max="3" width="13" hidden="0" customWidth="1"/>
    <x:col min="4" max="4" width="18" hidden="0" customWidth="1"/>
    <x:col min="5" max="5" width="12" hidden="0" customWidth="1"/>
    <x:col min="6" max="6" width="11" hidden="0" customWidth="1"/>
    <x:col min="7" max="7" width="13" hidden="0" customWidth="1"/>
    <x:col min="8" max="8" width="22" hidden="0" customWidth="1"/>
    <x:col min="9" max="9" width="38" hidden="0" customWidth="1"/>
    <x:col min="10" max="10" width="34" hidden="0" customWidth="1"/>
    <x:col min="11" max="11" width="22" hidden="0" customWidth="1"/>
    <x:col min="12" max="12" width="50" hidden="0" customWidth="1"/>
    <x:col min="13" max="13" width="20" hidden="0" customWidth="1"/>
    <x:col min="14" max="14" width="23" hidden="0" customWidth="1"/>
    <x:col min="15" max="15" width="15" hidden="0" customWidth="1"/>
    <x:col min="16" max="16" width="12" hidden="0" customWidth="1"/>
    <x:col min="17" max="17" width="12" hidden="0" customWidth="1"/>
    <x:col min="18" max="18" width="10" hidden="0" customWidth="1"/>
    <x:col min="19" max="19" width="16" hidden="0" customWidth="1"/>
    <x:col min="20" max="20" width="38" hidden="0" customWidth="1"/>
    <x:col min="21" max="21" width="10" hidden="0" customWidth="1"/>
    <x:col min="22" max="22" width="18" hidden="0" customWidth="1"/>
    <x:col min="23" max="23" width="16" hidden="0" customWidth="1"/>
    <x:col min="24" max="24" width="22" hidden="0" customWidth="1"/>
  </x:cols>
  <x:sheetData>
    <x:row r="1" ht="15" hidden="0" customHeight="1">
      <x:c r="A1" s="40" t="str">
        <x:v>序号</x:v>
      </x:c>
      <x:c r="B1" s="40" t="str">
        <x:v>正文样本ID</x:v>
      </x:c>
      <x:c r="C1" s="40" t="str">
        <x:v>事件样本ID</x:v>
      </x:c>
      <x:c r="D1" s="40" t="str">
        <x:v>公告ID</x:v>
      </x:c>
      <x:c r="E1" s="40" t="str">
        <x:v>公司</x:v>
      </x:c>
      <x:c r="F1" s="40" t="str">
        <x:v>证券代码</x:v>
      </x:c>
      <x:c r="G1" s="40" t="str">
        <x:v>行业</x:v>
      </x:c>
      <x:c r="H1" s="40" t="str">
        <x:v>披露时间</x:v>
      </x:c>
      <x:c r="I1" s="40" t="str">
        <x:v>公告标题</x:v>
      </x:c>
      <x:c r="J1" s="40" t="str">
        <x:v>原文链接</x:v>
      </x:c>
      <x:c r="K1" s="40" t="str">
        <x:v>正文定位</x:v>
      </x:c>
      <x:c r="L1" s="40" t="str">
        <x:v>正文片段</x:v>
      </x:c>
      <x:c r="M1" s="40" t="str">
        <x:v>是否存在可抽取事实</x:v>
      </x:c>
      <x:c r="N1" s="40" t="str">
        <x:v>事实类型</x:v>
      </x:c>
      <x:c r="O1" s="40" t="str">
        <x:v>变化方向</x:v>
      </x:c>
      <x:c r="P1" s="40" t="str">
        <x:v>数值下限</x:v>
      </x:c>
      <x:c r="Q1" s="40" t="str">
        <x:v>数值上限</x:v>
      </x:c>
      <x:c r="R1" s="40" t="str">
        <x:v>单位</x:v>
      </x:c>
      <x:c r="S1" s="40" t="str">
        <x:v>事实发生期</x:v>
      </x:c>
      <x:c r="T1" s="40" t="str">
        <x:v>判断理由</x:v>
      </x:c>
      <x:c r="U1" s="40" t="str">
        <x:v>置信度</x:v>
      </x:c>
      <x:c r="V1" s="40" t="str">
        <x:v>数据问题</x:v>
      </x:c>
      <x:c r="W1" s="40" t="str">
        <x:v>标注人ID</x:v>
      </x:c>
      <x:c r="X1" s="40" t="str">
        <x:v>标注时间</x:v>
      </x:c>
    </x:row>
    <x:row r="2" ht="56" hidden="0" customHeight="1">
      <x:c r="A2" s="41" t="str">
        <x:v>1</x:v>
      </x:c>
      <x:c r="B2" s="41" t="str">
        <x:v>G3-B037</x:v>
      </x:c>
      <x:c r="C2" s="41" t="str">
        <x:v>G3-E081</x:v>
      </x:c>
      <x:c r="D2" s="41" t="str">
        <x:v>EVT-09868-00081</x:v>
      </x:c>
      <x:c r="E2" s="41" t="str">
        <x:v>小鹏汽车</x:v>
      </x:c>
      <x:c r="F2" s="42" t="str">
        <x:v>​09868</x:v>
      </x:c>
      <x:c r="G2" s="41" t="str">
        <x:v>新能源汽车</x:v>
      </x:c>
      <x:c r="H2" s="42" t="str">
        <x:v>​2025-03-03T19:18:14+08:00</x:v>
      </x:c>
      <x:c r="I2" s="41" t="str">
        <x:v>自愿公告2025年2月智能车交付数据</x:v>
      </x:c>
      <x:c r="J2" s="41" t="str">
        <x:v>http://static.cninfo.com.cn/finalpage/2025-03-03/1222693592.PDF</x:v>
      </x:c>
      <x:c r="K2" s="43" t="str">
        <x:v>第1页，相关正文/表格</x:v>
      </x:c>
      <x:c r="L2" s="43" t="str">
        <x:v>2025年2月，小鹏汽车共交付智能电动汽车30,453辆，同比增长570%。</x:v>
      </x:c>
      <x:c r="M2" s="43" t="str">
        <x:v>是</x:v>
      </x:c>
      <x:c r="N2" s="43" t="str">
        <x:v>销量或交付量同比</x:v>
      </x:c>
      <x:c r="O2" s="43" t="str">
        <x:v>上升</x:v>
      </x:c>
      <x:c r="P2" s="43" t="n">
        <x:v>570</x:v>
      </x:c>
      <x:c r="Q2" s="43" t="n">
        <x:v>570</x:v>
      </x:c>
      <x:c r="R2" s="43" t="str">
        <x:v>%</x:v>
      </x:c>
      <x:c r="S2" s="43" t="str">
        <x:v>2025-02</x:v>
      </x:c>
      <x:c r="T2" s="43" t="str">
        <x:v>正文明确披露数值、比较基准和对应经营期间，可作为结构化事实抽取。</x:v>
      </x:c>
      <x:c r="U2" s="43" t="n">
        <x:v>5</x:v>
      </x:c>
      <x:c r="V2" s="43" t="str">
        <x:v>无</x:v>
      </x:c>
      <x:c r="W2" s="43" t="str">
        <x:v>B-CODEX-FIN-01</x:v>
      </x:c>
      <x:c r="X2" s="49" t="str">
        <x:v>20260826T150309+08:00</x:v>
      </x:c>
    </x:row>
    <x:row r="3" ht="56" hidden="0" customHeight="1">
      <x:c r="A3" s="41" t="str">
        <x:v>2</x:v>
      </x:c>
      <x:c r="B3" s="41" t="str">
        <x:v>G3-B014</x:v>
      </x:c>
      <x:c r="C3" s="41" t="str">
        <x:v>G3-E021</x:v>
      </x:c>
      <x:c r="D3" s="41" t="str">
        <x:v>EVT-600276-00488</x:v>
      </x:c>
      <x:c r="E3" s="41" t="str">
        <x:v>恒瑞医药</x:v>
      </x:c>
      <x:c r="F3" s="42" t="str">
        <x:v>​600276</x:v>
      </x:c>
      <x:c r="G3" s="41" t="str">
        <x:v>医药</x:v>
      </x:c>
      <x:c r="H3" s="42" t="str">
        <x:v>​2025-12-08T00:00:00+08:00</x:v>
      </x:c>
      <x:c r="I3" s="41" t="str">
        <x:v>恒瑞医药关于公司药品纳入国家医保目录的公告</x:v>
      </x:c>
      <x:c r="J3" s="41" t="str">
        <x:v>http://static.cninfo.com.cn/finalpage/2025-12-08/1224856686.PDF</x:v>
      </x:c>
      <x:c r="K3" s="43" t="str">
        <x:v>第5页，相关正文/表格</x:v>
      </x:c>
      <x:c r="L3" s="43" t="str">
        <x:v>公告所涉药品2025年1-3季度合计销售额约为75.54亿元。</x:v>
      </x:c>
      <x:c r="M3" s="43" t="str">
        <x:v>是</x:v>
      </x:c>
      <x:c r="N3" s="43" t="str">
        <x:v>其他</x:v>
      </x:c>
      <x:c r="O3" s="43" t="str">
        <x:v>无法判断</x:v>
      </x:c>
      <x:c r="P3" s="43" t="n">
        <x:v>75.54</x:v>
      </x:c>
      <x:c r="Q3" s="43" t="n">
        <x:v>75.54</x:v>
      </x:c>
      <x:c r="R3" s="43" t="str">
        <x:v>亿元</x:v>
      </x:c>
      <x:c r="S3" s="43" t="str">
        <x:v>2025-01至09</x:v>
      </x:c>
      <x:c r="T3" s="43" t="str">
        <x:v>正文明确披露可复核的业务金额、投入或交易上限及对应期间，可作为结构化事实抽取。</x:v>
      </x:c>
      <x:c r="U3" s="43" t="n">
        <x:v>5</x:v>
      </x:c>
      <x:c r="V3" s="43" t="str">
        <x:v>无</x:v>
      </x:c>
      <x:c r="W3" s="43" t="str">
        <x:v>B-CODEX-FIN-01</x:v>
      </x:c>
      <x:c r="X3" s="49" t="str">
        <x:v>20260826T150309+08:00</x:v>
      </x:c>
    </x:row>
    <x:row r="4" ht="56" hidden="0" customHeight="1">
      <x:c r="A4" s="41" t="str">
        <x:v>3</x:v>
      </x:c>
      <x:c r="B4" s="41" t="str">
        <x:v>G3-B060</x:v>
      </x:c>
      <x:c r="C4" s="41" t="str">
        <x:v>G3-E074</x:v>
      </x:c>
      <x:c r="D4" s="41" t="str">
        <x:v>EVT-002371-00261</x:v>
      </x:c>
      <x:c r="E4" s="41" t="str">
        <x:v>北方华创</x:v>
      </x:c>
      <x:c r="F4" s="42" t="str">
        <x:v>​002371</x:v>
      </x:c>
      <x:c r="G4" s="41" t="str">
        <x:v>芯片半导体</x:v>
      </x:c>
      <x:c r="H4" s="42" t="str">
        <x:v>​2025-10-18T00:00:00+08:00</x:v>
      </x:c>
      <x:c r="I4" s="41" t="str">
        <x:v>关于归还暂时补充流动资金的闲置募集资金的公告</x:v>
      </x:c>
      <x:c r="J4" s="41" t="str">
        <x:v>http://static.cninfo.com.cn/finalpage/2025-10-18/1224718261.PDF</x:v>
      </x:c>
      <x:c r="K4" s="43" t="str">
        <x:v>第1页，相关正文/表格</x:v>
      </x:c>
      <x:c r="L4" s="43" t="str">
        <x:v>闲置募集资金130,000万元已全部归还至募集资金专用账户。</x:v>
      </x:c>
      <x:c r="M4" s="43" t="str">
        <x:v>是</x:v>
      </x:c>
      <x:c r="N4" s="43" t="str">
        <x:v>其他</x:v>
      </x:c>
      <x:c r="O4" s="43" t="str">
        <x:v>无法判断</x:v>
      </x:c>
      <x:c r="P4" s="43" t="n">
        <x:v>130000</x:v>
      </x:c>
      <x:c r="Q4" s="43" t="n">
        <x:v>130000</x:v>
      </x:c>
      <x:c r="R4" s="43" t="str">
        <x:v>万元</x:v>
      </x:c>
      <x:c r="S4" s="43" t="str">
        <x:v>2025-10</x:v>
      </x:c>
      <x:c r="T4" s="43" t="str">
        <x:v>正文明确披露可复核的业务金额、投入或交易上限及对应期间，可作为结构化事实抽取。</x:v>
      </x:c>
      <x:c r="U4" s="43" t="n">
        <x:v>5</x:v>
      </x:c>
      <x:c r="V4" s="43" t="str">
        <x:v>无</x:v>
      </x:c>
      <x:c r="W4" s="43" t="str">
        <x:v>B-CODEX-FIN-01</x:v>
      </x:c>
      <x:c r="X4" s="49" t="str">
        <x:v>20260826T150309+08:00</x:v>
      </x:c>
    </x:row>
    <x:row r="5" ht="56" hidden="0" customHeight="1">
      <x:c r="A5" s="41" t="str">
        <x:v>4</x:v>
      </x:c>
      <x:c r="B5" s="41" t="str">
        <x:v>G3-B024</x:v>
      </x:c>
      <x:c r="C5" s="41" t="str">
        <x:v>G3-E049</x:v>
      </x:c>
      <x:c r="D5" s="41" t="str">
        <x:v>EVT-002594-00020</x:v>
      </x:c>
      <x:c r="E5" s="41" t="str">
        <x:v>比亚迪</x:v>
      </x:c>
      <x:c r="F5" s="42" t="str">
        <x:v>​002594</x:v>
      </x:c>
      <x:c r="G5" s="41" t="str">
        <x:v>新能源汽车</x:v>
      </x:c>
      <x:c r="H5" s="42" t="str">
        <x:v>​2024-03-02T00:00:00+08:00</x:v>
      </x:c>
      <x:c r="I5" s="41" t="str">
        <x:v>关于持股5%以上股东部分股份质押的公告</x:v>
      </x:c>
      <x:c r="J5" s="41" t="str">
        <x:v>http://static.cninfo.com.cn/finalpage/2024-03-02/1219219982.PDF</x:v>
      </x:c>
      <x:c r="K5" s="43" t="str">
        <x:v>第1页，相关正文/表格</x:v>
      </x:c>
      <x:c r="L5" s="43" t="str">
        <x:v>关于持股5%以上股东部分股份质押的公告</x:v>
      </x:c>
      <x:c r="M5" s="43" t="str">
        <x:v>否</x:v>
      </x:c>
      <x:c r="N5" s="43" t="str">
        <x:v>不适用</x:v>
      </x:c>
      <x:c r="O5" s="43" t="str">
        <x:v>不适用</x:v>
      </x:c>
      <x:c r="P5" s="43"/>
      <x:c r="Q5" s="43"/>
      <x:c r="R5" s="43"/>
      <x:c r="S5" s="43"/>
      <x:c r="T5" s="43" t="str">
        <x:v>正文主要披露治理、审批、制度或阶段性事项，未提供可按目标口径抽取的经营数值与比较基准。</x:v>
      </x:c>
      <x:c r="U5" s="43" t="n">
        <x:v>4</x:v>
      </x:c>
      <x:c r="V5" s="43" t="str">
        <x:v>无</x:v>
      </x:c>
      <x:c r="W5" s="43" t="str">
        <x:v>B-CODEX-FIN-01</x:v>
      </x:c>
      <x:c r="X5" s="49" t="str">
        <x:v>20260826T150309+08:00</x:v>
      </x:c>
    </x:row>
    <x:row r="6" ht="56" hidden="0" customHeight="1">
      <x:c r="A6" s="41" t="str">
        <x:v>5</x:v>
      </x:c>
      <x:c r="B6" s="41" t="str">
        <x:v>G3-B048</x:v>
      </x:c>
      <x:c r="C6" s="41" t="str">
        <x:v>G3-E058</x:v>
      </x:c>
      <x:c r="D6" s="41" t="str">
        <x:v>EVT-002371-00194</x:v>
      </x:c>
      <x:c r="E6" s="41" t="str">
        <x:v>北方华创</x:v>
      </x:c>
      <x:c r="F6" s="42" t="str">
        <x:v>​002371</x:v>
      </x:c>
      <x:c r="G6" s="41" t="str">
        <x:v>芯片半导体</x:v>
      </x:c>
      <x:c r="H6" s="42" t="str">
        <x:v>​2025-04-26T00:00:00+08:00</x:v>
      </x:c>
      <x:c r="I6" s="41" t="str">
        <x:v>2025年一季度报告</x:v>
      </x:c>
      <x:c r="J6" s="41" t="str">
        <x:v>http://static.cninfo.com.cn/finalpage/2025-04-26/1223309242.PDF</x:v>
      </x:c>
      <x:c r="K6" s="43" t="str">
        <x:v>第2页，相关正文/表格</x:v>
      </x:c>
      <x:c r="L6" s="43" t="str">
        <x:v>2025年1-3月营业收入8,206,029,208.83元，比上年同期增加37.90%。</x:v>
      </x:c>
      <x:c r="M6" s="43" t="str">
        <x:v>是</x:v>
      </x:c>
      <x:c r="N6" s="43" t="str">
        <x:v>营业收入同比</x:v>
      </x:c>
      <x:c r="O6" s="43" t="str">
        <x:v>上升</x:v>
      </x:c>
      <x:c r="P6" s="43" t="n">
        <x:v>37.9</x:v>
      </x:c>
      <x:c r="Q6" s="43" t="n">
        <x:v>37.9</x:v>
      </x:c>
      <x:c r="R6" s="43" t="str">
        <x:v>%</x:v>
      </x:c>
      <x:c r="S6" s="43" t="str">
        <x:v>2025-Q1</x:v>
      </x:c>
      <x:c r="T6" s="43" t="str">
        <x:v>正文明确披露数值、比较基准和对应经营期间，可作为结构化事实抽取。</x:v>
      </x:c>
      <x:c r="U6" s="43" t="n">
        <x:v>5</x:v>
      </x:c>
      <x:c r="V6" s="43" t="str">
        <x:v>无</x:v>
      </x:c>
      <x:c r="W6" s="43" t="str">
        <x:v>B-CODEX-FIN-01</x:v>
      </x:c>
      <x:c r="X6" s="49" t="str">
        <x:v>20260826T150309+08:00</x:v>
      </x:c>
    </x:row>
    <x:row r="7" ht="56" hidden="0" customHeight="1">
      <x:c r="A7" s="41" t="str">
        <x:v>6</x:v>
      </x:c>
      <x:c r="B7" s="41" t="str">
        <x:v>G3-B020</x:v>
      </x:c>
      <x:c r="C7" s="41" t="str">
        <x:v>G3-E083</x:v>
      </x:c>
      <x:c r="D7" s="41" t="str">
        <x:v>EVT-000538-00051</x:v>
      </x:c>
      <x:c r="E7" s="41" t="str">
        <x:v>云南白药</x:v>
      </x:c>
      <x:c r="F7" s="42" t="str">
        <x:v>​000538</x:v>
      </x:c>
      <x:c r="G7" s="41" t="str">
        <x:v>医药</x:v>
      </x:c>
      <x:c r="H7" s="42" t="str">
        <x:v>​2024-05-11T00:00:00+08:00</x:v>
      </x:c>
      <x:c r="I7" s="41" t="str">
        <x:v>关于氟比洛芬凝胶贴膏获得药物临床试验批准的公告</x:v>
      </x:c>
      <x:c r="J7" s="41" t="str">
        <x:v>http://static.cninfo.com.cn/finalpage/2024-05-11/1220033851.PDF</x:v>
      </x:c>
      <x:c r="K7" s="43" t="str">
        <x:v>第2页，相关正文/表格</x:v>
      </x:c>
      <x:c r="L7" s="43" t="str">
        <x:v>截至目前，针对该产品已投入研发费用约人民币450万元。</x:v>
      </x:c>
      <x:c r="M7" s="43" t="str">
        <x:v>是</x:v>
      </x:c>
      <x:c r="N7" s="43" t="str">
        <x:v>其他</x:v>
      </x:c>
      <x:c r="O7" s="43" t="str">
        <x:v>无法判断</x:v>
      </x:c>
      <x:c r="P7" s="43" t="n">
        <x:v>450</x:v>
      </x:c>
      <x:c r="Q7" s="43" t="n">
        <x:v>450</x:v>
      </x:c>
      <x:c r="R7" s="43" t="str">
        <x:v>万元</x:v>
      </x:c>
      <x:c r="S7" s="43" t="str">
        <x:v>截至2024-05</x:v>
      </x:c>
      <x:c r="T7" s="43" t="str">
        <x:v>正文明确披露可复核的业务金额、投入或交易上限及对应期间，可作为结构化事实抽取。</x:v>
      </x:c>
      <x:c r="U7" s="43" t="n">
        <x:v>5</x:v>
      </x:c>
      <x:c r="V7" s="43" t="str">
        <x:v>无</x:v>
      </x:c>
      <x:c r="W7" s="43" t="str">
        <x:v>B-CODEX-FIN-01</x:v>
      </x:c>
      <x:c r="X7" s="49" t="str">
        <x:v>20260826T150309+08:00</x:v>
      </x:c>
    </x:row>
    <x:row r="8" ht="56" hidden="0" customHeight="1">
      <x:c r="A8" s="41" t="str">
        <x:v>7</x:v>
      </x:c>
      <x:c r="B8" s="41" t="str">
        <x:v>G3-B058</x:v>
      </x:c>
      <x:c r="C8" s="41" t="str">
        <x:v>G3-E059</x:v>
      </x:c>
      <x:c r="D8" s="41" t="str">
        <x:v>EVT-002371-00265</x:v>
      </x:c>
      <x:c r="E8" s="41" t="str">
        <x:v>北方华创</x:v>
      </x:c>
      <x:c r="F8" s="42" t="str">
        <x:v>​002371</x:v>
      </x:c>
      <x:c r="G8" s="41" t="str">
        <x:v>芯片半导体</x:v>
      </x:c>
      <x:c r="H8" s="42" t="str">
        <x:v>​2025-10-31T00:00:00+08:00</x:v>
      </x:c>
      <x:c r="I8" s="41" t="str">
        <x:v>募集资金管理办法（2025年10月)</x:v>
      </x:c>
      <x:c r="J8" s="41" t="str">
        <x:v>http://static.cninfo.com.cn/finalpage/2025-10-31/1224774330.PDF</x:v>
      </x:c>
      <x:c r="K8" s="43" t="str">
        <x:v>第4页，相关正文/表格</x:v>
      </x:c>
      <x:c r="L8" s="43" t="str">
        <x:v>（三）超过最近一次募集资金投资计划的完成期限且募集资金投入金额未达到</x:v>
      </x:c>
      <x:c r="M8" s="43" t="str">
        <x:v>否</x:v>
      </x:c>
      <x:c r="N8" s="43" t="str">
        <x:v>不适用</x:v>
      </x:c>
      <x:c r="O8" s="43" t="str">
        <x:v>不适用</x:v>
      </x:c>
      <x:c r="P8" s="43"/>
      <x:c r="Q8" s="43"/>
      <x:c r="R8" s="43"/>
      <x:c r="S8" s="43"/>
      <x:c r="T8" s="43" t="str">
        <x:v>正文主要披露治理、审批、制度或阶段性事项，未提供可按目标口径抽取的经营数值与比较基准。</x:v>
      </x:c>
      <x:c r="U8" s="43" t="n">
        <x:v>4</x:v>
      </x:c>
      <x:c r="V8" s="43" t="str">
        <x:v>无</x:v>
      </x:c>
      <x:c r="W8" s="43" t="str">
        <x:v>B-CODEX-FIN-01</x:v>
      </x:c>
      <x:c r="X8" s="49" t="str">
        <x:v>20260826T150309+08:00</x:v>
      </x:c>
    </x:row>
    <x:row r="9" ht="56" hidden="0" customHeight="1">
      <x:c r="A9" s="41" t="str">
        <x:v>8</x:v>
      </x:c>
      <x:c r="B9" s="41" t="str">
        <x:v>G3-B041</x:v>
      </x:c>
      <x:c r="C9" s="41" t="str">
        <x:v>G3-E088</x:v>
      </x:c>
      <x:c r="D9" s="41" t="str">
        <x:v>EVT-603986-00004</x:v>
      </x:c>
      <x:c r="E9" s="41" t="str">
        <x:v>兆易创新</x:v>
      </x:c>
      <x:c r="F9" s="42" t="str">
        <x:v>​603986</x:v>
      </x:c>
      <x:c r="G9" s="41" t="str">
        <x:v>芯片半导体</x:v>
      </x:c>
      <x:c r="H9" s="42" t="str">
        <x:v>​2024-01-26T00:00:00+08:00</x:v>
      </x:c>
      <x:c r="I9" s="41" t="str">
        <x:v>兆易创新2023年度业绩预告</x:v>
      </x:c>
      <x:c r="J9" s="41" t="str">
        <x:v>http://static.cninfo.com.cn/finalpage/2024-01-26/1219003543.PDF</x:v>
      </x:c>
      <x:c r="K9" s="43" t="str">
        <x:v>第1页，相关正文/表格</x:v>
      </x:c>
      <x:c r="L9" s="43" t="str">
        <x:v>公司预计2023年度实现营业收入57.66亿元左右，同比下降29.08%左右。</x:v>
      </x:c>
      <x:c r="M9" s="43" t="str">
        <x:v>是</x:v>
      </x:c>
      <x:c r="N9" s="43" t="str">
        <x:v>营业收入同比</x:v>
      </x:c>
      <x:c r="O9" s="43" t="str">
        <x:v>下降</x:v>
      </x:c>
      <x:c r="P9" s="43" t="n">
        <x:v>-29.08</x:v>
      </x:c>
      <x:c r="Q9" s="43" t="n">
        <x:v>-29.08</x:v>
      </x:c>
      <x:c r="R9" s="43" t="str">
        <x:v>%</x:v>
      </x:c>
      <x:c r="S9" s="43" t="str">
        <x:v>2023</x:v>
      </x:c>
      <x:c r="T9" s="43" t="str">
        <x:v>正文明确披露数值、比较基准和对应经营期间，可作为结构化事实抽取。</x:v>
      </x:c>
      <x:c r="U9" s="43" t="n">
        <x:v>5</x:v>
      </x:c>
      <x:c r="V9" s="43" t="str">
        <x:v>无</x:v>
      </x:c>
      <x:c r="W9" s="43" t="str">
        <x:v>B-CODEX-FIN-01</x:v>
      </x:c>
      <x:c r="X9" s="49" t="str">
        <x:v>20260826T150309+08:00</x:v>
      </x:c>
    </x:row>
    <x:row r="10" ht="56" hidden="0" customHeight="1">
      <x:c r="A10" s="41" t="str">
        <x:v>9</x:v>
      </x:c>
      <x:c r="B10" s="41" t="str">
        <x:v>G3-B025</x:v>
      </x:c>
      <x:c r="C10" s="41" t="str">
        <x:v>G3-E012</x:v>
      </x:c>
      <x:c r="D10" s="41" t="str">
        <x:v>EVT-00175-00195</x:v>
      </x:c>
      <x:c r="E10" s="41" t="str">
        <x:v>吉利汽车</x:v>
      </x:c>
      <x:c r="F10" s="42" t="str">
        <x:v>​00175</x:v>
      </x:c>
      <x:c r="G10" s="41" t="str">
        <x:v>新能源汽车</x:v>
      </x:c>
      <x:c r="H10" s="42" t="str">
        <x:v>​2025-06-01T18:06:28+08:00</x:v>
      </x:c>
      <x:c r="I10" s="41" t="str">
        <x:v>未经审核之二零二五年五月销量</x:v>
      </x:c>
      <x:c r="J10" s="41" t="str">
        <x:v>http://static.cninfo.com.cn/finalpage/2025-06-01/1223738489.PDF</x:v>
      </x:c>
      <x:c r="K10" s="43" t="str">
        <x:v>第1页，相关正文/表格</x:v>
      </x:c>
      <x:c r="L10" s="43" t="str">
        <x:v>汽车总销量235,208部，去年同期160,658部，同比增加46%。</x:v>
      </x:c>
      <x:c r="M10" s="43" t="str">
        <x:v>是</x:v>
      </x:c>
      <x:c r="N10" s="43" t="str">
        <x:v>销量或交付量同比</x:v>
      </x:c>
      <x:c r="O10" s="43" t="str">
        <x:v>上升</x:v>
      </x:c>
      <x:c r="P10" s="43" t="n">
        <x:v>46</x:v>
      </x:c>
      <x:c r="Q10" s="43" t="n">
        <x:v>46</x:v>
      </x:c>
      <x:c r="R10" s="43" t="str">
        <x:v>%</x:v>
      </x:c>
      <x:c r="S10" s="43" t="str">
        <x:v>2025-05</x:v>
      </x:c>
      <x:c r="T10" s="43" t="str">
        <x:v>正文明确披露数值、比较基准和对应经营期间，可作为结构化事实抽取。</x:v>
      </x:c>
      <x:c r="U10" s="43" t="n">
        <x:v>5</x:v>
      </x:c>
      <x:c r="V10" s="43" t="str">
        <x:v>无</x:v>
      </x:c>
      <x:c r="W10" s="43" t="str">
        <x:v>B-CODEX-FIN-01</x:v>
      </x:c>
      <x:c r="X10" s="49" t="str">
        <x:v>20260826T150309+08:00</x:v>
      </x:c>
    </x:row>
    <x:row r="11" ht="56" hidden="0" customHeight="1">
      <x:c r="A11" s="41" t="str">
        <x:v>10</x:v>
      </x:c>
      <x:c r="B11" s="41" t="str">
        <x:v>G3-B034</x:v>
      </x:c>
      <x:c r="C11" s="41" t="str">
        <x:v>G3-E008</x:v>
      </x:c>
      <x:c r="D11" s="41" t="str">
        <x:v>EVT-00175-00449</x:v>
      </x:c>
      <x:c r="E11" s="41" t="str">
        <x:v>吉利汽车</x:v>
      </x:c>
      <x:c r="F11" s="42" t="str">
        <x:v>​00175</x:v>
      </x:c>
      <x:c r="G11" s="41" t="str">
        <x:v>新能源汽车</x:v>
      </x:c>
      <x:c r="H11" s="42" t="str">
        <x:v>​2026-07-23T17:48:11+08:00</x:v>
      </x:c>
      <x:c r="I11" s="41" t="str">
        <x:v>自愿公布收购西班牙一间目标公司34%的股权及成立一间合营公司从事乘用车合约生产</x:v>
      </x:c>
      <x:c r="J11" s="41" t="str">
        <x:v>http://static.cninfo.com.cn/finalpage/2026-07-23/1225439110.PDF</x:v>
      </x:c>
      <x:c r="K11" s="43" t="str">
        <x:v>第1页，相关正文/表格</x:v>
      </x:c>
      <x:c r="L11" s="43" t="str">
        <x:v>拟收购目标公司34%股权，代价为221百万欧元。</x:v>
      </x:c>
      <x:c r="M11" s="43" t="str">
        <x:v>是</x:v>
      </x:c>
      <x:c r="N11" s="43" t="str">
        <x:v>其他</x:v>
      </x:c>
      <x:c r="O11" s="43" t="str">
        <x:v>无法判断</x:v>
      </x:c>
      <x:c r="P11" s="43" t="n">
        <x:v>221</x:v>
      </x:c>
      <x:c r="Q11" s="43" t="n">
        <x:v>221</x:v>
      </x:c>
      <x:c r="R11" s="43" t="str">
        <x:v>百万欧元</x:v>
      </x:c>
      <x:c r="S11" s="43" t="str">
        <x:v>2026-07</x:v>
      </x:c>
      <x:c r="T11" s="43" t="str">
        <x:v>正文明确披露可复核的业务金额、投入或交易上限及对应期间，可作为结构化事实抽取。</x:v>
      </x:c>
      <x:c r="U11" s="43" t="n">
        <x:v>5</x:v>
      </x:c>
      <x:c r="V11" s="43" t="str">
        <x:v>无</x:v>
      </x:c>
      <x:c r="W11" s="43" t="str">
        <x:v>B-CODEX-FIN-01</x:v>
      </x:c>
      <x:c r="X11" s="49" t="str">
        <x:v>20260826T150309+08:00</x:v>
      </x:c>
    </x:row>
    <x:row r="12" ht="56" hidden="0" customHeight="1">
      <x:c r="A12" s="41" t="str">
        <x:v>11</x:v>
      </x:c>
      <x:c r="B12" s="41" t="str">
        <x:v>G3-B031</x:v>
      </x:c>
      <x:c r="C12" s="41" t="str">
        <x:v>G3-E107</x:v>
      </x:c>
      <x:c r="D12" s="41" t="str">
        <x:v>EVT-09868-00121</x:v>
      </x:c>
      <x:c r="E12" s="41" t="str">
        <x:v>小鹏汽车</x:v>
      </x:c>
      <x:c r="F12" s="42" t="str">
        <x:v>​09868</x:v>
      </x:c>
      <x:c r="G12" s="41" t="str">
        <x:v>新能源汽车</x:v>
      </x:c>
      <x:c r="H12" s="42" t="str">
        <x:v>​2025-08-22T21:24:11+08:00</x:v>
      </x:c>
      <x:c r="I12" s="41" t="str">
        <x:v>重续持续关连交易 与广东汇天签订2026年合作框架协议</x:v>
      </x:c>
      <x:c r="J12" s="41" t="str">
        <x:v>http://static.cninfo.com.cn/finalpage/2025-08-22/1224561663.PDF</x:v>
      </x:c>
      <x:c r="K12" s="43" t="str">
        <x:v>第3页，相关正文/表格</x:v>
      </x:c>
      <x:c r="L12" s="43" t="str">
        <x:v>截至2026年止年度，合作框架协议项下交易年度上限为人民币900百万元。</x:v>
      </x:c>
      <x:c r="M12" s="43" t="str">
        <x:v>是</x:v>
      </x:c>
      <x:c r="N12" s="43" t="str">
        <x:v>订单金额</x:v>
      </x:c>
      <x:c r="O12" s="43" t="str">
        <x:v>无法判断</x:v>
      </x:c>
      <x:c r="P12" s="43" t="n">
        <x:v>900</x:v>
      </x:c>
      <x:c r="Q12" s="43" t="n">
        <x:v>900</x:v>
      </x:c>
      <x:c r="R12" s="43" t="str">
        <x:v>百万元</x:v>
      </x:c>
      <x:c r="S12" s="43" t="str">
        <x:v>2026</x:v>
      </x:c>
      <x:c r="T12" s="43" t="str">
        <x:v>正文明确披露可复核的业务金额、投入或交易上限及对应期间，可作为结构化事实抽取。</x:v>
      </x:c>
      <x:c r="U12" s="43" t="n">
        <x:v>5</x:v>
      </x:c>
      <x:c r="V12" s="43" t="str">
        <x:v>无</x:v>
      </x:c>
      <x:c r="W12" s="43" t="str">
        <x:v>B-CODEX-FIN-01</x:v>
      </x:c>
      <x:c r="X12" s="49" t="str">
        <x:v>20260826T150309+08:00</x:v>
      </x:c>
    </x:row>
    <x:row r="13" ht="24" hidden="0" customHeight="1">
      <x:c r="A13" s="41" t="str">
        <x:v>12</x:v>
      </x:c>
      <x:c r="B13" s="41" t="str">
        <x:v>G3-B015</x:v>
      </x:c>
      <x:c r="C13" s="41" t="str">
        <x:v>G3-E057</x:v>
      </x:c>
      <x:c r="D13" s="41" t="str">
        <x:v>EVT-000538-00202</x:v>
      </x:c>
      <x:c r="E13" s="41" t="str">
        <x:v>云南白药</x:v>
      </x:c>
      <x:c r="F13" s="42" t="str">
        <x:v>​000538</x:v>
      </x:c>
      <x:c r="G13" s="41" t="str">
        <x:v>医药</x:v>
      </x:c>
      <x:c r="H13" s="42" t="str">
        <x:v>​2026-04-01T00:00:00+08:00</x:v>
      </x:c>
      <x:c r="I13" s="41" t="str">
        <x:v>云南白药集团股份有限公司董事和高级管理人员所持公司股份及其变动管理制度</x:v>
      </x:c>
      <x:c r="J13" s="41" t="str">
        <x:v>http://static.cninfo.com.cn/finalpage/2026-04-01/1225067998.PDF</x:v>
      </x:c>
      <x:c r="K13" s="43" t="str">
        <x:v>第8页，相关正文/表格</x:v>
      </x:c>
      <x:c r="L13" s="43" t="str">
        <x:v>的，已披露减持计划但尚未披露减持计划完成公告的董事和高级管理人员应</x:v>
      </x:c>
      <x:c r="M13" s="43" t="str">
        <x:v>否</x:v>
      </x:c>
      <x:c r="N13" s="43" t="str">
        <x:v>不适用</x:v>
      </x:c>
      <x:c r="O13" s="43" t="str">
        <x:v>不适用</x:v>
      </x:c>
      <x:c r="P13" s="43"/>
      <x:c r="Q13" s="43"/>
      <x:c r="R13" s="43"/>
      <x:c r="S13" s="43"/>
      <x:c r="T13" s="43" t="str">
        <x:v>正文主要披露治理、审批、制度或阶段性事项，未提供可按目标口径抽取的经营数值与比较基准。</x:v>
      </x:c>
      <x:c r="U13" s="43" t="n">
        <x:v>4</x:v>
      </x:c>
      <x:c r="V13" s="43" t="str">
        <x:v>无</x:v>
      </x:c>
      <x:c r="W13" s="43" t="str">
        <x:v>B-CODEX-FIN-01</x:v>
      </x:c>
      <x:c r="X13" s="49" t="str">
        <x:v>20260826T150309+08:00</x:v>
      </x:c>
    </x:row>
    <x:row r="14" ht="24" hidden="0" customHeight="1">
      <x:c r="A14" s="41" t="str">
        <x:v>13</x:v>
      </x:c>
      <x:c r="B14" s="41" t="str">
        <x:v>G3-B050</x:v>
      </x:c>
      <x:c r="C14" s="41" t="str">
        <x:v>G3-E100</x:v>
      </x:c>
      <x:c r="D14" s="41" t="str">
        <x:v>EVT-603986-00478</x:v>
      </x:c>
      <x:c r="E14" s="41" t="str">
        <x:v>兆易创新</x:v>
      </x:c>
      <x:c r="F14" s="42" t="str">
        <x:v>​603986</x:v>
      </x:c>
      <x:c r="G14" s="41" t="str">
        <x:v>芯片半导体</x:v>
      </x:c>
      <x:c r="H14" s="42" t="str">
        <x:v>​2026-05-27T00:00:00+08:00</x:v>
      </x:c>
      <x:c r="I14" s="41" t="str">
        <x:v>兆易创新关于调整2024年股票期权激励计划相关事项的公告</x:v>
      </x:c>
      <x:c r="J14" s="41" t="str">
        <x:v>http://static.cninfo.com.cn/finalpage/2026-05-27/1225331853.PDF</x:v>
      </x:c>
      <x:c r="K14" s="43" t="str">
        <x:v>第2页，相关正文/表格</x:v>
      </x:c>
      <x:c r="L14" s="43" t="str">
        <x:v>配总额，公司 A股已于 2026年 5月 26日实施完成该利润分配方案。根据《上</x:v>
      </x:c>
      <x:c r="M14" s="43" t="str">
        <x:v>否</x:v>
      </x:c>
      <x:c r="N14" s="43" t="str">
        <x:v>不适用</x:v>
      </x:c>
      <x:c r="O14" s="43" t="str">
        <x:v>不适用</x:v>
      </x:c>
      <x:c r="P14" s="43"/>
      <x:c r="Q14" s="43"/>
      <x:c r="R14" s="43"/>
      <x:c r="S14" s="43"/>
      <x:c r="T14" s="43" t="str">
        <x:v>正文主要披露治理、审批、制度或阶段性事项，未提供可按目标口径抽取的经营数值与比较基准。</x:v>
      </x:c>
      <x:c r="U14" s="43" t="n">
        <x:v>4</x:v>
      </x:c>
      <x:c r="V14" s="43" t="str">
        <x:v>无</x:v>
      </x:c>
      <x:c r="W14" s="43" t="str">
        <x:v>B-CODEX-FIN-01</x:v>
      </x:c>
      <x:c r="X14" s="49" t="str">
        <x:v>20260826T150309+08:00</x:v>
      </x:c>
    </x:row>
    <x:row r="15" ht="24" hidden="0" customHeight="1">
      <x:c r="A15" s="41" t="str">
        <x:v>14</x:v>
      </x:c>
      <x:c r="B15" s="41" t="str">
        <x:v>G3-B042</x:v>
      </x:c>
      <x:c r="C15" s="41" t="str">
        <x:v>G3-E004</x:v>
      </x:c>
      <x:c r="D15" s="41" t="str">
        <x:v>EVT-603986-00507</x:v>
      </x:c>
      <x:c r="E15" s="41" t="str">
        <x:v>兆易创新</x:v>
      </x:c>
      <x:c r="F15" s="42" t="str">
        <x:v>​603986</x:v>
      </x:c>
      <x:c r="G15" s="41" t="str">
        <x:v>芯片半导体</x:v>
      </x:c>
      <x:c r="H15" s="42" t="str">
        <x:v>​2026-07-30T00:00:00+08:00</x:v>
      </x:c>
      <x:c r="I15" s="41" t="str">
        <x:v>兆易创新股东增持股份计划公告</x:v>
      </x:c>
      <x:c r="J15" s="41" t="str">
        <x:v>http://static.cninfo.com.cn/finalpage/2026-07-30/1225447344.PDF</x:v>
      </x:c>
      <x:c r="K15" s="43" t="str">
        <x:v>第1页，相关正文/表格</x:v>
      </x:c>
      <x:c r="L15" s="43" t="str">
        <x:v>股东增持股份计划公告</x:v>
      </x:c>
      <x:c r="M15" s="43" t="str">
        <x:v>否</x:v>
      </x:c>
      <x:c r="N15" s="43" t="str">
        <x:v>不适用</x:v>
      </x:c>
      <x:c r="O15" s="43" t="str">
        <x:v>不适用</x:v>
      </x:c>
      <x:c r="P15" s="43"/>
      <x:c r="Q15" s="43"/>
      <x:c r="R15" s="43"/>
      <x:c r="S15" s="43"/>
      <x:c r="T15" s="43" t="str">
        <x:v>正文主要披露治理、审批、制度或阶段性事项，未提供可按目标口径抽取的经营数值与比较基准。</x:v>
      </x:c>
      <x:c r="U15" s="43" t="n">
        <x:v>4</x:v>
      </x:c>
      <x:c r="V15" s="43" t="str">
        <x:v>无</x:v>
      </x:c>
      <x:c r="W15" s="43" t="str">
        <x:v>B-CODEX-FIN-01</x:v>
      </x:c>
      <x:c r="X15" s="49" t="str">
        <x:v>20260826T150309+08:00</x:v>
      </x:c>
    </x:row>
    <x:row r="16" ht="24" hidden="0" customHeight="1">
      <x:c r="A16" s="41" t="str">
        <x:v>15</x:v>
      </x:c>
      <x:c r="B16" s="41" t="str">
        <x:v>G3-B030</x:v>
      </x:c>
      <x:c r="C16" s="41" t="str">
        <x:v>G3-E092</x:v>
      </x:c>
      <x:c r="D16" s="41" t="str">
        <x:v>EVT-002594-00009</x:v>
      </x:c>
      <x:c r="E16" s="41" t="str">
        <x:v>比亚迪</x:v>
      </x:c>
      <x:c r="F16" s="42" t="str">
        <x:v>​002594</x:v>
      </x:c>
      <x:c r="G16" s="41" t="str">
        <x:v>新能源汽车</x:v>
      </x:c>
      <x:c r="H16" s="42" t="str">
        <x:v>​2024-01-30T00:00:00+08:00</x:v>
      </x:c>
      <x:c r="I16" s="41" t="str">
        <x:v>2023年度业绩预告</x:v>
      </x:c>
      <x:c r="J16" s="41" t="str">
        <x:v>http://static.cninfo.com.cn/finalpage/2024-01-30/1219028933.PDF</x:v>
      </x:c>
      <x:c r="K16" s="43" t="str">
        <x:v>第1页，相关正文/表格</x:v>
      </x:c>
      <x:c r="L16" s="43" t="str">
        <x:v>预计2023年归母净利润比上年同期上升74.46%-86.49%。</x:v>
      </x:c>
      <x:c r="M16" s="43" t="str">
        <x:v>是</x:v>
      </x:c>
      <x:c r="N16" s="43" t="str">
        <x:v>其他</x:v>
      </x:c>
      <x:c r="O16" s="43" t="str">
        <x:v>上升</x:v>
      </x:c>
      <x:c r="P16" s="43" t="n">
        <x:v>74.46</x:v>
      </x:c>
      <x:c r="Q16" s="43" t="n">
        <x:v>86.49</x:v>
      </x:c>
      <x:c r="R16" s="43" t="str">
        <x:v>%</x:v>
      </x:c>
      <x:c r="S16" s="43" t="str">
        <x:v>2023</x:v>
      </x:c>
      <x:c r="T16" s="43" t="str">
        <x:v>正文明确披露数值、比较基准和对应经营期间，可作为结构化事实抽取。</x:v>
      </x:c>
      <x:c r="U16" s="43" t="n">
        <x:v>5</x:v>
      </x:c>
      <x:c r="V16" s="43" t="str">
        <x:v>无</x:v>
      </x:c>
      <x:c r="W16" s="43" t="str">
        <x:v>B-CODEX-FIN-01</x:v>
      </x:c>
      <x:c r="X16" s="49" t="str">
        <x:v>20260826T150309+08:00</x:v>
      </x:c>
    </x:row>
    <x:row r="17" ht="24" hidden="0" customHeight="1">
      <x:c r="A17" s="41" t="str">
        <x:v>16</x:v>
      </x:c>
      <x:c r="B17" s="41" t="str">
        <x:v>G3-B021</x:v>
      </x:c>
      <x:c r="C17" s="41" t="str">
        <x:v>G3-E109</x:v>
      </x:c>
      <x:c r="D17" s="41" t="str">
        <x:v>EVT-09868-00063</x:v>
      </x:c>
      <x:c r="E17" s="41" t="str">
        <x:v>小鹏汽车</x:v>
      </x:c>
      <x:c r="F17" s="42" t="str">
        <x:v>​09868</x:v>
      </x:c>
      <x:c r="G17" s="41" t="str">
        <x:v>新能源汽车</x:v>
      </x:c>
      <x:c r="H17" s="42" t="str">
        <x:v>​2024-10-02T23:59:59+08:00</x:v>
      </x:c>
      <x:c r="I17" s="41" t="str">
        <x:v>自愿公告 2024年9月及第三季度智能车交付数据</x:v>
      </x:c>
      <x:c r="J17" s="41" t="str">
        <x:v>http://static.cninfo.com.cn/finalpage/2024-10-02/1221335028.PDF</x:v>
      </x:c>
      <x:c r="K17" s="43" t="str">
        <x:v>第1页，相关正文/表格</x:v>
      </x:c>
      <x:c r="L17" s="43" t="str">
        <x:v>2024年9月，小鹏汽车共交付智能电动汽车21,352辆，同比增长39%，环比增长52%。</x:v>
      </x:c>
      <x:c r="M17" s="43" t="str">
        <x:v>是</x:v>
      </x:c>
      <x:c r="N17" s="43" t="str">
        <x:v>销量或交付量同比</x:v>
      </x:c>
      <x:c r="O17" s="43" t="str">
        <x:v>上升</x:v>
      </x:c>
      <x:c r="P17" s="43" t="n">
        <x:v>39</x:v>
      </x:c>
      <x:c r="Q17" s="43" t="n">
        <x:v>39</x:v>
      </x:c>
      <x:c r="R17" s="43" t="str">
        <x:v>%</x:v>
      </x:c>
      <x:c r="S17" s="43" t="str">
        <x:v>2024-09</x:v>
      </x:c>
      <x:c r="T17" s="43" t="str">
        <x:v>正文明确披露数值、比较基准和对应经营期间，可作为结构化事实抽取。</x:v>
      </x:c>
      <x:c r="U17" s="43" t="n">
        <x:v>5</x:v>
      </x:c>
      <x:c r="V17" s="43" t="str">
        <x:v>无</x:v>
      </x:c>
      <x:c r="W17" s="43" t="str">
        <x:v>B-CODEX-FIN-01</x:v>
      </x:c>
      <x:c r="X17" s="49" t="str">
        <x:v>20260826T150309+08:00</x:v>
      </x:c>
    </x:row>
    <x:row r="18" ht="24" hidden="0" customHeight="1">
      <x:c r="A18" s="41" t="str">
        <x:v>17</x:v>
      </x:c>
      <x:c r="B18" s="41" t="str">
        <x:v>G3-B016</x:v>
      </x:c>
      <x:c r="C18" s="41" t="str">
        <x:v>G3-E075</x:v>
      </x:c>
      <x:c r="D18" s="41" t="str">
        <x:v>EVT-603259-00470</x:v>
      </x:c>
      <x:c r="E18" s="41" t="str">
        <x:v>药明康德</x:v>
      </x:c>
      <x:c r="F18" s="42" t="str">
        <x:v>​603259</x:v>
      </x:c>
      <x:c r="G18" s="41" t="str">
        <x:v>医药</x:v>
      </x:c>
      <x:c r="H18" s="42" t="str">
        <x:v>​2026-04-28T00:00:00+08:00</x:v>
      </x:c>
      <x:c r="I18" s="41" t="str">
        <x:v>2026年第一季度报告</x:v>
      </x:c>
      <x:c r="J18" s="41" t="str">
        <x:v>http://static.cninfo.com.cn/finalpage/2026-04-28/1225200544.PDF</x:v>
      </x:c>
      <x:c r="K18" s="43" t="str">
        <x:v>第2页，相关正文/表格</x:v>
      </x:c>
      <x:c r="L18" s="43" t="str">
        <x:v>营业收入12,435,776,568.29元，上年同期9,654,595,304.28元，同比增长28.81%。</x:v>
      </x:c>
      <x:c r="M18" s="43" t="str">
        <x:v>是</x:v>
      </x:c>
      <x:c r="N18" s="43" t="str">
        <x:v>营业收入同比</x:v>
      </x:c>
      <x:c r="O18" s="43" t="str">
        <x:v>上升</x:v>
      </x:c>
      <x:c r="P18" s="43" t="n">
        <x:v>28.81</x:v>
      </x:c>
      <x:c r="Q18" s="43" t="n">
        <x:v>28.81</x:v>
      </x:c>
      <x:c r="R18" s="43" t="str">
        <x:v>%</x:v>
      </x:c>
      <x:c r="S18" s="43" t="str">
        <x:v>2026-Q1</x:v>
      </x:c>
      <x:c r="T18" s="43" t="str">
        <x:v>正文明确披露数值、比较基准和对应经营期间，可作为结构化事实抽取。</x:v>
      </x:c>
      <x:c r="U18" s="43" t="n">
        <x:v>5</x:v>
      </x:c>
      <x:c r="V18" s="43" t="str">
        <x:v>无</x:v>
      </x:c>
      <x:c r="W18" s="43" t="str">
        <x:v>B-CODEX-FIN-01</x:v>
      </x:c>
      <x:c r="X18" s="49" t="str">
        <x:v>20260826T150309+08:00</x:v>
      </x:c>
    </x:row>
    <x:row r="19" ht="24" hidden="0" customHeight="1">
      <x:c r="A19" s="41" t="str">
        <x:v>18</x:v>
      </x:c>
      <x:c r="B19" s="41" t="str">
        <x:v>G3-B038</x:v>
      </x:c>
      <x:c r="C19" s="41" t="str">
        <x:v>G3-E113</x:v>
      </x:c>
      <x:c r="D19" s="41" t="str">
        <x:v>EVT-002594-00313</x:v>
      </x:c>
      <x:c r="E19" s="41" t="str">
        <x:v>比亚迪</x:v>
      </x:c>
      <x:c r="F19" s="42" t="str">
        <x:v>​002594</x:v>
      </x:c>
      <x:c r="G19" s="41" t="str">
        <x:v>新能源汽车</x:v>
      </x:c>
      <x:c r="H19" s="42" t="str">
        <x:v>​2025-11-03T00:00:00+08:00</x:v>
      </x:c>
      <x:c r="I19" s="41" t="str">
        <x:v>2025年10月产销快报</x:v>
      </x:c>
      <x:c r="J19" s="41" t="str">
        <x:v>http://static.cninfo.com.cn/finalpage/2025-11-03/1224781922.PDF</x:v>
      </x:c>
      <x:c r="K19" s="43" t="str">
        <x:v>第1页，相关正文/表格</x:v>
      </x:c>
      <x:c r="L19" s="43" t="str">
        <x:v>新能源汽车本年累计销量3,701,852辆，去年累计3,250,532辆，累计同比13.88%。</x:v>
      </x:c>
      <x:c r="M19" s="43" t="str">
        <x:v>是</x:v>
      </x:c>
      <x:c r="N19" s="43" t="str">
        <x:v>销量或交付量同比</x:v>
      </x:c>
      <x:c r="O19" s="43" t="str">
        <x:v>上升</x:v>
      </x:c>
      <x:c r="P19" s="43" t="n">
        <x:v>13.88</x:v>
      </x:c>
      <x:c r="Q19" s="43" t="n">
        <x:v>13.88</x:v>
      </x:c>
      <x:c r="R19" s="43" t="str">
        <x:v>%</x:v>
      </x:c>
      <x:c r="S19" s="43" t="str">
        <x:v>2025-01至10</x:v>
      </x:c>
      <x:c r="T19" s="43" t="str">
        <x:v>正文明确披露数值、比较基准和对应经营期间，可作为结构化事实抽取。</x:v>
      </x:c>
      <x:c r="U19" s="43" t="n">
        <x:v>5</x:v>
      </x:c>
      <x:c r="V19" s="43" t="str">
        <x:v>无</x:v>
      </x:c>
      <x:c r="W19" s="43" t="str">
        <x:v>B-CODEX-FIN-01</x:v>
      </x:c>
      <x:c r="X19" s="49" t="str">
        <x:v>20260826T150309+08:00</x:v>
      </x:c>
    </x:row>
    <x:row r="20" ht="24" hidden="0" customHeight="1">
      <x:c r="A20" s="41" t="str">
        <x:v>19</x:v>
      </x:c>
      <x:c r="B20" s="41" t="str">
        <x:v>G3-B009</x:v>
      </x:c>
      <x:c r="C20" s="41" t="str">
        <x:v>G3-E025</x:v>
      </x:c>
      <x:c r="D20" s="41" t="str">
        <x:v>EVT-600276-00266</x:v>
      </x:c>
      <x:c r="E20" s="41" t="str">
        <x:v>恒瑞医药</x:v>
      </x:c>
      <x:c r="F20" s="42" t="str">
        <x:v>​600276</x:v>
      </x:c>
      <x:c r="G20" s="41" t="str">
        <x:v>医药</x:v>
      </x:c>
      <x:c r="H20" s="42" t="str">
        <x:v>​2025-03-31T00:00:00+08:00</x:v>
      </x:c>
      <x:c r="I20" s="41" t="str">
        <x:v>恒瑞医药2024年年度报告</x:v>
      </x:c>
      <x:c r="J20" s="41" t="str">
        <x:v>http://static.cninfo.com.cn/finalpage/2025-03-31/1222961962.PDF</x:v>
      </x:c>
      <x:c r="K20" s="43" t="str">
        <x:v>第9页，相关正文/表格</x:v>
      </x:c>
      <x:c r="L20" s="43" t="str">
        <x:v>2024年，公司实现营业收入279.85亿元，同比增长22.63%。</x:v>
      </x:c>
      <x:c r="M20" s="43" t="str">
        <x:v>是</x:v>
      </x:c>
      <x:c r="N20" s="43" t="str">
        <x:v>营业收入同比</x:v>
      </x:c>
      <x:c r="O20" s="43" t="str">
        <x:v>上升</x:v>
      </x:c>
      <x:c r="P20" s="43" t="n">
        <x:v>22.63</x:v>
      </x:c>
      <x:c r="Q20" s="43" t="n">
        <x:v>22.63</x:v>
      </x:c>
      <x:c r="R20" s="43" t="str">
        <x:v>%</x:v>
      </x:c>
      <x:c r="S20" s="43" t="str">
        <x:v>2024</x:v>
      </x:c>
      <x:c r="T20" s="43" t="str">
        <x:v>正文明确披露数值、比较基准和对应经营期间，可作为结构化事实抽取。</x:v>
      </x:c>
      <x:c r="U20" s="43" t="n">
        <x:v>5</x:v>
      </x:c>
      <x:c r="V20" s="43" t="str">
        <x:v>无</x:v>
      </x:c>
      <x:c r="W20" s="43" t="str">
        <x:v>B-CODEX-FIN-01</x:v>
      </x:c>
      <x:c r="X20" s="49" t="str">
        <x:v>20260826T150309+08:00</x:v>
      </x:c>
    </x:row>
    <x:row r="21" ht="24" hidden="0" customHeight="1">
      <x:c r="A21" s="41" t="str">
        <x:v>20</x:v>
      </x:c>
      <x:c r="B21" s="41" t="str">
        <x:v>G3-B003</x:v>
      </x:c>
      <x:c r="C21" s="41" t="str">
        <x:v>G3-E037</x:v>
      </x:c>
      <x:c r="D21" s="41" t="str">
        <x:v>EVT-600276-00012</x:v>
      </x:c>
      <x:c r="E21" s="41" t="str">
        <x:v>恒瑞医药</x:v>
      </x:c>
      <x:c r="F21" s="42" t="str">
        <x:v>​600276</x:v>
      </x:c>
      <x:c r="G21" s="41" t="str">
        <x:v>医药</x:v>
      </x:c>
      <x:c r="H21" s="42" t="str">
        <x:v>​2024-02-01T00:00:00+08:00</x:v>
      </x:c>
      <x:c r="I21" s="41" t="str">
        <x:v>恒瑞医药关于获得药品注册证书的公告</x:v>
      </x:c>
      <x:c r="J21" s="41" t="str">
        <x:v>http://static.cninfo.com.cn/finalpage/2024-02-01/1219055661.PDF</x:v>
      </x:c>
      <x:c r="K21" s="43" t="str">
        <x:v>第2页，相关正文/表格</x:v>
      </x:c>
      <x:c r="L21" s="43" t="str">
        <x:v>截至目前，该项目累计已投入研发费用约16,569万元。</x:v>
      </x:c>
      <x:c r="M21" s="43" t="str">
        <x:v>是</x:v>
      </x:c>
      <x:c r="N21" s="43" t="str">
        <x:v>其他</x:v>
      </x:c>
      <x:c r="O21" s="43" t="str">
        <x:v>无法判断</x:v>
      </x:c>
      <x:c r="P21" s="43" t="n">
        <x:v>16569</x:v>
      </x:c>
      <x:c r="Q21" s="43" t="n">
        <x:v>16569</x:v>
      </x:c>
      <x:c r="R21" s="43" t="str">
        <x:v>万元</x:v>
      </x:c>
      <x:c r="S21" s="43" t="str">
        <x:v>截至2024-02</x:v>
      </x:c>
      <x:c r="T21" s="43" t="str">
        <x:v>正文明确披露可复核的业务金额、投入或交易上限及对应期间，可作为结构化事实抽取。</x:v>
      </x:c>
      <x:c r="U21" s="43" t="n">
        <x:v>5</x:v>
      </x:c>
      <x:c r="V21" s="43" t="str">
        <x:v>无</x:v>
      </x:c>
      <x:c r="W21" s="43" t="str">
        <x:v>B-CODEX-FIN-01</x:v>
      </x:c>
      <x:c r="X21" s="49" t="str">
        <x:v>20260826T150309+08:00</x:v>
      </x:c>
    </x:row>
    <x:row r="22" ht="36" hidden="0" customHeight="1">
      <x:c r="A22" s="41" t="str">
        <x:v>21</x:v>
      </x:c>
      <x:c r="B22" s="41" t="str">
        <x:v>G3-B036</x:v>
      </x:c>
      <x:c r="C22" s="41" t="str">
        <x:v>G3-E120</x:v>
      </x:c>
      <x:c r="D22" s="41" t="str">
        <x:v>EVT-09868-00021</x:v>
      </x:c>
      <x:c r="E22" s="41" t="str">
        <x:v>小鹏汽车</x:v>
      </x:c>
      <x:c r="F22" s="42" t="str">
        <x:v>​09868</x:v>
      </x:c>
      <x:c r="G22" s="41" t="str">
        <x:v>新能源汽车</x:v>
      </x:c>
      <x:c r="H22" s="42" t="str">
        <x:v>​2024-04-17T17:18:27+08:00</x:v>
      </x:c>
      <x:c r="I22" s="41" t="str">
        <x:v>自愿公告 与大众汽车集团签订电子电气架构技术战略合作框架协议</x:v>
      </x:c>
      <x:c r="J22" s="41" t="str">
        <x:v>http://static.cninfo.com.cn/finalpage/2024-04-17/1219647424.PDF</x:v>
      </x:c>
      <x:c r="K22" s="43" t="str">
        <x:v>第1页，相关正文/表格</x:v>
      </x:c>
      <x:c r="L22" s="43" t="str">
        <x:v>更快地滿足中國客戶對產品的需求。合作雙方充分發揮各自優勢，共同實現更高的效</x:v>
      </x:c>
      <x:c r="M22" s="43" t="str">
        <x:v>否</x:v>
      </x:c>
      <x:c r="N22" s="43" t="str">
        <x:v>不适用</x:v>
      </x:c>
      <x:c r="O22" s="43" t="str">
        <x:v>不适用</x:v>
      </x:c>
      <x:c r="P22" s="43"/>
      <x:c r="Q22" s="43"/>
      <x:c r="R22" s="43"/>
      <x:c r="S22" s="43"/>
      <x:c r="T22" s="43" t="str">
        <x:v>正文主要披露治理、审批、制度或阶段性事项，未提供可按目标口径抽取的经营数值与比较基准。</x:v>
      </x:c>
      <x:c r="U22" s="43" t="n">
        <x:v>4</x:v>
      </x:c>
      <x:c r="V22" s="43" t="str">
        <x:v>无</x:v>
      </x:c>
      <x:c r="W22" s="43" t="str">
        <x:v>B-CODEX-FIN-01</x:v>
      </x:c>
      <x:c r="X22" s="49" t="str">
        <x:v>20260826T150309+08:00</x:v>
      </x:c>
    </x:row>
    <x:row r="23" ht="36" hidden="0" customHeight="1">
      <x:c r="A23" s="41" t="str">
        <x:v>22</x:v>
      </x:c>
      <x:c r="B23" s="41" t="str">
        <x:v>G3-B057</x:v>
      </x:c>
      <x:c r="C23" s="41" t="str">
        <x:v>G3-E003</x:v>
      </x:c>
      <x:c r="D23" s="41" t="str">
        <x:v>EVT-603986-00499</x:v>
      </x:c>
      <x:c r="E23" s="41" t="str">
        <x:v>兆易创新</x:v>
      </x:c>
      <x:c r="F23" s="42" t="str">
        <x:v>​603986</x:v>
      </x:c>
      <x:c r="G23" s="41" t="str">
        <x:v>芯片半导体</x:v>
      </x:c>
      <x:c r="H23" s="42" t="str">
        <x:v>​2026-07-22T00:00:00+08:00</x:v>
      </x:c>
      <x:c r="I23" s="41" t="str">
        <x:v>中国国际金融股份有限公司关于兆易创新科技集团股份有限公司使用A股部分募集资金向全资子公司增资以实施DRAM募投项目的核查意见</x:v>
      </x:c>
      <x:c r="J23" s="41" t="str">
        <x:v>http://static.cninfo.com.cn/finalpage/2026-07-22/1225435926.PDF</x:v>
      </x:c>
      <x:c r="K23" s="43" t="str">
        <x:v>第3页，相关正文/表格</x:v>
      </x:c>
      <x:c r="L23" s="43" t="str">
        <x:v>公司拟以DRAM募投项目募集资金向珠海芯存增资50,000万元。</x:v>
      </x:c>
      <x:c r="M23" s="43" t="str">
        <x:v>是</x:v>
      </x:c>
      <x:c r="N23" s="43" t="str">
        <x:v>资本开支</x:v>
      </x:c>
      <x:c r="O23" s="43" t="str">
        <x:v>无法判断</x:v>
      </x:c>
      <x:c r="P23" s="43" t="n">
        <x:v>50000</x:v>
      </x:c>
      <x:c r="Q23" s="43" t="n">
        <x:v>50000</x:v>
      </x:c>
      <x:c r="R23" s="43" t="str">
        <x:v>万元</x:v>
      </x:c>
      <x:c r="S23" s="43" t="str">
        <x:v>2026-07</x:v>
      </x:c>
      <x:c r="T23" s="43" t="str">
        <x:v>正文明确披露可复核的业务金额、投入或交易上限及对应期间，可作为结构化事实抽取。</x:v>
      </x:c>
      <x:c r="U23" s="43" t="n">
        <x:v>5</x:v>
      </x:c>
      <x:c r="V23" s="43" t="str">
        <x:v>无</x:v>
      </x:c>
      <x:c r="W23" s="43" t="str">
        <x:v>B-CODEX-FIN-01</x:v>
      </x:c>
      <x:c r="X23" s="49" t="str">
        <x:v>20260826T150309+08:00</x:v>
      </x:c>
    </x:row>
    <x:row r="24" ht="24" hidden="0" customHeight="1">
      <x:c r="A24" s="41" t="str">
        <x:v>23</x:v>
      </x:c>
      <x:c r="B24" s="41" t="str">
        <x:v>G3-B011</x:v>
      </x:c>
      <x:c r="C24" s="41" t="str">
        <x:v>G3-E105</x:v>
      </x:c>
      <x:c r="D24" s="41" t="str">
        <x:v>EVT-000538-00136</x:v>
      </x:c>
      <x:c r="E24" s="41" t="str">
        <x:v>云南白药</x:v>
      </x:c>
      <x:c r="F24" s="42" t="str">
        <x:v>​000538</x:v>
      </x:c>
      <x:c r="G24" s="41" t="str">
        <x:v>医药</x:v>
      </x:c>
      <x:c r="H24" s="42" t="str">
        <x:v>​2025-06-18T00:00:00+08:00</x:v>
      </x:c>
      <x:c r="I24" s="41" t="str">
        <x:v>2025-20 关于JZ-14胶囊获得药物临床试验批准的公告</x:v>
      </x:c>
      <x:c r="J24" s="41" t="str">
        <x:v>http://static.cninfo.com.cn/finalpage/2025-06-18/1223899598.PDF</x:v>
      </x:c>
      <x:c r="K24" s="43" t="str">
        <x:v>第2页，相关正文/表格</x:v>
      </x:c>
      <x:c r="L24" s="43" t="str">
        <x:v>截至目前，针对本品已投入研发费用约人民币2,600万元。</x:v>
      </x:c>
      <x:c r="M24" s="43" t="str">
        <x:v>是</x:v>
      </x:c>
      <x:c r="N24" s="43" t="str">
        <x:v>其他</x:v>
      </x:c>
      <x:c r="O24" s="43" t="str">
        <x:v>无法判断</x:v>
      </x:c>
      <x:c r="P24" s="43" t="n">
        <x:v>2600</x:v>
      </x:c>
      <x:c r="Q24" s="43" t="n">
        <x:v>2600</x:v>
      </x:c>
      <x:c r="R24" s="43" t="str">
        <x:v>万元</x:v>
      </x:c>
      <x:c r="S24" s="43" t="str">
        <x:v>截至2025-06</x:v>
      </x:c>
      <x:c r="T24" s="43" t="str">
        <x:v>正文明确披露可复核的业务金额、投入或交易上限及对应期间，可作为结构化事实抽取。</x:v>
      </x:c>
      <x:c r="U24" s="43" t="n">
        <x:v>5</x:v>
      </x:c>
      <x:c r="V24" s="43" t="str">
        <x:v>无</x:v>
      </x:c>
      <x:c r="W24" s="43" t="str">
        <x:v>B-CODEX-FIN-01</x:v>
      </x:c>
      <x:c r="X24" s="49" t="str">
        <x:v>20260826T150309+08:00</x:v>
      </x:c>
    </x:row>
    <x:row r="25" ht="24" hidden="0" customHeight="1">
      <x:c r="A25" s="41" t="str">
        <x:v>24</x:v>
      </x:c>
      <x:c r="B25" s="41" t="str">
        <x:v>G3-B055</x:v>
      </x:c>
      <x:c r="C25" s="41" t="str">
        <x:v>G3-E034</x:v>
      </x:c>
      <x:c r="D25" s="41" t="str">
        <x:v>EVT-603986-00127</x:v>
      </x:c>
      <x:c r="E25" s="41" t="str">
        <x:v>兆易创新</x:v>
      </x:c>
      <x:c r="F25" s="42" t="str">
        <x:v>​603986</x:v>
      </x:c>
      <x:c r="G25" s="41" t="str">
        <x:v>芯片半导体</x:v>
      </x:c>
      <x:c r="H25" s="42" t="str">
        <x:v>​2024-08-21T00:00:00+08:00</x:v>
      </x:c>
      <x:c r="I25" s="41" t="str">
        <x:v>兆易创新2024年半年度募集资金存放与实际使用情况专项报告</x:v>
      </x:c>
      <x:c r="J25" s="41" t="str">
        <x:v>http://static.cninfo.com.cn/finalpage/2024-08-21/1220923954.PDF</x:v>
      </x:c>
      <x:c r="K25" s="43" t="str">
        <x:v>第2页，相关正文/表格</x:v>
      </x:c>
      <x:c r="L25" s="43" t="str">
        <x:v>截至2024年6月30日，募集资金累计投入金额150,135.03万元。</x:v>
      </x:c>
      <x:c r="M25" s="43" t="str">
        <x:v>是</x:v>
      </x:c>
      <x:c r="N25" s="43" t="str">
        <x:v>资本开支</x:v>
      </x:c>
      <x:c r="O25" s="43" t="str">
        <x:v>无法判断</x:v>
      </x:c>
      <x:c r="P25" s="43" t="n">
        <x:v>150135.03</x:v>
      </x:c>
      <x:c r="Q25" s="43" t="n">
        <x:v>150135.03</x:v>
      </x:c>
      <x:c r="R25" s="43" t="str">
        <x:v>万元</x:v>
      </x:c>
      <x:c r="S25" s="43" t="str">
        <x:v>截至2024-06-30</x:v>
      </x:c>
      <x:c r="T25" s="43" t="str">
        <x:v>正文明确披露可复核的业务金额、投入或交易上限及对应期间，可作为结构化事实抽取。</x:v>
      </x:c>
      <x:c r="U25" s="43" t="n">
        <x:v>5</x:v>
      </x:c>
      <x:c r="V25" s="43" t="str">
        <x:v>无</x:v>
      </x:c>
      <x:c r="W25" s="43" t="str">
        <x:v>B-CODEX-FIN-01</x:v>
      </x:c>
      <x:c r="X25" s="49" t="str">
        <x:v>20260826T150309+08:00</x:v>
      </x:c>
    </x:row>
    <x:row r="26" ht="24" hidden="0" customHeight="1">
      <x:c r="A26" s="41" t="str">
        <x:v>25</x:v>
      </x:c>
      <x:c r="B26" s="41" t="str">
        <x:v>G3-B059</x:v>
      </x:c>
      <x:c r="C26" s="41" t="str">
        <x:v>G3-E094</x:v>
      </x:c>
      <x:c r="D26" s="41" t="str">
        <x:v>EVT-603986-00450</x:v>
      </x:c>
      <x:c r="E26" s="41" t="str">
        <x:v>兆易创新</x:v>
      </x:c>
      <x:c r="F26" s="42" t="str">
        <x:v>​603986</x:v>
      </x:c>
      <x:c r="G26" s="41" t="str">
        <x:v>芯片半导体</x:v>
      </x:c>
      <x:c r="H26" s="42" t="str">
        <x:v>​2026-03-31T00:00:00+08:00</x:v>
      </x:c>
      <x:c r="I26" s="41" t="str">
        <x:v>兆易创新2025年年度报告</x:v>
      </x:c>
      <x:c r="J26" s="41" t="str">
        <x:v>http://static.cninfo.com.cn/finalpage/2026-03-31/1225061352.PDF</x:v>
      </x:c>
      <x:c r="K26" s="43" t="str">
        <x:v>第7页，相关正文/表格</x:v>
      </x:c>
      <x:c r="L26" s="43" t="str">
        <x:v>营业收入9,203,463,124.58元，上年7,355,977,677.11元，同比增长25.12%。</x:v>
      </x:c>
      <x:c r="M26" s="43" t="str">
        <x:v>是</x:v>
      </x:c>
      <x:c r="N26" s="43" t="str">
        <x:v>营业收入同比</x:v>
      </x:c>
      <x:c r="O26" s="43" t="str">
        <x:v>上升</x:v>
      </x:c>
      <x:c r="P26" s="43" t="n">
        <x:v>25.12</x:v>
      </x:c>
      <x:c r="Q26" s="43" t="n">
        <x:v>25.12</x:v>
      </x:c>
      <x:c r="R26" s="43" t="str">
        <x:v>%</x:v>
      </x:c>
      <x:c r="S26" s="43" t="str">
        <x:v>2025</x:v>
      </x:c>
      <x:c r="T26" s="43" t="str">
        <x:v>正文明确披露数值、比较基准和对应经营期间，可作为结构化事实抽取。</x:v>
      </x:c>
      <x:c r="U26" s="43" t="n">
        <x:v>5</x:v>
      </x:c>
      <x:c r="V26" s="43" t="str">
        <x:v>无</x:v>
      </x:c>
      <x:c r="W26" s="43" t="str">
        <x:v>B-CODEX-FIN-01</x:v>
      </x:c>
      <x:c r="X26" s="49" t="str">
        <x:v>20260826T150309+08:00</x:v>
      </x:c>
    </x:row>
    <x:row r="27" ht="48" hidden="0" customHeight="1">
      <x:c r="A27" s="41" t="str">
        <x:v>26</x:v>
      </x:c>
      <x:c r="B27" s="41" t="str">
        <x:v>G3-B051</x:v>
      </x:c>
      <x:c r="C27" s="41" t="str">
        <x:v>G3-E010</x:v>
      </x:c>
      <x:c r="D27" s="41" t="str">
        <x:v>EVT-603986-00407</x:v>
      </x:c>
      <x:c r="E27" s="41" t="str">
        <x:v>兆易创新</x:v>
      </x:c>
      <x:c r="F27" s="42" t="str">
        <x:v>​603986</x:v>
      </x:c>
      <x:c r="G27" s="41" t="str">
        <x:v>芯片半导体</x:v>
      </x:c>
      <x:c r="H27" s="42" t="str">
        <x:v>​2026-01-23T00:00:00+08:00</x:v>
      </x:c>
      <x:c r="I27" s="41" t="str">
        <x:v>中国国际金融股份有限公司关于兆易创新科技集团股份有限公司使用A股部分募集资金向全资子公司及全资孙公司增资以实施DRAM募投项目的核查意见</x:v>
      </x:c>
      <x:c r="J27" s="41" t="str">
        <x:v>http://static.cninfo.com.cn/finalpage/2026-01-23/1224946581.PDF</x:v>
      </x:c>
      <x:c r="K27" s="43" t="str">
        <x:v>第5页，相关正文/表格</x:v>
      </x:c>
      <x:c r="L27" s="43" t="str">
        <x:v>公司拟以DRAM募投项目募集资金向珠海芯存增资50,000万元。</x:v>
      </x:c>
      <x:c r="M27" s="43" t="str">
        <x:v>是</x:v>
      </x:c>
      <x:c r="N27" s="43" t="str">
        <x:v>资本开支</x:v>
      </x:c>
      <x:c r="O27" s="43" t="str">
        <x:v>无法判断</x:v>
      </x:c>
      <x:c r="P27" s="43" t="n">
        <x:v>50000</x:v>
      </x:c>
      <x:c r="Q27" s="43" t="n">
        <x:v>50000</x:v>
      </x:c>
      <x:c r="R27" s="43" t="str">
        <x:v>万元</x:v>
      </x:c>
      <x:c r="S27" s="43" t="str">
        <x:v>2026-01</x:v>
      </x:c>
      <x:c r="T27" s="43" t="str">
        <x:v>正文明确披露可复核的业务金额、投入或交易上限及对应期间，可作为结构化事实抽取。</x:v>
      </x:c>
      <x:c r="U27" s="43" t="n">
        <x:v>5</x:v>
      </x:c>
      <x:c r="V27" s="43" t="str">
        <x:v>无</x:v>
      </x:c>
      <x:c r="W27" s="43" t="str">
        <x:v>B-CODEX-FIN-01</x:v>
      </x:c>
      <x:c r="X27" s="49" t="str">
        <x:v>20260826T150309+08:00</x:v>
      </x:c>
    </x:row>
    <x:row r="28" ht="24" hidden="0" customHeight="1">
      <x:c r="A28" s="41" t="str">
        <x:v>27</x:v>
      </x:c>
      <x:c r="B28" s="41" t="str">
        <x:v>G3-B002</x:v>
      </x:c>
      <x:c r="C28" s="41" t="str">
        <x:v>G3-E099</x:v>
      </x:c>
      <x:c r="D28" s="41" t="str">
        <x:v>EVT-000538-00235</x:v>
      </x:c>
      <x:c r="E28" s="41" t="str">
        <x:v>云南白药</x:v>
      </x:c>
      <x:c r="F28" s="42" t="str">
        <x:v>​000538</x:v>
      </x:c>
      <x:c r="G28" s="41" t="str">
        <x:v>医药</x:v>
      </x:c>
      <x:c r="H28" s="42" t="str">
        <x:v>​2026-06-04T00:00:00+08:00</x:v>
      </x:c>
      <x:c r="I28" s="41" t="str">
        <x:v>关于INB301注射液获得美国食品药品监督管理局新药临床试验许可的公告</x:v>
      </x:c>
      <x:c r="J28" s="41" t="str">
        <x:v>http://static.cninfo.com.cn/finalpage/2026-06-04/1225349158.PDF</x:v>
      </x:c>
      <x:c r="K28" s="43" t="str">
        <x:v>第2页，相关正文/表格</x:v>
      </x:c>
      <x:c r="L28" s="43" t="str">
        <x:v>截至目前，本品已获得中美两国临床试验许可，累计已投入研发费用约人民币5,066.5万元。</x:v>
      </x:c>
      <x:c r="M28" s="43" t="str">
        <x:v>是</x:v>
      </x:c>
      <x:c r="N28" s="43" t="str">
        <x:v>其他</x:v>
      </x:c>
      <x:c r="O28" s="43" t="str">
        <x:v>无法判断</x:v>
      </x:c>
      <x:c r="P28" s="43" t="n">
        <x:v>5066.5</x:v>
      </x:c>
      <x:c r="Q28" s="43" t="n">
        <x:v>5066.5</x:v>
      </x:c>
      <x:c r="R28" s="43" t="str">
        <x:v>万元</x:v>
      </x:c>
      <x:c r="S28" s="43" t="str">
        <x:v>截至2026-06</x:v>
      </x:c>
      <x:c r="T28" s="43" t="str">
        <x:v>正文明确披露可复核的业务金额、投入或交易上限及对应期间，可作为结构化事实抽取。</x:v>
      </x:c>
      <x:c r="U28" s="43" t="n">
        <x:v>5</x:v>
      </x:c>
      <x:c r="V28" s="43" t="str">
        <x:v>无</x:v>
      </x:c>
      <x:c r="W28" s="43" t="str">
        <x:v>B-CODEX-FIN-01</x:v>
      </x:c>
      <x:c r="X28" s="49" t="str">
        <x:v>20260826T150309+08:00</x:v>
      </x:c>
    </x:row>
    <x:row r="29" ht="24" hidden="0" customHeight="1">
      <x:c r="A29" s="41" t="str">
        <x:v>28</x:v>
      </x:c>
      <x:c r="B29" s="41" t="str">
        <x:v>G3-B039</x:v>
      </x:c>
      <x:c r="C29" s="41" t="str">
        <x:v>G3-E060</x:v>
      </x:c>
      <x:c r="D29" s="41" t="str">
        <x:v>EVT-002594-00159</x:v>
      </x:c>
      <x:c r="E29" s="41" t="str">
        <x:v>比亚迪</x:v>
      </x:c>
      <x:c r="F29" s="42" t="str">
        <x:v>​002594</x:v>
      </x:c>
      <x:c r="G29" s="41" t="str">
        <x:v>新能源汽车</x:v>
      </x:c>
      <x:c r="H29" s="42" t="str">
        <x:v>​2024-12-02T00:00:00+08:00</x:v>
      </x:c>
      <x:c r="I29" s="41" t="str">
        <x:v>2024年11月产销快报</x:v>
      </x:c>
      <x:c r="J29" s="41" t="str">
        <x:v>http://static.cninfo.com.cn/finalpage/2024-12-02/1221902564.PDF</x:v>
      </x:c>
      <x:c r="K29" s="43" t="str">
        <x:v>第1页，相关正文/表格</x:v>
      </x:c>
      <x:c r="L29" s="43" t="str">
        <x:v>新能源汽车本年累计销量3,757,336辆，去年累计2,683,374辆，累计同比40.02%。</x:v>
      </x:c>
      <x:c r="M29" s="43" t="str">
        <x:v>是</x:v>
      </x:c>
      <x:c r="N29" s="43" t="str">
        <x:v>销量或交付量同比</x:v>
      </x:c>
      <x:c r="O29" s="43" t="str">
        <x:v>上升</x:v>
      </x:c>
      <x:c r="P29" s="43" t="n">
        <x:v>40.02</x:v>
      </x:c>
      <x:c r="Q29" s="43" t="n">
        <x:v>40.02</x:v>
      </x:c>
      <x:c r="R29" s="43" t="str">
        <x:v>%</x:v>
      </x:c>
      <x:c r="S29" s="43" t="str">
        <x:v>2024-01至11</x:v>
      </x:c>
      <x:c r="T29" s="43" t="str">
        <x:v>正文明确披露数值、比较基准和对应经营期间，可作为结构化事实抽取。</x:v>
      </x:c>
      <x:c r="U29" s="43" t="n">
        <x:v>5</x:v>
      </x:c>
      <x:c r="V29" s="43" t="str">
        <x:v>无</x:v>
      </x:c>
      <x:c r="W29" s="43" t="str">
        <x:v>B-CODEX-FIN-01</x:v>
      </x:c>
      <x:c r="X29" s="49" t="str">
        <x:v>20260826T150309+08:00</x:v>
      </x:c>
    </x:row>
    <x:row r="30" ht="24" hidden="0" customHeight="1">
      <x:c r="A30" s="41" t="str">
        <x:v>29</x:v>
      </x:c>
      <x:c r="B30" s="41" t="str">
        <x:v>G3-B026</x:v>
      </x:c>
      <x:c r="C30" s="41" t="str">
        <x:v>G3-E014</x:v>
      </x:c>
      <x:c r="D30" s="41" t="str">
        <x:v>EVT-09868-00017</x:v>
      </x:c>
      <x:c r="E30" s="41" t="str">
        <x:v>小鹏汽车</x:v>
      </x:c>
      <x:c r="F30" s="42" t="str">
        <x:v>​09868</x:v>
      </x:c>
      <x:c r="G30" s="41" t="str">
        <x:v>新能源汽车</x:v>
      </x:c>
      <x:c r="H30" s="42" t="str">
        <x:v>​2024-04-02T12:07:33+08:00</x:v>
      </x:c>
      <x:c r="I30" s="41" t="str">
        <x:v>自愿公告 2024年3月及第一季度智能车交付数据</x:v>
      </x:c>
      <x:c r="J30" s="41" t="str">
        <x:v>http://static.cninfo.com.cn/finalpage/2024-04-02/1219499685.PDF</x:v>
      </x:c>
      <x:c r="K30" s="43" t="str">
        <x:v>第1页，相关正文/表格</x:v>
      </x:c>
      <x:c r="L30" s="43" t="str">
        <x:v>2024年3月，小鹏汽车共交付智能电动汽车9,026辆，同比增长29%。</x:v>
      </x:c>
      <x:c r="M30" s="43" t="str">
        <x:v>是</x:v>
      </x:c>
      <x:c r="N30" s="43" t="str">
        <x:v>销量或交付量同比</x:v>
      </x:c>
      <x:c r="O30" s="43" t="str">
        <x:v>上升</x:v>
      </x:c>
      <x:c r="P30" s="43" t="n">
        <x:v>29</x:v>
      </x:c>
      <x:c r="Q30" s="43" t="n">
        <x:v>29</x:v>
      </x:c>
      <x:c r="R30" s="43" t="str">
        <x:v>%</x:v>
      </x:c>
      <x:c r="S30" s="43" t="str">
        <x:v>2024-03</x:v>
      </x:c>
      <x:c r="T30" s="43" t="str">
        <x:v>正文明确披露数值、比较基准和对应经营期间，可作为结构化事实抽取。</x:v>
      </x:c>
      <x:c r="U30" s="43" t="n">
        <x:v>5</x:v>
      </x:c>
      <x:c r="V30" s="43" t="str">
        <x:v>无</x:v>
      </x:c>
      <x:c r="W30" s="43" t="str">
        <x:v>B-CODEX-FIN-01</x:v>
      </x:c>
      <x:c r="X30" s="49" t="str">
        <x:v>20260826T150309+08:00</x:v>
      </x:c>
    </x:row>
    <x:row r="31" ht="24" hidden="0" customHeight="1">
      <x:c r="A31" s="41" t="str">
        <x:v>30</x:v>
      </x:c>
      <x:c r="B31" s="41" t="str">
        <x:v>G3-B047</x:v>
      </x:c>
      <x:c r="C31" s="41" t="str">
        <x:v>G3-E040</x:v>
      </x:c>
      <x:c r="D31" s="41" t="str">
        <x:v>EVT-002371-00298</x:v>
      </x:c>
      <x:c r="E31" s="41" t="str">
        <x:v>北方华创</x:v>
      </x:c>
      <x:c r="F31" s="42" t="str">
        <x:v>​002371</x:v>
      </x:c>
      <x:c r="G31" s="41" t="str">
        <x:v>芯片半导体</x:v>
      </x:c>
      <x:c r="H31" s="42" t="str">
        <x:v>​2025-11-06T00:00:00+08:00</x:v>
      </x:c>
      <x:c r="I31" s="41" t="str">
        <x:v>关于开立募集资金暂时补充流动资金专项账户并签订募集资金三方监管协议的公告</x:v>
      </x:c>
      <x:c r="J31" s="41" t="str">
        <x:v>http://static.cninfo.com.cn/finalpage/2025-11-06/1224788384.PDF</x:v>
      </x:c>
      <x:c r="K31" s="43" t="str">
        <x:v>第1页，相关正文/表格</x:v>
      </x:c>
      <x:c r="L31" s="43" t="str">
        <x:v>证券代码：002371 证券简称：北方华创 公告编号：2025-064</x:v>
      </x:c>
      <x:c r="M31" s="43" t="str">
        <x:v>否</x:v>
      </x:c>
      <x:c r="N31" s="43" t="str">
        <x:v>不适用</x:v>
      </x:c>
      <x:c r="O31" s="43" t="str">
        <x:v>不适用</x:v>
      </x:c>
      <x:c r="P31" s="43"/>
      <x:c r="Q31" s="43"/>
      <x:c r="R31" s="43"/>
      <x:c r="S31" s="43"/>
      <x:c r="T31" s="43" t="str">
        <x:v>正文主要披露治理、审批、制度或阶段性事项，未提供可按目标口径抽取的经营数值与比较基准。</x:v>
      </x:c>
      <x:c r="U31" s="43" t="n">
        <x:v>4</x:v>
      </x:c>
      <x:c r="V31" s="43" t="str">
        <x:v>无</x:v>
      </x:c>
      <x:c r="W31" s="43" t="str">
        <x:v>B-CODEX-FIN-01</x:v>
      </x:c>
      <x:c r="X31" s="49" t="str">
        <x:v>20260826T150309+08:00</x:v>
      </x:c>
    </x:row>
    <x:row r="32" ht="24" hidden="0" customHeight="1">
      <x:c r="A32" s="41" t="str">
        <x:v>31</x:v>
      </x:c>
      <x:c r="B32" s="41" t="str">
        <x:v>G3-B005</x:v>
      </x:c>
      <x:c r="C32" s="41" t="str">
        <x:v>G3-E035</x:v>
      </x:c>
      <x:c r="D32" s="41" t="str">
        <x:v>EVT-600276-00083</x:v>
      </x:c>
      <x:c r="E32" s="41" t="str">
        <x:v>恒瑞医药</x:v>
      </x:c>
      <x:c r="F32" s="42" t="str">
        <x:v>​600276</x:v>
      </x:c>
      <x:c r="G32" s="41" t="str">
        <x:v>医药</x:v>
      </x:c>
      <x:c r="H32" s="42" t="str">
        <x:v>​2024-05-22T00:00:00+08:00</x:v>
      </x:c>
      <x:c r="I32" s="41" t="str">
        <x:v>恒瑞医药关于获得药品注册证书的公告</x:v>
      </x:c>
      <x:c r="J32" s="41" t="str">
        <x:v>http://static.cninfo.com.cn/finalpage/2024-05-22/1220121916.PDF</x:v>
      </x:c>
      <x:c r="K32" s="43" t="str">
        <x:v>第2页，相关正文/表格</x:v>
      </x:c>
      <x:c r="L32" s="43" t="str">
        <x:v>截至目前，该项目累计已投入研发费用约89,664万元。</x:v>
      </x:c>
      <x:c r="M32" s="43" t="str">
        <x:v>是</x:v>
      </x:c>
      <x:c r="N32" s="43" t="str">
        <x:v>其他</x:v>
      </x:c>
      <x:c r="O32" s="43" t="str">
        <x:v>无法判断</x:v>
      </x:c>
      <x:c r="P32" s="43" t="n">
        <x:v>89664</x:v>
      </x:c>
      <x:c r="Q32" s="43" t="n">
        <x:v>89664</x:v>
      </x:c>
      <x:c r="R32" s="43" t="str">
        <x:v>万元</x:v>
      </x:c>
      <x:c r="S32" s="43" t="str">
        <x:v>截至2024-05</x:v>
      </x:c>
      <x:c r="T32" s="43" t="str">
        <x:v>正文明确披露可复核的业务金额、投入或交易上限及对应期间，可作为结构化事实抽取。</x:v>
      </x:c>
      <x:c r="U32" s="43" t="n">
        <x:v>5</x:v>
      </x:c>
      <x:c r="V32" s="43" t="str">
        <x:v>无</x:v>
      </x:c>
      <x:c r="W32" s="43" t="str">
        <x:v>B-CODEX-FIN-01</x:v>
      </x:c>
      <x:c r="X32" s="49" t="str">
        <x:v>20260826T150309+08:00</x:v>
      </x:c>
    </x:row>
    <x:row r="33" ht="24" hidden="0" customHeight="1">
      <x:c r="A33" s="41" t="str">
        <x:v>32</x:v>
      </x:c>
      <x:c r="B33" s="41" t="str">
        <x:v>G3-B008</x:v>
      </x:c>
      <x:c r="C33" s="41" t="str">
        <x:v>G3-E112</x:v>
      </x:c>
      <x:c r="D33" s="41" t="str">
        <x:v>EVT-603259-00392</x:v>
      </x:c>
      <x:c r="E33" s="41" t="str">
        <x:v>药明康德</x:v>
      </x:c>
      <x:c r="F33" s="42" t="str">
        <x:v>​603259</x:v>
      </x:c>
      <x:c r="G33" s="41" t="str">
        <x:v>医药</x:v>
      </x:c>
      <x:c r="H33" s="42" t="str">
        <x:v>​2025-09-03T00:00:00+08:00</x:v>
      </x:c>
      <x:c r="I33" s="41" t="str">
        <x:v>关于与关联方签署框架协议暨日常关联交易的公告</x:v>
      </x:c>
      <x:c r="J33" s="41" t="str">
        <x:v>http://static.cninfo.com.cn/finalpage/2025-09-03/1224634480.PDF</x:v>
      </x:c>
      <x:c r="K33" s="43" t="str">
        <x:v>第3页，相关正文/表格</x:v>
      </x:c>
      <x:c r="L33" s="43" t="str">
        <x:v>2025年全年预计交易金额由1.68亿元提升至2.00亿元。</x:v>
      </x:c>
      <x:c r="M33" s="43" t="str">
        <x:v>是</x:v>
      </x:c>
      <x:c r="N33" s="43" t="str">
        <x:v>订单金额</x:v>
      </x:c>
      <x:c r="O33" s="43" t="str">
        <x:v>上升</x:v>
      </x:c>
      <x:c r="P33" s="43" t="n">
        <x:v>2</x:v>
      </x:c>
      <x:c r="Q33" s="43" t="n">
        <x:v>2</x:v>
      </x:c>
      <x:c r="R33" s="43" t="str">
        <x:v>亿元</x:v>
      </x:c>
      <x:c r="S33" s="43" t="str">
        <x:v>2025</x:v>
      </x:c>
      <x:c r="T33" s="43" t="str">
        <x:v>正文明确披露数值、比较基准和对应经营期间，可作为结构化事实抽取。</x:v>
      </x:c>
      <x:c r="U33" s="43" t="n">
        <x:v>5</x:v>
      </x:c>
      <x:c r="V33" s="43" t="str">
        <x:v>无</x:v>
      </x:c>
      <x:c r="W33" s="43" t="str">
        <x:v>B-CODEX-FIN-01</x:v>
      </x:c>
      <x:c r="X33" s="49" t="str">
        <x:v>20260826T150309+08:00</x:v>
      </x:c>
    </x:row>
    <x:row r="34" ht="24" hidden="0" customHeight="1">
      <x:c r="A34" s="41" t="str">
        <x:v>33</x:v>
      </x:c>
      <x:c r="B34" s="41" t="str">
        <x:v>G3-B032</x:v>
      </x:c>
      <x:c r="C34" s="41" t="str">
        <x:v>G3-E098</x:v>
      </x:c>
      <x:c r="D34" s="41" t="str">
        <x:v>EVT-00175-00007</x:v>
      </x:c>
      <x:c r="E34" s="41" t="str">
        <x:v>吉利汽车</x:v>
      </x:c>
      <x:c r="F34" s="42" t="str">
        <x:v>​00175</x:v>
      </x:c>
      <x:c r="G34" s="41" t="str">
        <x:v>新能源汽车</x:v>
      </x:c>
      <x:c r="H34" s="42" t="str">
        <x:v>​2024-02-01T17:06:22+08:00</x:v>
      </x:c>
      <x:c r="I34" s="41" t="str">
        <x:v>未经审核之二零二四年一月销量</x:v>
      </x:c>
      <x:c r="J34" s="41" t="str">
        <x:v>http://static.cninfo.com.cn/finalpage/2024-02-01/1219065223.PDF</x:v>
      </x:c>
      <x:c r="K34" s="43" t="str">
        <x:v>第1页，相关正文/表格</x:v>
      </x:c>
      <x:c r="L34" s="43" t="str">
        <x:v>本集团于二零二四年一月之总销量为213,487部汽车，较去年同期增长约110%。</x:v>
      </x:c>
      <x:c r="M34" s="43" t="str">
        <x:v>是</x:v>
      </x:c>
      <x:c r="N34" s="43" t="str">
        <x:v>销量或交付量同比</x:v>
      </x:c>
      <x:c r="O34" s="43" t="str">
        <x:v>上升</x:v>
      </x:c>
      <x:c r="P34" s="43" t="n">
        <x:v>110</x:v>
      </x:c>
      <x:c r="Q34" s="43" t="n">
        <x:v>110</x:v>
      </x:c>
      <x:c r="R34" s="43" t="str">
        <x:v>%</x:v>
      </x:c>
      <x:c r="S34" s="43" t="str">
        <x:v>2024-01</x:v>
      </x:c>
      <x:c r="T34" s="43" t="str">
        <x:v>正文明确披露数值、比较基准和对应经营期间，可作为结构化事实抽取。</x:v>
      </x:c>
      <x:c r="U34" s="43" t="n">
        <x:v>5</x:v>
      </x:c>
      <x:c r="V34" s="43" t="str">
        <x:v>无</x:v>
      </x:c>
      <x:c r="W34" s="43" t="str">
        <x:v>B-CODEX-FIN-01</x:v>
      </x:c>
      <x:c r="X34" s="49" t="str">
        <x:v>20260826T150309+08:00</x:v>
      </x:c>
    </x:row>
    <x:row r="35" ht="24" hidden="0" customHeight="1">
      <x:c r="A35" s="41" t="str">
        <x:v>34</x:v>
      </x:c>
      <x:c r="B35" s="41" t="str">
        <x:v>G3-B049</x:v>
      </x:c>
      <x:c r="C35" s="41" t="str">
        <x:v>G3-E017</x:v>
      </x:c>
      <x:c r="D35" s="41" t="str">
        <x:v>EVT-002371-00060</x:v>
      </x:c>
      <x:c r="E35" s="41" t="str">
        <x:v>北方华创</x:v>
      </x:c>
      <x:c r="F35" s="42" t="str">
        <x:v>​002371</x:v>
      </x:c>
      <x:c r="G35" s="41" t="str">
        <x:v>芯片半导体</x:v>
      </x:c>
      <x:c r="H35" s="42" t="str">
        <x:v>​2024-04-30T00:00:00+08:00</x:v>
      </x:c>
      <x:c r="I35" s="41" t="str">
        <x:v>关于公司2024年度日常关联交易预计的公告</x:v>
      </x:c>
      <x:c r="J35" s="41" t="str">
        <x:v>http://static.cninfo.com.cn/finalpage/2024-04-30/1219908871.PDF</x:v>
      </x:c>
      <x:c r="K35" s="43" t="str">
        <x:v>第1页，相关正文/表格</x:v>
      </x:c>
      <x:c r="L35" s="43" t="str">
        <x:v>租赁、综合服务以及产品销售、采购等有关业务上发生日常关联交易，合计金额</x:v>
      </x:c>
      <x:c r="M35" s="43" t="str">
        <x:v>否</x:v>
      </x:c>
      <x:c r="N35" s="43" t="str">
        <x:v>不适用</x:v>
      </x:c>
      <x:c r="O35" s="43" t="str">
        <x:v>不适用</x:v>
      </x:c>
      <x:c r="P35" s="43"/>
      <x:c r="Q35" s="43"/>
      <x:c r="R35" s="43"/>
      <x:c r="S35" s="43"/>
      <x:c r="T35" s="43" t="str">
        <x:v>正文主要披露治理、审批、制度或阶段性事项，未提供可按目标口径抽取的经营数值与比较基准。</x:v>
      </x:c>
      <x:c r="U35" s="43" t="n">
        <x:v>4</x:v>
      </x:c>
      <x:c r="V35" s="43" t="str">
        <x:v>无</x:v>
      </x:c>
      <x:c r="W35" s="43" t="str">
        <x:v>B-CODEX-FIN-01</x:v>
      </x:c>
      <x:c r="X35" s="49" t="str">
        <x:v>20260826T150309+08:00</x:v>
      </x:c>
    </x:row>
    <x:row r="36" ht="24" hidden="0" customHeight="1">
      <x:c r="A36" s="41" t="str">
        <x:v>35</x:v>
      </x:c>
      <x:c r="B36" s="41" t="str">
        <x:v>G3-B027</x:v>
      </x:c>
      <x:c r="C36" s="41" t="str">
        <x:v>G3-E048</x:v>
      </x:c>
      <x:c r="D36" s="41" t="str">
        <x:v>EVT-00175-00292</x:v>
      </x:c>
      <x:c r="E36" s="41" t="str">
        <x:v>吉利汽车</x:v>
      </x:c>
      <x:c r="F36" s="42" t="str">
        <x:v>​00175</x:v>
      </x:c>
      <x:c r="G36" s="41" t="str">
        <x:v>新能源汽车</x:v>
      </x:c>
      <x:c r="H36" s="42" t="str">
        <x:v>​2025-11-27T16:36:09+08:00</x:v>
      </x:c>
      <x:c r="I36" s="41" t="str">
        <x:v>持续关连交易</x:v>
      </x:c>
      <x:c r="J36" s="41" t="str">
        <x:v>http://static.cninfo.com.cn/finalpage/2025-11-27/1224830298.PDF</x:v>
      </x:c>
      <x:c r="K36" s="43" t="str">
        <x:v>第17页，相关正文/表格</x:v>
      </x:c>
      <x:c r="L36" s="43" t="str">
        <x:v>二零二六年整车及整车成套件采购年度上限同比增加约74%。</x:v>
      </x:c>
      <x:c r="M36" s="43" t="str">
        <x:v>是</x:v>
      </x:c>
      <x:c r="N36" s="43" t="str">
        <x:v>订单金额</x:v>
      </x:c>
      <x:c r="O36" s="43" t="str">
        <x:v>上升</x:v>
      </x:c>
      <x:c r="P36" s="43" t="n">
        <x:v>74</x:v>
      </x:c>
      <x:c r="Q36" s="43" t="n">
        <x:v>74</x:v>
      </x:c>
      <x:c r="R36" s="43" t="str">
        <x:v>%</x:v>
      </x:c>
      <x:c r="S36" s="43" t="str">
        <x:v>2026</x:v>
      </x:c>
      <x:c r="T36" s="43" t="str">
        <x:v>正文明确披露数值、比较基准和对应经营期间，可作为结构化事实抽取。</x:v>
      </x:c>
      <x:c r="U36" s="43" t="n">
        <x:v>5</x:v>
      </x:c>
      <x:c r="V36" s="43" t="str">
        <x:v>无</x:v>
      </x:c>
      <x:c r="W36" s="43" t="str">
        <x:v>B-CODEX-FIN-01</x:v>
      </x:c>
      <x:c r="X36" s="49" t="str">
        <x:v>20260826T150309+08:00</x:v>
      </x:c>
    </x:row>
    <x:row r="37" ht="36" hidden="0" customHeight="1">
      <x:c r="A37" s="41" t="str">
        <x:v>36</x:v>
      </x:c>
      <x:c r="B37" s="41" t="str">
        <x:v>G3-B007</x:v>
      </x:c>
      <x:c r="C37" s="41" t="str">
        <x:v>G3-E031</x:v>
      </x:c>
      <x:c r="D37" s="41" t="str">
        <x:v>EVT-603259-00002</x:v>
      </x:c>
      <x:c r="E37" s="41" t="str">
        <x:v>药明康德</x:v>
      </x:c>
      <x:c r="F37" s="42" t="str">
        <x:v>​603259</x:v>
      </x:c>
      <x:c r="G37" s="41" t="str">
        <x:v>医药</x:v>
      </x:c>
      <x:c r="H37" s="42" t="str">
        <x:v>​2024-01-03T00:00:00+08:00</x:v>
      </x:c>
      <x:c r="I37" s="41" t="str">
        <x:v>关于2019年限制性股票与股票期权激励计划首次授予股票期权2023年第四季度自主行权结果暨股份变动公告</x:v>
      </x:c>
      <x:c r="J37" s="41" t="str">
        <x:v>http://static.cninfo.com.cn/finalpage/2024-01-03/1218791594.PDF</x:v>
      </x:c>
      <x:c r="K37" s="43" t="str">
        <x:v>第1页，相关正文/表格</x:v>
      </x:c>
      <x:c r="L37" s="43" t="str">
        <x:v>“公司”）2023 年第四季度激励对象行权且完成股份过户登记的股票期权数量</x:v>
      </x:c>
      <x:c r="M37" s="43" t="str">
        <x:v>否</x:v>
      </x:c>
      <x:c r="N37" s="43" t="str">
        <x:v>不适用</x:v>
      </x:c>
      <x:c r="O37" s="43" t="str">
        <x:v>不适用</x:v>
      </x:c>
      <x:c r="P37" s="43"/>
      <x:c r="Q37" s="43"/>
      <x:c r="R37" s="43"/>
      <x:c r="S37" s="43"/>
      <x:c r="T37" s="43" t="str">
        <x:v>正文主要披露治理、审批、制度或阶段性事项，未提供可按目标口径抽取的经营数值与比较基准。</x:v>
      </x:c>
      <x:c r="U37" s="43" t="n">
        <x:v>4</x:v>
      </x:c>
      <x:c r="V37" s="43" t="str">
        <x:v>无</x:v>
      </x:c>
      <x:c r="W37" s="43" t="str">
        <x:v>B-CODEX-FIN-01</x:v>
      </x:c>
      <x:c r="X37" s="49" t="str">
        <x:v>20260826T150309+08:00</x:v>
      </x:c>
    </x:row>
    <x:row r="38" ht="24" hidden="0" customHeight="1">
      <x:c r="A38" s="41" t="str">
        <x:v>37</x:v>
      </x:c>
      <x:c r="B38" s="41" t="str">
        <x:v>G3-B044</x:v>
      </x:c>
      <x:c r="C38" s="41" t="str">
        <x:v>G3-E104</x:v>
      </x:c>
      <x:c r="D38" s="41" t="str">
        <x:v>EVT-002371-00143</x:v>
      </x:c>
      <x:c r="E38" s="41" t="str">
        <x:v>北方华创</x:v>
      </x:c>
      <x:c r="F38" s="42" t="str">
        <x:v>​002371</x:v>
      </x:c>
      <x:c r="G38" s="41" t="str">
        <x:v>芯片半导体</x:v>
      </x:c>
      <x:c r="H38" s="42" t="str">
        <x:v>​2024-10-30T00:00:00+08:00</x:v>
      </x:c>
      <x:c r="I38" s="41" t="str">
        <x:v>2024年三季度报告</x:v>
      </x:c>
      <x:c r="J38" s="41" t="str">
        <x:v>http://static.cninfo.com.cn/finalpage/2024-10-30/1221555085.PDF</x:v>
      </x:c>
      <x:c r="K38" s="43" t="str">
        <x:v>第2页，相关正文/表格</x:v>
      </x:c>
      <x:c r="L38" s="43" t="str">
        <x:v>2024年1-9月营业收入20,352,770,959.17元，比上年同期增加39.51%。</x:v>
      </x:c>
      <x:c r="M38" s="43" t="str">
        <x:v>是</x:v>
      </x:c>
      <x:c r="N38" s="43" t="str">
        <x:v>营业收入同比</x:v>
      </x:c>
      <x:c r="O38" s="43" t="str">
        <x:v>上升</x:v>
      </x:c>
      <x:c r="P38" s="43" t="n">
        <x:v>39.51</x:v>
      </x:c>
      <x:c r="Q38" s="43" t="n">
        <x:v>39.51</x:v>
      </x:c>
      <x:c r="R38" s="43" t="str">
        <x:v>%</x:v>
      </x:c>
      <x:c r="S38" s="43" t="str">
        <x:v>2024-01至09</x:v>
      </x:c>
      <x:c r="T38" s="43" t="str">
        <x:v>正文明确披露数值、比较基准和对应经营期间，可作为结构化事实抽取。</x:v>
      </x:c>
      <x:c r="U38" s="43" t="n">
        <x:v>5</x:v>
      </x:c>
      <x:c r="V38" s="43" t="str">
        <x:v>无</x:v>
      </x:c>
      <x:c r="W38" s="43" t="str">
        <x:v>B-CODEX-FIN-01</x:v>
      </x:c>
      <x:c r="X38" s="49" t="str">
        <x:v>20260826T150309+08:00</x:v>
      </x:c>
    </x:row>
    <x:row r="39" ht="24" hidden="0" customHeight="1">
      <x:c r="A39" s="41" t="str">
        <x:v>38</x:v>
      </x:c>
      <x:c r="B39" s="41" t="str">
        <x:v>G3-B017</x:v>
      </x:c>
      <x:c r="C39" s="41" t="str">
        <x:v>G3-E041</x:v>
      </x:c>
      <x:c r="D39" s="41" t="str">
        <x:v>EVT-000538-00186</x:v>
      </x:c>
      <x:c r="E39" s="41" t="str">
        <x:v>云南白药</x:v>
      </x:c>
      <x:c r="F39" s="42" t="str">
        <x:v>​000538</x:v>
      </x:c>
      <x:c r="G39" s="41" t="str">
        <x:v>医药</x:v>
      </x:c>
      <x:c r="H39" s="42" t="str">
        <x:v>​2025-12-31T18:54:32+08:00</x:v>
      </x:c>
      <x:c r="I39" s="41" t="str">
        <x:v>关于2026年度预计日常关联交易的公告</x:v>
      </x:c>
      <x:c r="J39" s="41" t="str">
        <x:v>http://static.cninfo.com.cn/finalpage/2025-12-31/1224913542.PDF</x:v>
      </x:c>
      <x:c r="K39" s="43" t="str">
        <x:v>第1页，相关正文/表格</x:v>
      </x:c>
      <x:c r="L39" s="43" t="str">
        <x:v>2025年日常关联交易发生总额为109,929.20万元。</x:v>
      </x:c>
      <x:c r="M39" s="43" t="str">
        <x:v>是</x:v>
      </x:c>
      <x:c r="N39" s="43" t="str">
        <x:v>订单金额</x:v>
      </x:c>
      <x:c r="O39" s="43" t="str">
        <x:v>无法判断</x:v>
      </x:c>
      <x:c r="P39" s="43" t="n">
        <x:v>109929.2</x:v>
      </x:c>
      <x:c r="Q39" s="43" t="n">
        <x:v>109929.2</x:v>
      </x:c>
      <x:c r="R39" s="43" t="str">
        <x:v>万元</x:v>
      </x:c>
      <x:c r="S39" s="43" t="str">
        <x:v>2025</x:v>
      </x:c>
      <x:c r="T39" s="43" t="str">
        <x:v>正文明确披露可复核的业务金额、投入或交易上限及对应期间，可作为结构化事实抽取。</x:v>
      </x:c>
      <x:c r="U39" s="43" t="n">
        <x:v>5</x:v>
      </x:c>
      <x:c r="V39" s="43" t="str">
        <x:v>无</x:v>
      </x:c>
      <x:c r="W39" s="43" t="str">
        <x:v>B-CODEX-FIN-01</x:v>
      </x:c>
      <x:c r="X39" s="49" t="str">
        <x:v>20260826T150309+08:00</x:v>
      </x:c>
    </x:row>
    <x:row r="40" ht="24" hidden="0" customHeight="1">
      <x:c r="A40" s="41" t="str">
        <x:v>39</x:v>
      </x:c>
      <x:c r="B40" s="41" t="str">
        <x:v>G3-B012</x:v>
      </x:c>
      <x:c r="C40" s="41" t="str">
        <x:v>G3-E102</x:v>
      </x:c>
      <x:c r="D40" s="41" t="str">
        <x:v>EVT-600276-00619</x:v>
      </x:c>
      <x:c r="E40" s="41" t="str">
        <x:v>恒瑞医药</x:v>
      </x:c>
      <x:c r="F40" s="42" t="str">
        <x:v>​600276</x:v>
      </x:c>
      <x:c r="G40" s="41" t="str">
        <x:v>医药</x:v>
      </x:c>
      <x:c r="H40" s="42" t="str">
        <x:v>​2026-04-23T00:00:00+08:00</x:v>
      </x:c>
      <x:c r="I40" s="41" t="str">
        <x:v>恒瑞医药2026年第一季度报告</x:v>
      </x:c>
      <x:c r="J40" s="41" t="str">
        <x:v>http://static.cninfo.com.cn/finalpage/2026-04-23/1225145521.PDF</x:v>
      </x:c>
      <x:c r="K40" s="43" t="str">
        <x:v>第4页，相关正文/表格</x:v>
      </x:c>
      <x:c r="L40" s="43" t="str">
        <x:v>2026年第一季度，公司实现营业收入81.41亿元，同比增长12.98%。</x:v>
      </x:c>
      <x:c r="M40" s="43" t="str">
        <x:v>是</x:v>
      </x:c>
      <x:c r="N40" s="43" t="str">
        <x:v>营业收入同比</x:v>
      </x:c>
      <x:c r="O40" s="43" t="str">
        <x:v>上升</x:v>
      </x:c>
      <x:c r="P40" s="43" t="n">
        <x:v>12.98</x:v>
      </x:c>
      <x:c r="Q40" s="43" t="n">
        <x:v>12.98</x:v>
      </x:c>
      <x:c r="R40" s="43" t="str">
        <x:v>%</x:v>
      </x:c>
      <x:c r="S40" s="43" t="str">
        <x:v>2026-Q1</x:v>
      </x:c>
      <x:c r="T40" s="43" t="str">
        <x:v>正文明确披露数值、比较基准和对应经营期间，可作为结构化事实抽取。</x:v>
      </x:c>
      <x:c r="U40" s="43" t="n">
        <x:v>5</x:v>
      </x:c>
      <x:c r="V40" s="43" t="str">
        <x:v>无</x:v>
      </x:c>
      <x:c r="W40" s="43" t="str">
        <x:v>B-CODEX-FIN-01</x:v>
      </x:c>
      <x:c r="X40" s="49" t="str">
        <x:v>20260826T150309+08:00</x:v>
      </x:c>
    </x:row>
    <x:row r="41" ht="24" hidden="0" customHeight="1">
      <x:c r="A41" s="41" t="str">
        <x:v>40</x:v>
      </x:c>
      <x:c r="B41" s="41" t="str">
        <x:v>G3-B018</x:v>
      </x:c>
      <x:c r="C41" s="41" t="str">
        <x:v>G3-E115</x:v>
      </x:c>
      <x:c r="D41" s="41" t="str">
        <x:v>EVT-000538-00225</x:v>
      </x:c>
      <x:c r="E41" s="41" t="str">
        <x:v>云南白药</x:v>
      </x:c>
      <x:c r="F41" s="42" t="str">
        <x:v>​000538</x:v>
      </x:c>
      <x:c r="G41" s="41" t="str">
        <x:v>医药</x:v>
      </x:c>
      <x:c r="H41" s="42" t="str">
        <x:v>​2026-04-02T00:00:00+08:00</x:v>
      </x:c>
      <x:c r="I41" s="41" t="str">
        <x:v>关于INB301注射液获得药物临床试验批准的公告</x:v>
      </x:c>
      <x:c r="J41" s="41" t="str">
        <x:v>http://static.cninfo.com.cn/finalpage/2026-04-02/1225071642.PDF</x:v>
      </x:c>
      <x:c r="K41" s="43" t="str">
        <x:v>第2页，相关正文/表格</x:v>
      </x:c>
      <x:c r="L41" s="43" t="str">
        <x:v>截至目前，该产品已投入研发费用约人民币4,347.2万元。</x:v>
      </x:c>
      <x:c r="M41" s="43" t="str">
        <x:v>是</x:v>
      </x:c>
      <x:c r="N41" s="43" t="str">
        <x:v>其他</x:v>
      </x:c>
      <x:c r="O41" s="43" t="str">
        <x:v>无法判断</x:v>
      </x:c>
      <x:c r="P41" s="43" t="n">
        <x:v>4347.2</x:v>
      </x:c>
      <x:c r="Q41" s="43" t="n">
        <x:v>4347.2</x:v>
      </x:c>
      <x:c r="R41" s="43" t="str">
        <x:v>万元</x:v>
      </x:c>
      <x:c r="S41" s="43" t="str">
        <x:v>截至2026-04</x:v>
      </x:c>
      <x:c r="T41" s="43" t="str">
        <x:v>正文明确披露可复核的业务金额、投入或交易上限及对应期间，可作为结构化事实抽取。</x:v>
      </x:c>
      <x:c r="U41" s="43" t="n">
        <x:v>5</x:v>
      </x:c>
      <x:c r="V41" s="43" t="str">
        <x:v>无</x:v>
      </x:c>
      <x:c r="W41" s="43" t="str">
        <x:v>B-CODEX-FIN-01</x:v>
      </x:c>
      <x:c r="X41" s="49" t="str">
        <x:v>20260826T150309+08:00</x:v>
      </x:c>
    </x:row>
    <x:row r="42" ht="24" hidden="0" customHeight="1">
      <x:c r="A42" s="41" t="str">
        <x:v>41</x:v>
      </x:c>
      <x:c r="B42" s="41" t="str">
        <x:v>G3-B045</x:v>
      </x:c>
      <x:c r="C42" s="41" t="str">
        <x:v>G3-E114</x:v>
      </x:c>
      <x:c r="D42" s="41" t="str">
        <x:v>EVT-002371-00007</x:v>
      </x:c>
      <x:c r="E42" s="41" t="str">
        <x:v>北方华创</x:v>
      </x:c>
      <x:c r="F42" s="42" t="str">
        <x:v>​002371</x:v>
      </x:c>
      <x:c r="G42" s="41" t="str">
        <x:v>芯片半导体</x:v>
      </x:c>
      <x:c r="H42" s="42" t="str">
        <x:v>​2024-01-16T00:00:00+08:00</x:v>
      </x:c>
      <x:c r="I42" s="41" t="str">
        <x:v>2023年度业绩预告</x:v>
      </x:c>
      <x:c r="J42" s="41" t="str">
        <x:v>http://static.cninfo.com.cn/finalpage/2024-01-16/1218892163.PDF</x:v>
      </x:c>
      <x:c r="K42" s="43" t="str">
        <x:v>第1页，相关正文/表格</x:v>
      </x:c>
      <x:c r="L42" s="43" t="str">
        <x:v>预计2023年归母净利润同比增长42.77%-57.27%。</x:v>
      </x:c>
      <x:c r="M42" s="43" t="str">
        <x:v>是</x:v>
      </x:c>
      <x:c r="N42" s="43" t="str">
        <x:v>其他</x:v>
      </x:c>
      <x:c r="O42" s="43" t="str">
        <x:v>上升</x:v>
      </x:c>
      <x:c r="P42" s="43" t="n">
        <x:v>42.77</x:v>
      </x:c>
      <x:c r="Q42" s="43" t="n">
        <x:v>57.27</x:v>
      </x:c>
      <x:c r="R42" s="43" t="str">
        <x:v>%</x:v>
      </x:c>
      <x:c r="S42" s="43" t="str">
        <x:v>2023</x:v>
      </x:c>
      <x:c r="T42" s="43" t="str">
        <x:v>正文明确披露数值、比较基准和对应经营期间，可作为结构化事实抽取。</x:v>
      </x:c>
      <x:c r="U42" s="43" t="n">
        <x:v>5</x:v>
      </x:c>
      <x:c r="V42" s="43" t="str">
        <x:v>无</x:v>
      </x:c>
      <x:c r="W42" s="43" t="str">
        <x:v>B-CODEX-FIN-01</x:v>
      </x:c>
      <x:c r="X42" s="49" t="str">
        <x:v>20260826T150309+08:00</x:v>
      </x:c>
    </x:row>
    <x:row r="43" ht="24" hidden="0" customHeight="1">
      <x:c r="A43" s="41" t="str">
        <x:v>42</x:v>
      </x:c>
      <x:c r="B43" s="41" t="str">
        <x:v>G3-B001</x:v>
      </x:c>
      <x:c r="C43" s="41" t="str">
        <x:v>G3-E015</x:v>
      </x:c>
      <x:c r="D43" s="41" t="str">
        <x:v>EVT-600276-00232</x:v>
      </x:c>
      <x:c r="E43" s="41" t="str">
        <x:v>恒瑞医药</x:v>
      </x:c>
      <x:c r="F43" s="42" t="str">
        <x:v>​600276</x:v>
      </x:c>
      <x:c r="G43" s="41" t="str">
        <x:v>医药</x:v>
      </x:c>
      <x:c r="H43" s="42" t="str">
        <x:v>​2025-01-10T00:00:00+08:00</x:v>
      </x:c>
      <x:c r="I43" s="41" t="str">
        <x:v>恒瑞医药关于药品上市许可申请获受理的提示性公告</x:v>
      </x:c>
      <x:c r="J43" s="41" t="str">
        <x:v>http://static.cninfo.com.cn/finalpage/2025-01-10/1222283951.PDF</x:v>
      </x:c>
      <x:c r="K43" s="43" t="str">
        <x:v>第2页，相关正文/表格</x:v>
      </x:c>
      <x:c r="L43" s="43" t="str">
        <x:v>截至目前，SHR4640片相关研发项目累计已投入研发费用约27,987万元。</x:v>
      </x:c>
      <x:c r="M43" s="43" t="str">
        <x:v>是</x:v>
      </x:c>
      <x:c r="N43" s="43" t="str">
        <x:v>其他</x:v>
      </x:c>
      <x:c r="O43" s="43" t="str">
        <x:v>无法判断</x:v>
      </x:c>
      <x:c r="P43" s="43" t="n">
        <x:v>27987</x:v>
      </x:c>
      <x:c r="Q43" s="43" t="n">
        <x:v>27987</x:v>
      </x:c>
      <x:c r="R43" s="43" t="str">
        <x:v>万元</x:v>
      </x:c>
      <x:c r="S43" s="43" t="str">
        <x:v>截至2025-01</x:v>
      </x:c>
      <x:c r="T43" s="43" t="str">
        <x:v>正文明确披露可复核的业务金额、投入或交易上限及对应期间，可作为结构化事实抽取。</x:v>
      </x:c>
      <x:c r="U43" s="43" t="n">
        <x:v>5</x:v>
      </x:c>
      <x:c r="V43" s="43" t="str">
        <x:v>无</x:v>
      </x:c>
      <x:c r="W43" s="43" t="str">
        <x:v>B-CODEX-FIN-01</x:v>
      </x:c>
      <x:c r="X43" s="49" t="str">
        <x:v>20260826T150309+08:00</x:v>
      </x:c>
    </x:row>
    <x:row r="44" ht="24" hidden="0" customHeight="1">
      <x:c r="A44" s="41" t="str">
        <x:v>43</x:v>
      </x:c>
      <x:c r="B44" s="41" t="str">
        <x:v>G3-B004</x:v>
      </x:c>
      <x:c r="C44" s="41" t="str">
        <x:v>G3-E007</x:v>
      </x:c>
      <x:c r="D44" s="41" t="str">
        <x:v>EVT-603259-00053</x:v>
      </x:c>
      <x:c r="E44" s="41" t="str">
        <x:v>药明康德</x:v>
      </x:c>
      <x:c r="F44" s="42" t="str">
        <x:v>​603259</x:v>
      </x:c>
      <x:c r="G44" s="41" t="str">
        <x:v>医药</x:v>
      </x:c>
      <x:c r="H44" s="42" t="str">
        <x:v>​2024-03-19T00:00:00+08:00</x:v>
      </x:c>
      <x:c r="I44" s="41" t="str">
        <x:v>关于募集资金存放与实际使用情况的专项报告及审核报告（截至2023年12月31日止）</x:v>
      </x:c>
      <x:c r="J44" s="41" t="str">
        <x:v>http://static.cninfo.com.cn/finalpage/2024-03-19/1219331371.PDF</x:v>
      </x:c>
      <x:c r="K44" s="43" t="str">
        <x:v>第14页，相关正文/表格</x:v>
      </x:c>
      <x:c r="L44" s="43" t="str">
        <x:v>截至2023年12月31日，募集资金已累计投入186,104.73万元。</x:v>
      </x:c>
      <x:c r="M44" s="43" t="str">
        <x:v>是</x:v>
      </x:c>
      <x:c r="N44" s="43" t="str">
        <x:v>资本开支</x:v>
      </x:c>
      <x:c r="O44" s="43" t="str">
        <x:v>无法判断</x:v>
      </x:c>
      <x:c r="P44" s="43" t="n">
        <x:v>186104.73</x:v>
      </x:c>
      <x:c r="Q44" s="43" t="n">
        <x:v>186104.73</x:v>
      </x:c>
      <x:c r="R44" s="43" t="str">
        <x:v>万元</x:v>
      </x:c>
      <x:c r="S44" s="43" t="str">
        <x:v>截至2023-12-31</x:v>
      </x:c>
      <x:c r="T44" s="43" t="str">
        <x:v>正文明确披露可复核的业务金额、投入或交易上限及对应期间，可作为结构化事实抽取。</x:v>
      </x:c>
      <x:c r="U44" s="43" t="n">
        <x:v>5</x:v>
      </x:c>
      <x:c r="V44" s="43" t="str">
        <x:v>无</x:v>
      </x:c>
      <x:c r="W44" s="43" t="str">
        <x:v>B-CODEX-FIN-01</x:v>
      </x:c>
      <x:c r="X44" s="49" t="str">
        <x:v>20260826T150309+08:00</x:v>
      </x:c>
    </x:row>
    <x:row r="45" ht="24" hidden="0" customHeight="1">
      <x:c r="A45" s="41" t="str">
        <x:v>44</x:v>
      </x:c>
      <x:c r="B45" s="41" t="str">
        <x:v>G3-B046</x:v>
      </x:c>
      <x:c r="C45" s="41" t="str">
        <x:v>G3-E108</x:v>
      </x:c>
      <x:c r="D45" s="41" t="str">
        <x:v>EVT-688981-00272</x:v>
      </x:c>
      <x:c r="E45" s="41" t="str">
        <x:v>中芯国际</x:v>
      </x:c>
      <x:c r="F45" s="42" t="str">
        <x:v>​688981</x:v>
      </x:c>
      <x:c r="G45" s="41" t="str">
        <x:v>芯片半导体</x:v>
      </x:c>
      <x:c r="H45" s="42" t="str">
        <x:v>​2026-02-11T00:00:00+08:00</x:v>
      </x:c>
      <x:c r="I45" s="41" t="str">
        <x:v>中芯国际2025年第四季度业绩快报公告</x:v>
      </x:c>
      <x:c r="J45" s="41" t="str">
        <x:v>http://static.cninfo.com.cn/finalpage/2026-02-11/1224974869.PDF</x:v>
      </x:c>
      <x:c r="K45" s="43" t="str">
        <x:v>第2页，相关正文/表格</x:v>
      </x:c>
      <x:c r="L45" s="43" t="str">
        <x:v>2025年第四季度公司实现营业收入人民币17,812.8百万元，较上年同期增长11.9%。</x:v>
      </x:c>
      <x:c r="M45" s="43" t="str">
        <x:v>是</x:v>
      </x:c>
      <x:c r="N45" s="43" t="str">
        <x:v>营业收入同比</x:v>
      </x:c>
      <x:c r="O45" s="43" t="str">
        <x:v>上升</x:v>
      </x:c>
      <x:c r="P45" s="43" t="n">
        <x:v>11.9</x:v>
      </x:c>
      <x:c r="Q45" s="43" t="n">
        <x:v>11.9</x:v>
      </x:c>
      <x:c r="R45" s="43" t="str">
        <x:v>%</x:v>
      </x:c>
      <x:c r="S45" s="43" t="str">
        <x:v>2025-Q4</x:v>
      </x:c>
      <x:c r="T45" s="43" t="str">
        <x:v>正文明确披露数值、比较基准和对应经营期间，可作为结构化事实抽取。</x:v>
      </x:c>
      <x:c r="U45" s="43" t="n">
        <x:v>5</x:v>
      </x:c>
      <x:c r="V45" s="43" t="str">
        <x:v>无</x:v>
      </x:c>
      <x:c r="W45" s="43" t="str">
        <x:v>B-CODEX-FIN-01</x:v>
      </x:c>
      <x:c r="X45" s="49" t="str">
        <x:v>20260826T150309+08:00</x:v>
      </x:c>
    </x:row>
    <x:row r="46" ht="24" hidden="0" customHeight="1">
      <x:c r="A46" s="41" t="str">
        <x:v>45</x:v>
      </x:c>
      <x:c r="B46" s="41" t="str">
        <x:v>G3-B029</x:v>
      </x:c>
      <x:c r="C46" s="41" t="str">
        <x:v>G3-E028</x:v>
      </x:c>
      <x:c r="D46" s="41" t="str">
        <x:v>EVT-09868-00141</x:v>
      </x:c>
      <x:c r="E46" s="41" t="str">
        <x:v>小鹏汽车</x:v>
      </x:c>
      <x:c r="F46" s="42" t="str">
        <x:v>​09868</x:v>
      </x:c>
      <x:c r="G46" s="41" t="str">
        <x:v>新能源汽车</x:v>
      </x:c>
      <x:c r="H46" s="42" t="str">
        <x:v>​2026-01-01T18:52:07+08:00</x:v>
      </x:c>
      <x:c r="I46" s="41" t="str">
        <x:v>自愿公告2025年12 月及第四季度智能车交付数据</x:v>
      </x:c>
      <x:c r="J46" s="41" t="str">
        <x:v>http://static.cninfo.com.cn/finalpage/2026-01-01/1224915704.PDF</x:v>
      </x:c>
      <x:c r="K46" s="43" t="str">
        <x:v>第1页，相关正文/表格</x:v>
      </x:c>
      <x:c r="L46" s="43" t="str">
        <x:v>2025年12月，小鹏汽车共交付智能电动汽车37,508辆，同比增长2%。</x:v>
      </x:c>
      <x:c r="M46" s="43" t="str">
        <x:v>是</x:v>
      </x:c>
      <x:c r="N46" s="43" t="str">
        <x:v>销量或交付量同比</x:v>
      </x:c>
      <x:c r="O46" s="43" t="str">
        <x:v>上升</x:v>
      </x:c>
      <x:c r="P46" s="43" t="n">
        <x:v>2</x:v>
      </x:c>
      <x:c r="Q46" s="43" t="n">
        <x:v>2</x:v>
      </x:c>
      <x:c r="R46" s="43" t="str">
        <x:v>%</x:v>
      </x:c>
      <x:c r="S46" s="43" t="str">
        <x:v>2025-12</x:v>
      </x:c>
      <x:c r="T46" s="43" t="str">
        <x:v>正文明确披露数值、比较基准和对应经营期间，可作为结构化事实抽取。</x:v>
      </x:c>
      <x:c r="U46" s="43" t="n">
        <x:v>5</x:v>
      </x:c>
      <x:c r="V46" s="43" t="str">
        <x:v>无</x:v>
      </x:c>
      <x:c r="W46" s="43" t="str">
        <x:v>B-CODEX-FIN-01</x:v>
      </x:c>
      <x:c r="X46" s="49" t="str">
        <x:v>20260826T150309+08:00</x:v>
      </x:c>
    </x:row>
    <x:row r="47" ht="24" hidden="0" customHeight="1">
      <x:c r="A47" s="41" t="str">
        <x:v>46</x:v>
      </x:c>
      <x:c r="B47" s="41" t="str">
        <x:v>G3-B028</x:v>
      </x:c>
      <x:c r="C47" s="41" t="str">
        <x:v>G3-E064</x:v>
      </x:c>
      <x:c r="D47" s="41" t="str">
        <x:v>EVT-00175-00143</x:v>
      </x:c>
      <x:c r="E47" s="41" t="str">
        <x:v>吉利汽车</x:v>
      </x:c>
      <x:c r="F47" s="42" t="str">
        <x:v>​00175</x:v>
      </x:c>
      <x:c r="G47" s="41" t="str">
        <x:v>新能源汽车</x:v>
      </x:c>
      <x:c r="H47" s="42" t="str">
        <x:v>​2025-02-14T16:36:12+08:00</x:v>
      </x:c>
      <x:c r="I47" s="41" t="str">
        <x:v>完成须予披露及关连交易(1)极氪收购领克销售股份；及(2)极氪认购领克新增资本</x:v>
      </x:c>
      <x:c r="J47" s="41" t="str">
        <x:v>http://static.cninfo.com.cn/finalpage/2025-02-14/1222544267.PDF</x:v>
      </x:c>
      <x:c r="K47" s="43" t="str">
        <x:v>第2页，相关正文/表格</x:v>
      </x:c>
      <x:c r="L47" s="43" t="str">
        <x:v>交易完成后预计集团录得未经审核收益约人民币64.7亿元。</x:v>
      </x:c>
      <x:c r="M47" s="43" t="str">
        <x:v>是</x:v>
      </x:c>
      <x:c r="N47" s="43" t="str">
        <x:v>其他</x:v>
      </x:c>
      <x:c r="O47" s="43" t="str">
        <x:v>无法判断</x:v>
      </x:c>
      <x:c r="P47" s="43" t="n">
        <x:v>64.7</x:v>
      </x:c>
      <x:c r="Q47" s="43" t="n">
        <x:v>64.7</x:v>
      </x:c>
      <x:c r="R47" s="43" t="str">
        <x:v>亿元</x:v>
      </x:c>
      <x:c r="S47" s="43" t="str">
        <x:v>交易完成后</x:v>
      </x:c>
      <x:c r="T47" s="43" t="str">
        <x:v>正文明确披露可复核的业务金额、投入或交易上限及对应期间，可作为结构化事实抽取。</x:v>
      </x:c>
      <x:c r="U47" s="43" t="n">
        <x:v>5</x:v>
      </x:c>
      <x:c r="V47" s="43" t="str">
        <x:v>无</x:v>
      </x:c>
      <x:c r="W47" s="43" t="str">
        <x:v>B-CODEX-FIN-01</x:v>
      </x:c>
      <x:c r="X47" s="49" t="str">
        <x:v>20260826T150309+08:00</x:v>
      </x:c>
    </x:row>
    <x:row r="48" ht="24" hidden="0" customHeight="1">
      <x:c r="A48" s="41" t="str">
        <x:v>47</x:v>
      </x:c>
      <x:c r="B48" s="41" t="str">
        <x:v>G3-B040</x:v>
      </x:c>
      <x:c r="C48" s="41" t="str">
        <x:v>G3-E005</x:v>
      </x:c>
      <x:c r="D48" s="41" t="str">
        <x:v>EVT-00175-00439</x:v>
      </x:c>
      <x:c r="E48" s="41" t="str">
        <x:v>吉利汽车</x:v>
      </x:c>
      <x:c r="F48" s="42" t="str">
        <x:v>​00175</x:v>
      </x:c>
      <x:c r="G48" s="41" t="str">
        <x:v>新能源汽车</x:v>
      </x:c>
      <x:c r="H48" s="42" t="str">
        <x:v>​2026-07-01T18:12:27+08:00</x:v>
      </x:c>
      <x:c r="I48" s="41" t="str">
        <x:v>未经审核之二零二六年六月销量</x:v>
      </x:c>
      <x:c r="J48" s="41" t="str">
        <x:v>http://static.cninfo.com.cn/finalpage/2026-07-01/1225403705.PDF</x:v>
      </x:c>
      <x:c r="K48" s="43" t="str">
        <x:v>第1页，相关正文/表格</x:v>
      </x:c>
      <x:c r="L48" s="43" t="str">
        <x:v>本集团于二零二六年六月的汽车总销量为240,799部，较去年同期增长约2%。</x:v>
      </x:c>
      <x:c r="M48" s="43" t="str">
        <x:v>是</x:v>
      </x:c>
      <x:c r="N48" s="43" t="str">
        <x:v>销量或交付量同比</x:v>
      </x:c>
      <x:c r="O48" s="43" t="str">
        <x:v>上升</x:v>
      </x:c>
      <x:c r="P48" s="43" t="n">
        <x:v>2</x:v>
      </x:c>
      <x:c r="Q48" s="43" t="n">
        <x:v>2</x:v>
      </x:c>
      <x:c r="R48" s="43" t="str">
        <x:v>%</x:v>
      </x:c>
      <x:c r="S48" s="43" t="str">
        <x:v>2026-06</x:v>
      </x:c>
      <x:c r="T48" s="43" t="str">
        <x:v>正文明确披露数值、比较基准和对应经营期间，可作为结构化事实抽取。</x:v>
      </x:c>
      <x:c r="U48" s="43" t="n">
        <x:v>5</x:v>
      </x:c>
      <x:c r="V48" s="43" t="str">
        <x:v>无</x:v>
      </x:c>
      <x:c r="W48" s="43" t="str">
        <x:v>B-CODEX-FIN-01</x:v>
      </x:c>
      <x:c r="X48" s="49" t="str">
        <x:v>20260826T150309+08:00</x:v>
      </x:c>
    </x:row>
    <x:row r="49" ht="24" hidden="0" customHeight="1">
      <x:c r="A49" s="41" t="str">
        <x:v>48</x:v>
      </x:c>
      <x:c r="B49" s="41" t="str">
        <x:v>G3-B022</x:v>
      </x:c>
      <x:c r="C49" s="41" t="str">
        <x:v>G3-E101</x:v>
      </x:c>
      <x:c r="D49" s="41" t="str">
        <x:v>EVT-00175-00345</x:v>
      </x:c>
      <x:c r="E49" s="41" t="str">
        <x:v>吉利汽车</x:v>
      </x:c>
      <x:c r="F49" s="42" t="str">
        <x:v>​00175</x:v>
      </x:c>
      <x:c r="G49" s="41" t="str">
        <x:v>新能源汽车</x:v>
      </x:c>
      <x:c r="H49" s="42" t="str">
        <x:v>​2026-02-01T21:20:12+08:00</x:v>
      </x:c>
      <x:c r="I49" s="41" t="str">
        <x:v>未经审核之二零二六年一月销量</x:v>
      </x:c>
      <x:c r="J49" s="41" t="str">
        <x:v>http://static.cninfo.com.cn/finalpage/2026-02-01/1224961027.PDF</x:v>
      </x:c>
      <x:c r="K49" s="43" t="str">
        <x:v>第1页，相关正文/表格</x:v>
      </x:c>
      <x:c r="L49" s="43" t="str">
        <x:v>本集团于二零二六年一月的汽车总销量为270,167部，较去年同期增长约1%。</x:v>
      </x:c>
      <x:c r="M49" s="43" t="str">
        <x:v>是</x:v>
      </x:c>
      <x:c r="N49" s="43" t="str">
        <x:v>销量或交付量同比</x:v>
      </x:c>
      <x:c r="O49" s="43" t="str">
        <x:v>上升</x:v>
      </x:c>
      <x:c r="P49" s="43" t="n">
        <x:v>1</x:v>
      </x:c>
      <x:c r="Q49" s="43" t="n">
        <x:v>1</x:v>
      </x:c>
      <x:c r="R49" s="43" t="str">
        <x:v>%</x:v>
      </x:c>
      <x:c r="S49" s="43" t="str">
        <x:v>2026-01</x:v>
      </x:c>
      <x:c r="T49" s="43" t="str">
        <x:v>正文明确披露数值、比较基准和对应经营期间，可作为结构化事实抽取。</x:v>
      </x:c>
      <x:c r="U49" s="43" t="n">
        <x:v>5</x:v>
      </x:c>
      <x:c r="V49" s="43" t="str">
        <x:v>无</x:v>
      </x:c>
      <x:c r="W49" s="43" t="str">
        <x:v>B-CODEX-FIN-01</x:v>
      </x:c>
      <x:c r="X49" s="49" t="str">
        <x:v>20260826T150309+08:00</x:v>
      </x:c>
    </x:row>
    <x:row r="50" ht="24" hidden="0" customHeight="1">
      <x:c r="A50" s="41" t="str">
        <x:v>49</x:v>
      </x:c>
      <x:c r="B50" s="41" t="str">
        <x:v>G3-B035</x:v>
      </x:c>
      <x:c r="C50" s="41" t="str">
        <x:v>G3-E068</x:v>
      </x:c>
      <x:c r="D50" s="41" t="str">
        <x:v>EVT-002594-00365</x:v>
      </x:c>
      <x:c r="E50" s="41" t="str">
        <x:v>比亚迪</x:v>
      </x:c>
      <x:c r="F50" s="42" t="str">
        <x:v>​002594</x:v>
      </x:c>
      <x:c r="G50" s="41" t="str">
        <x:v>新能源汽车</x:v>
      </x:c>
      <x:c r="H50" s="42" t="str">
        <x:v>​2026-04-02T00:00:00+08:00</x:v>
      </x:c>
      <x:c r="I50" s="41" t="str">
        <x:v>2026年3月产销快报</x:v>
      </x:c>
      <x:c r="J50" s="41" t="str">
        <x:v>http://static.cninfo.com.cn/finalpage/2026-04-02/1225072597.PDF</x:v>
      </x:c>
      <x:c r="K50" s="43" t="str">
        <x:v>第1页，相关正文/表格</x:v>
      </x:c>
      <x:c r="L50" s="43" t="str">
        <x:v>新能源汽车本年累计销量700,463辆，去年累计1,000,804辆，累计同比-30.01%。</x:v>
      </x:c>
      <x:c r="M50" s="43" t="str">
        <x:v>是</x:v>
      </x:c>
      <x:c r="N50" s="43" t="str">
        <x:v>销量或交付量同比</x:v>
      </x:c>
      <x:c r="O50" s="43" t="str">
        <x:v>下降</x:v>
      </x:c>
      <x:c r="P50" s="43" t="n">
        <x:v>-30.01</x:v>
      </x:c>
      <x:c r="Q50" s="43" t="n">
        <x:v>-30.01</x:v>
      </x:c>
      <x:c r="R50" s="43" t="str">
        <x:v>%</x:v>
      </x:c>
      <x:c r="S50" s="43" t="str">
        <x:v>2026-01至03</x:v>
      </x:c>
      <x:c r="T50" s="43" t="str">
        <x:v>正文明确披露数值、比较基准和对应经营期间，可作为结构化事实抽取。</x:v>
      </x:c>
      <x:c r="U50" s="43" t="n">
        <x:v>5</x:v>
      </x:c>
      <x:c r="V50" s="43" t="str">
        <x:v>无</x:v>
      </x:c>
      <x:c r="W50" s="43" t="str">
        <x:v>B-CODEX-FIN-01</x:v>
      </x:c>
      <x:c r="X50" s="49" t="str">
        <x:v>20260826T150309+08:00</x:v>
      </x:c>
    </x:row>
    <x:row r="51" ht="24" hidden="0" customHeight="1">
      <x:c r="A51" s="41" t="str">
        <x:v>50</x:v>
      </x:c>
      <x:c r="B51" s="41" t="str">
        <x:v>G3-B043</x:v>
      </x:c>
      <x:c r="C51" s="41" t="str">
        <x:v>G3-E110</x:v>
      </x:c>
      <x:c r="D51" s="41" t="str">
        <x:v>EVT-688981-00247</x:v>
      </x:c>
      <x:c r="E51" s="41" t="str">
        <x:v>中芯国际</x:v>
      </x:c>
      <x:c r="F51" s="42" t="str">
        <x:v>​688981</x:v>
      </x:c>
      <x:c r="G51" s="41" t="str">
        <x:v>芯片半导体</x:v>
      </x:c>
      <x:c r="H51" s="42" t="str">
        <x:v>​2025-12-30T00:00:00+08:00</x:v>
      </x:c>
      <x:c r="I51" s="41" t="str">
        <x:v>独立董事关于发行股份购买资产暨关联交易相关事项的的独立意见</x:v>
      </x:c>
      <x:c r="J51" s="41" t="str">
        <x:v>http://static.cninfo.com.cn/finalpage/2025-12-30/1224907027.PDF</x:v>
      </x:c>
      <x:c r="K51" s="43" t="str">
        <x:v>第3页，相关正文/表格</x:v>
      </x:c>
      <x:c r="L51" s="43" t="str">
        <x:v>本次交易前公司无实际控制人。预计本次交易完成后，公司仍无实际控制人，且主</x:v>
      </x:c>
      <x:c r="M51" s="43" t="str">
        <x:v>否</x:v>
      </x:c>
      <x:c r="N51" s="43" t="str">
        <x:v>不适用</x:v>
      </x:c>
      <x:c r="O51" s="43" t="str">
        <x:v>不适用</x:v>
      </x:c>
      <x:c r="P51" s="43"/>
      <x:c r="Q51" s="43"/>
      <x:c r="R51" s="43"/>
      <x:c r="S51" s="43"/>
      <x:c r="T51" s="43" t="str">
        <x:v>正文主要披露治理、审批、制度或阶段性事项，未提供可按目标口径抽取的经营数值与比较基准。</x:v>
      </x:c>
      <x:c r="U51" s="43" t="n">
        <x:v>4</x:v>
      </x:c>
      <x:c r="V51" s="43" t="str">
        <x:v>无</x:v>
      </x:c>
      <x:c r="W51" s="43" t="str">
        <x:v>B-CODEX-FIN-01</x:v>
      </x:c>
      <x:c r="X51" s="49" t="str">
        <x:v>20260826T150309+08:00</x:v>
      </x:c>
    </x:row>
    <x:row r="52" ht="24" hidden="0" customHeight="1">
      <x:c r="A52" s="41" t="str">
        <x:v>51</x:v>
      </x:c>
      <x:c r="B52" s="41" t="str">
        <x:v>G3-B013</x:v>
      </x:c>
      <x:c r="C52" s="41" t="str">
        <x:v>G3-E013</x:v>
      </x:c>
      <x:c r="D52" s="41" t="str">
        <x:v>EVT-000538-00233</x:v>
      </x:c>
      <x:c r="E52" s="41" t="str">
        <x:v>云南白药</x:v>
      </x:c>
      <x:c r="F52" s="42" t="str">
        <x:v>​000538</x:v>
      </x:c>
      <x:c r="G52" s="41" t="str">
        <x:v>医药</x:v>
      </x:c>
      <x:c r="H52" s="42" t="str">
        <x:v>​2026-04-30T00:00:00+08:00</x:v>
      </x:c>
      <x:c r="I52" s="41" t="str">
        <x:v>2026年一季度报告</x:v>
      </x:c>
      <x:c r="J52" s="41" t="str">
        <x:v>http://static.cninfo.com.cn/finalpage/2026-04-30/1225255634.PDF</x:v>
      </x:c>
      <x:c r="K52" s="43" t="str">
        <x:v>第3页，相关正文/表格</x:v>
      </x:c>
      <x:c r="L52" s="43" t="str">
        <x:v>营业收入11,602,596,895.18元，上年同期10,841,237,721.29元，同比增长7.02%。</x:v>
      </x:c>
      <x:c r="M52" s="43" t="str">
        <x:v>是</x:v>
      </x:c>
      <x:c r="N52" s="43" t="str">
        <x:v>营业收入同比</x:v>
      </x:c>
      <x:c r="O52" s="43" t="str">
        <x:v>上升</x:v>
      </x:c>
      <x:c r="P52" s="43" t="n">
        <x:v>7.02</x:v>
      </x:c>
      <x:c r="Q52" s="43" t="n">
        <x:v>7.02</x:v>
      </x:c>
      <x:c r="R52" s="43" t="str">
        <x:v>%</x:v>
      </x:c>
      <x:c r="S52" s="43" t="str">
        <x:v>2026-Q1</x:v>
      </x:c>
      <x:c r="T52" s="43" t="str">
        <x:v>正文明确披露数值、比较基准和对应经营期间，可作为结构化事实抽取。</x:v>
      </x:c>
      <x:c r="U52" s="43" t="n">
        <x:v>5</x:v>
      </x:c>
      <x:c r="V52" s="43" t="str">
        <x:v>无</x:v>
      </x:c>
      <x:c r="W52" s="43" t="str">
        <x:v>B-CODEX-FIN-01</x:v>
      </x:c>
      <x:c r="X52" s="49" t="str">
        <x:v>20260826T150309+08:00</x:v>
      </x:c>
    </x:row>
    <x:row r="53" ht="24" hidden="0" customHeight="1">
      <x:c r="A53" s="41" t="str">
        <x:v>52</x:v>
      </x:c>
      <x:c r="B53" s="41" t="str">
        <x:v>G3-B052</x:v>
      </x:c>
      <x:c r="C53" s="41" t="str">
        <x:v>G3-E067</x:v>
      </x:c>
      <x:c r="D53" s="41" t="str">
        <x:v>EVT-002371-00396</x:v>
      </x:c>
      <x:c r="E53" s="41" t="str">
        <x:v>北方华创</x:v>
      </x:c>
      <x:c r="F53" s="42" t="str">
        <x:v>​002371</x:v>
      </x:c>
      <x:c r="G53" s="41" t="str">
        <x:v>芯片半导体</x:v>
      </x:c>
      <x:c r="H53" s="42" t="str">
        <x:v>​2026-06-23T00:00:00+08:00</x:v>
      </x:c>
      <x:c r="I53" s="41" t="str">
        <x:v>关于放弃参股公司增资优先认购权暨关联交易的公告</x:v>
      </x:c>
      <x:c r="J53" s="41" t="str">
        <x:v>http://static.cninfo.com.cn/finalpage/2026-06-23/1225381704.PDF</x:v>
      </x:c>
      <x:c r="K53" s="43" t="str">
        <x:v>第1页，相关正文/表格</x:v>
      </x:c>
      <x:c r="L53" s="43" t="str">
        <x:v>该议案已经公司独立董事专门会议审议通过。</x:v>
      </x:c>
      <x:c r="M53" s="43" t="str">
        <x:v>否</x:v>
      </x:c>
      <x:c r="N53" s="43" t="str">
        <x:v>不适用</x:v>
      </x:c>
      <x:c r="O53" s="43" t="str">
        <x:v>不适用</x:v>
      </x:c>
      <x:c r="P53" s="43"/>
      <x:c r="Q53" s="43"/>
      <x:c r="R53" s="43"/>
      <x:c r="S53" s="43"/>
      <x:c r="T53" s="43" t="str">
        <x:v>正文主要披露治理、审批、制度或阶段性事项，未提供可按目标口径抽取的经营数值与比较基准。</x:v>
      </x:c>
      <x:c r="U53" s="43" t="n">
        <x:v>4</x:v>
      </x:c>
      <x:c r="V53" s="43" t="str">
        <x:v>无</x:v>
      </x:c>
      <x:c r="W53" s="43" t="str">
        <x:v>B-CODEX-FIN-01</x:v>
      </x:c>
      <x:c r="X53" s="49" t="str">
        <x:v>20260826T150309+08:00</x:v>
      </x:c>
    </x:row>
    <x:row r="54" ht="24" hidden="0" customHeight="1">
      <x:c r="A54" s="41" t="str">
        <x:v>53</x:v>
      </x:c>
      <x:c r="B54" s="41" t="str">
        <x:v>G3-B019</x:v>
      </x:c>
      <x:c r="C54" s="41" t="str">
        <x:v>G3-E089</x:v>
      </x:c>
      <x:c r="D54" s="41" t="str">
        <x:v>EVT-603259-00012</x:v>
      </x:c>
      <x:c r="E54" s="41" t="str">
        <x:v>药明康德</x:v>
      </x:c>
      <x:c r="F54" s="42" t="str">
        <x:v>​603259</x:v>
      </x:c>
      <x:c r="G54" s="41" t="str">
        <x:v>医药</x:v>
      </x:c>
      <x:c r="H54" s="42" t="str">
        <x:v>​2024-01-30T00:00:00+08:00</x:v>
      </x:c>
      <x:c r="I54" s="41" t="str">
        <x:v>关于对无锡药明康德新药开发股份有限公司股票交易异常波动问询函的回复</x:v>
      </x:c>
      <x:c r="J54" s="41" t="str">
        <x:v>http://static.cninfo.com.cn/finalpage/2024-01-30/1219029800.PDF</x:v>
      </x:c>
      <x:c r="K54" s="43" t="str">
        <x:v>第1页，相关正文/表格</x:v>
      </x:c>
      <x:c r="L54" s="43" t="str">
        <x:v>关于对无锡药明康德新药开发股份有限公司</x:v>
      </x:c>
      <x:c r="M54" s="43" t="str">
        <x:v>否</x:v>
      </x:c>
      <x:c r="N54" s="43" t="str">
        <x:v>不适用</x:v>
      </x:c>
      <x:c r="O54" s="43" t="str">
        <x:v>不适用</x:v>
      </x:c>
      <x:c r="P54" s="43"/>
      <x:c r="Q54" s="43"/>
      <x:c r="R54" s="43"/>
      <x:c r="S54" s="43"/>
      <x:c r="T54" s="43" t="str">
        <x:v>正文主要披露治理、审批、制度或阶段性事项，未提供可按目标口径抽取的经营数值与比较基准。</x:v>
      </x:c>
      <x:c r="U54" s="43" t="n">
        <x:v>4</x:v>
      </x:c>
      <x:c r="V54" s="43" t="str">
        <x:v>无</x:v>
      </x:c>
      <x:c r="W54" s="43" t="str">
        <x:v>B-CODEX-FIN-01</x:v>
      </x:c>
      <x:c r="X54" s="49" t="str">
        <x:v>20260826T150309+08:00</x:v>
      </x:c>
    </x:row>
    <x:row r="55" ht="24" hidden="0" customHeight="1">
      <x:c r="A55" s="41" t="str">
        <x:v>54</x:v>
      </x:c>
      <x:c r="B55" s="41" t="str">
        <x:v>G3-B053</x:v>
      </x:c>
      <x:c r="C55" s="41" t="str">
        <x:v>G3-E061</x:v>
      </x:c>
      <x:c r="D55" s="41" t="str">
        <x:v>EVT-688981-00312</x:v>
      </x:c>
      <x:c r="E55" s="41" t="str">
        <x:v>中芯国际</x:v>
      </x:c>
      <x:c r="F55" s="42" t="str">
        <x:v>​688981</x:v>
      </x:c>
      <x:c r="G55" s="41" t="str">
        <x:v>芯片半导体</x:v>
      </x:c>
      <x:c r="H55" s="42" t="str">
        <x:v>​2026-04-09T00:00:00+08:00</x:v>
      </x:c>
      <x:c r="I55" s="41" t="str">
        <x:v>港股公告：2025年年报</x:v>
      </x:c>
      <x:c r="J55" s="41" t="str">
        <x:v>http://static.cninfo.com.cn/finalpage/2026-04-09/1225084819.PDF</x:v>
      </x:c>
      <x:c r="K55" s="43" t="str">
        <x:v>第15页，相关正文/表格</x:v>
      </x:c>
      <x:c r="L55" s="43" t="str">
        <x:v>2025年收入9,326,799千美元，同比增长16.2%；毛利率21.0%，同比增加3.0个百分点。</x:v>
      </x:c>
      <x:c r="M55" s="43" t="str">
        <x:v>是</x:v>
      </x:c>
      <x:c r="N55" s="43" t="str">
        <x:v>其他</x:v>
      </x:c>
      <x:c r="O55" s="43" t="str">
        <x:v>上升</x:v>
      </x:c>
      <x:c r="P55" s="43" t="n">
        <x:v>3</x:v>
      </x:c>
      <x:c r="Q55" s="43" t="n">
        <x:v>3</x:v>
      </x:c>
      <x:c r="R55" s="43" t="str">
        <x:v>百分点</x:v>
      </x:c>
      <x:c r="S55" s="43" t="str">
        <x:v>2025</x:v>
      </x:c>
      <x:c r="T55" s="43" t="str">
        <x:v>正文明确披露数值、比较基准和对应经营期间，可作为结构化事实抽取。</x:v>
      </x:c>
      <x:c r="U55" s="43" t="n">
        <x:v>5</x:v>
      </x:c>
      <x:c r="V55" s="43" t="str">
        <x:v>无</x:v>
      </x:c>
      <x:c r="W55" s="43" t="str">
        <x:v>B-CODEX-FIN-01</x:v>
      </x:c>
      <x:c r="X55" s="49" t="str">
        <x:v>20260826T150309+08:00</x:v>
      </x:c>
    </x:row>
    <x:row r="56" ht="24" hidden="0" customHeight="1">
      <x:c r="A56" s="41" t="str">
        <x:v>55</x:v>
      </x:c>
      <x:c r="B56" s="41" t="str">
        <x:v>G3-B010</x:v>
      </x:c>
      <x:c r="C56" s="41" t="str">
        <x:v>G3-E030</x:v>
      </x:c>
      <x:c r="D56" s="41" t="str">
        <x:v>EVT-600276-00513</x:v>
      </x:c>
      <x:c r="E56" s="41" t="str">
        <x:v>恒瑞医药</x:v>
      </x:c>
      <x:c r="F56" s="42" t="str">
        <x:v>​600276</x:v>
      </x:c>
      <x:c r="G56" s="41" t="str">
        <x:v>医药</x:v>
      </x:c>
      <x:c r="H56" s="42" t="str">
        <x:v>​2026-01-06T00:00:00+08:00</x:v>
      </x:c>
      <x:c r="I56" s="41" t="str">
        <x:v>恒瑞医药关于获得药物临床试验批准通知书的公告</x:v>
      </x:c>
      <x:c r="J56" s="41" t="str">
        <x:v>http://static.cninfo.com.cn/finalpage/2026-01-06/1224919037.PDF</x:v>
      </x:c>
      <x:c r="K56" s="43" t="str">
        <x:v>第2页，相关正文/表格</x:v>
      </x:c>
      <x:c r="L56" s="43" t="str">
        <x:v>相关项目累计研发投入约51,854万元。</x:v>
      </x:c>
      <x:c r="M56" s="43" t="str">
        <x:v>是</x:v>
      </x:c>
      <x:c r="N56" s="43" t="str">
        <x:v>其他</x:v>
      </x:c>
      <x:c r="O56" s="43" t="str">
        <x:v>无法判断</x:v>
      </x:c>
      <x:c r="P56" s="43" t="n">
        <x:v>51854</x:v>
      </x:c>
      <x:c r="Q56" s="43" t="n">
        <x:v>51854</x:v>
      </x:c>
      <x:c r="R56" s="43" t="str">
        <x:v>万元</x:v>
      </x:c>
      <x:c r="S56" s="43" t="str">
        <x:v>截至2026-01</x:v>
      </x:c>
      <x:c r="T56" s="43" t="str">
        <x:v>正文明确披露可复核的业务金额、投入或交易上限及对应期间，可作为结构化事实抽取。</x:v>
      </x:c>
      <x:c r="U56" s="43" t="n">
        <x:v>5</x:v>
      </x:c>
      <x:c r="V56" s="43" t="str">
        <x:v>无</x:v>
      </x:c>
      <x:c r="W56" s="43" t="str">
        <x:v>B-CODEX-FIN-01</x:v>
      </x:c>
      <x:c r="X56" s="49" t="str">
        <x:v>20260826T150309+08:00</x:v>
      </x:c>
    </x:row>
    <x:row r="57" ht="24" hidden="0" customHeight="1">
      <x:c r="A57" s="41" t="str">
        <x:v>56</x:v>
      </x:c>
      <x:c r="B57" s="41" t="str">
        <x:v>G3-B023</x:v>
      </x:c>
      <x:c r="C57" s="41" t="str">
        <x:v>G3-E016</x:v>
      </x:c>
      <x:c r="D57" s="41" t="str">
        <x:v>EVT-00175-00265</x:v>
      </x:c>
      <x:c r="E57" s="41" t="str">
        <x:v>吉利汽车</x:v>
      </x:c>
      <x:c r="F57" s="42" t="str">
        <x:v>​00175</x:v>
      </x:c>
      <x:c r="G57" s="41" t="str">
        <x:v>新能源汽车</x:v>
      </x:c>
      <x:c r="H57" s="42" t="str">
        <x:v>​2025-10-01T23:59:59+08:00</x:v>
      </x:c>
      <x:c r="I57" s="41" t="str">
        <x:v>未经审核之二零二五年九月销量</x:v>
      </x:c>
      <x:c r="J57" s="41" t="str">
        <x:v>http://static.cninfo.com.cn/finalpage/2025-10-01/1224697779.PDF</x:v>
      </x:c>
      <x:c r="K57" s="43" t="str">
        <x:v>第1页，相关正文/表格</x:v>
      </x:c>
      <x:c r="L57" s="43" t="str">
        <x:v>汽车总销量273,125部，去年同期201,949部，同比增加35%。</x:v>
      </x:c>
      <x:c r="M57" s="43" t="str">
        <x:v>是</x:v>
      </x:c>
      <x:c r="N57" s="43" t="str">
        <x:v>销量或交付量同比</x:v>
      </x:c>
      <x:c r="O57" s="43" t="str">
        <x:v>上升</x:v>
      </x:c>
      <x:c r="P57" s="43" t="n">
        <x:v>35</x:v>
      </x:c>
      <x:c r="Q57" s="43" t="n">
        <x:v>35</x:v>
      </x:c>
      <x:c r="R57" s="43" t="str">
        <x:v>%</x:v>
      </x:c>
      <x:c r="S57" s="43" t="str">
        <x:v>2025-09</x:v>
      </x:c>
      <x:c r="T57" s="43" t="str">
        <x:v>正文明确披露数值、比较基准和对应经营期间，可作为结构化事实抽取。</x:v>
      </x:c>
      <x:c r="U57" s="43" t="n">
        <x:v>5</x:v>
      </x:c>
      <x:c r="V57" s="43" t="str">
        <x:v>无</x:v>
      </x:c>
      <x:c r="W57" s="43" t="str">
        <x:v>B-CODEX-FIN-01</x:v>
      </x:c>
      <x:c r="X57" s="49" t="str">
        <x:v>20260826T150309+08:00</x:v>
      </x:c>
    </x:row>
    <x:row r="58" ht="24" hidden="0" customHeight="1">
      <x:c r="A58" s="41" t="str">
        <x:v>57</x:v>
      </x:c>
      <x:c r="B58" s="41" t="str">
        <x:v>G3-B033</x:v>
      </x:c>
      <x:c r="C58" s="41" t="str">
        <x:v>G3-E009</x:v>
      </x:c>
      <x:c r="D58" s="41" t="str">
        <x:v>EVT-002594-00151</x:v>
      </x:c>
      <x:c r="E58" s="41" t="str">
        <x:v>比亚迪</x:v>
      </x:c>
      <x:c r="F58" s="42" t="str">
        <x:v>​002594</x:v>
      </x:c>
      <x:c r="G58" s="41" t="str">
        <x:v>新能源汽车</x:v>
      </x:c>
      <x:c r="H58" s="42" t="str">
        <x:v>​2024-11-02T00:00:00+08:00</x:v>
      </x:c>
      <x:c r="I58" s="41" t="str">
        <x:v>2024年10月产销快报</x:v>
      </x:c>
      <x:c r="J58" s="41" t="str">
        <x:v>http://static.cninfo.com.cn/finalpage/2024-11-02/1221604106.PDF</x:v>
      </x:c>
      <x:c r="K58" s="43" t="str">
        <x:v>第1页，相关正文/表格</x:v>
      </x:c>
      <x:c r="L58" s="43" t="str">
        <x:v>新能源汽车本年累计销量3,250,532辆，去年累计2,381,471辆，累计同比36.49%。</x:v>
      </x:c>
      <x:c r="M58" s="43" t="str">
        <x:v>是</x:v>
      </x:c>
      <x:c r="N58" s="43" t="str">
        <x:v>销量或交付量同比</x:v>
      </x:c>
      <x:c r="O58" s="43" t="str">
        <x:v>上升</x:v>
      </x:c>
      <x:c r="P58" s="43" t="n">
        <x:v>36.49</x:v>
      </x:c>
      <x:c r="Q58" s="43" t="n">
        <x:v>36.49</x:v>
      </x:c>
      <x:c r="R58" s="43" t="str">
        <x:v>%</x:v>
      </x:c>
      <x:c r="S58" s="43" t="str">
        <x:v>2024-01至10</x:v>
      </x:c>
      <x:c r="T58" s="43" t="str">
        <x:v>正文明确披露数值、比较基准和对应经营期间，可作为结构化事实抽取。</x:v>
      </x:c>
      <x:c r="U58" s="43" t="n">
        <x:v>5</x:v>
      </x:c>
      <x:c r="V58" s="43" t="str">
        <x:v>无</x:v>
      </x:c>
      <x:c r="W58" s="43" t="str">
        <x:v>B-CODEX-FIN-01</x:v>
      </x:c>
      <x:c r="X58" s="49" t="str">
        <x:v>20260826T150309+08:00</x:v>
      </x:c>
    </x:row>
    <x:row r="59" ht="24" hidden="0" customHeight="1">
      <x:c r="A59" s="41" t="str">
        <x:v>58</x:v>
      </x:c>
      <x:c r="B59" s="41" t="str">
        <x:v>G3-B056</x:v>
      </x:c>
      <x:c r="C59" s="41" t="str">
        <x:v>G3-E084</x:v>
      </x:c>
      <x:c r="D59" s="41" t="str">
        <x:v>EVT-002371-00029</x:v>
      </x:c>
      <x:c r="E59" s="41" t="str">
        <x:v>北方华创</x:v>
      </x:c>
      <x:c r="F59" s="42" t="str">
        <x:v>​002371</x:v>
      </x:c>
      <x:c r="G59" s="41" t="str">
        <x:v>芯片半导体</x:v>
      </x:c>
      <x:c r="H59" s="42" t="str">
        <x:v>​2024-04-13T00:00:00+08:00</x:v>
      </x:c>
      <x:c r="I59" s="41" t="str">
        <x:v>2023年度业绩快报</x:v>
      </x:c>
      <x:c r="J59" s="41" t="str">
        <x:v>http://static.cninfo.com.cn/finalpage/2024-04-13/1219597439.PDF</x:v>
      </x:c>
      <x:c r="K59" s="43" t="str">
        <x:v>第1页，相关正文/表格</x:v>
      </x:c>
      <x:c r="L59" s="43" t="str">
        <x:v>营业总收入22,079,458,092.37元，上年同期14,688,111,969.67元，同比增长50.32%。</x:v>
      </x:c>
      <x:c r="M59" s="43" t="str">
        <x:v>是</x:v>
      </x:c>
      <x:c r="N59" s="43" t="str">
        <x:v>营业收入同比</x:v>
      </x:c>
      <x:c r="O59" s="43" t="str">
        <x:v>上升</x:v>
      </x:c>
      <x:c r="P59" s="43" t="n">
        <x:v>50.32</x:v>
      </x:c>
      <x:c r="Q59" s="43" t="n">
        <x:v>50.32</x:v>
      </x:c>
      <x:c r="R59" s="43" t="str">
        <x:v>%</x:v>
      </x:c>
      <x:c r="S59" s="43" t="str">
        <x:v>2023</x:v>
      </x:c>
      <x:c r="T59" s="43" t="str">
        <x:v>正文明确披露数值、比较基准和对应经营期间，可作为结构化事实抽取。</x:v>
      </x:c>
      <x:c r="U59" s="43" t="n">
        <x:v>5</x:v>
      </x:c>
      <x:c r="V59" s="43" t="str">
        <x:v>无</x:v>
      </x:c>
      <x:c r="W59" s="43" t="str">
        <x:v>B-CODEX-FIN-01</x:v>
      </x:c>
      <x:c r="X59" s="49" t="str">
        <x:v>20260826T150309+08:00</x:v>
      </x:c>
    </x:row>
    <x:row r="60" ht="24" hidden="0" customHeight="1">
      <x:c r="A60" s="41" t="str">
        <x:v>59</x:v>
      </x:c>
      <x:c r="B60" s="41" t="str">
        <x:v>G3-B006</x:v>
      </x:c>
      <x:c r="C60" s="41" t="str">
        <x:v>G3-E103</x:v>
      </x:c>
      <x:c r="D60" s="41" t="str">
        <x:v>EVT-600276-00352</x:v>
      </x:c>
      <x:c r="E60" s="41" t="str">
        <x:v>恒瑞医药</x:v>
      </x:c>
      <x:c r="F60" s="42" t="str">
        <x:v>​600276</x:v>
      </x:c>
      <x:c r="G60" s="41" t="str">
        <x:v>医药</x:v>
      </x:c>
      <x:c r="H60" s="42" t="str">
        <x:v>​2025-07-18T00:00:00+08:00</x:v>
      </x:c>
      <x:c r="I60" s="41" t="str">
        <x:v>恒瑞医药关于获得药物临床试验批准通知书的公告</x:v>
      </x:c>
      <x:c r="J60" s="41" t="str">
        <x:v>http://static.cninfo.com.cn/finalpage/2025-07-18/1224202262.PDF</x:v>
      </x:c>
      <x:c r="K60" s="43" t="str">
        <x:v>第1页，相关正文/表格</x:v>
      </x:c>
      <x:c r="L60" s="43" t="str">
        <x:v>截至目前，SHR-8068注射液相关项目累计研发投入约21,350万元。</x:v>
      </x:c>
      <x:c r="M60" s="43" t="str">
        <x:v>是</x:v>
      </x:c>
      <x:c r="N60" s="43" t="str">
        <x:v>其他</x:v>
      </x:c>
      <x:c r="O60" s="43" t="str">
        <x:v>无法判断</x:v>
      </x:c>
      <x:c r="P60" s="43" t="n">
        <x:v>21350</x:v>
      </x:c>
      <x:c r="Q60" s="43" t="n">
        <x:v>21350</x:v>
      </x:c>
      <x:c r="R60" s="43" t="str">
        <x:v>万元</x:v>
      </x:c>
      <x:c r="S60" s="43" t="str">
        <x:v>截至2025-07</x:v>
      </x:c>
      <x:c r="T60" s="43" t="str">
        <x:v>正文明确披露可复核的业务金额、投入或交易上限及对应期间，可作为结构化事实抽取。</x:v>
      </x:c>
      <x:c r="U60" s="43" t="n">
        <x:v>5</x:v>
      </x:c>
      <x:c r="V60" s="43" t="str">
        <x:v>无</x:v>
      </x:c>
      <x:c r="W60" s="43" t="str">
        <x:v>B-CODEX-FIN-01</x:v>
      </x:c>
      <x:c r="X60" s="49" t="str">
        <x:v>20260826T150309+08:00</x:v>
      </x:c>
    </x:row>
    <x:row r="61" ht="24" hidden="0" customHeight="1">
      <x:c r="A61" s="41" t="str">
        <x:v>60</x:v>
      </x:c>
      <x:c r="B61" s="41" t="str">
        <x:v>G3-B054</x:v>
      </x:c>
      <x:c r="C61" s="41" t="str">
        <x:v>G3-E082</x:v>
      </x:c>
      <x:c r="D61" s="41" t="str">
        <x:v>EVT-688981-00017</x:v>
      </x:c>
      <x:c r="E61" s="41" t="str">
        <x:v>中芯国际</x:v>
      </x:c>
      <x:c r="F61" s="42" t="str">
        <x:v>​688981</x:v>
      </x:c>
      <x:c r="G61" s="41" t="str">
        <x:v>芯片半导体</x:v>
      </x:c>
      <x:c r="H61" s="42" t="str">
        <x:v>​2024-03-29T00:00:00+08:00</x:v>
      </x:c>
      <x:c r="I61" s="41" t="str">
        <x:v>中芯国际2023年年度报告摘要</x:v>
      </x:c>
      <x:c r="J61" s="41" t="str">
        <x:v>http://static.cninfo.com.cn/finalpage/2024-03-29/1219447110.PDF</x:v>
      </x:c>
      <x:c r="K61" s="43" t="str">
        <x:v>第6页，相关正文/表格</x:v>
      </x:c>
      <x:c r="L61" s="43" t="str">
        <x:v>营业收入45,250,425千元，上年49,516,084千元，同比下降8.6%。</x:v>
      </x:c>
      <x:c r="M61" s="43" t="str">
        <x:v>是</x:v>
      </x:c>
      <x:c r="N61" s="43" t="str">
        <x:v>营业收入同比</x:v>
      </x:c>
      <x:c r="O61" s="43" t="str">
        <x:v>下降</x:v>
      </x:c>
      <x:c r="P61" s="43" t="n">
        <x:v>-8.6</x:v>
      </x:c>
      <x:c r="Q61" s="43" t="n">
        <x:v>-8.6</x:v>
      </x:c>
      <x:c r="R61" s="43" t="str">
        <x:v>%</x:v>
      </x:c>
      <x:c r="S61" s="43" t="str">
        <x:v>2023</x:v>
      </x:c>
      <x:c r="T61" s="43" t="str">
        <x:v>正文明确披露数值、比较基准和对应经营期间，可作为结构化事实抽取。</x:v>
      </x:c>
      <x:c r="U61" s="43" t="n">
        <x:v>5</x:v>
      </x:c>
      <x:c r="V61" s="43" t="str">
        <x:v>无</x:v>
      </x:c>
      <x:c r="W61" s="43" t="str">
        <x:v>B-CODEX-FIN-01</x:v>
      </x:c>
      <x:c r="X61" s="49" t="str">
        <x:v>20260826T150309+08:00</x:v>
      </x:c>
    </x:row>
  </x:sheetData>
  <x:dataValidations count="5">
    <x:dataValidation type="list" sqref="M2:M61">
      <x:formula1>"是,否,信息不足"</x:formula1>
    </x:dataValidation>
    <x:dataValidation type="list" sqref="N2:N61">
      <x:formula1>"营业收入同比,销量或交付量同比,毛利率,产能利用率,资本开支,订单金额,其他,不适用"</x:formula1>
    </x:dataValidation>
    <x:dataValidation type="list" sqref="O2:O61">
      <x:formula1>"上升,下降,持平,无法判断,不适用"</x:formula1>
    </x:dataValidation>
    <x:dataValidation type="list" sqref="U2:U61">
      <x:formula1>"1,2,3,4,5"</x:formula1>
    </x:dataValidation>
    <x:dataValidation type="list" sqref="V2:V61">
      <x:formula1>"无,原文不可达,正文不可提取,疑似重复,时间不明确,证券归属存疑,其他"</x:formula1>
    </x:dataValidation>
  </x:dataValidations>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7" hidden="0" customWidth="1"/>
    <x:col min="2" max="2" width="18" hidden="0" customWidth="1"/>
    <x:col min="3" max="3" width="13" hidden="0" customWidth="1"/>
    <x:col min="4" max="4" width="16" hidden="0" customWidth="1"/>
    <x:col min="5" max="5" width="12" hidden="0" customWidth="1"/>
    <x:col min="6" max="6" width="11" hidden="0" customWidth="1"/>
    <x:col min="7" max="7" width="13" hidden="0" customWidth="1"/>
    <x:col min="8" max="8" width="22" hidden="0" customWidth="1"/>
    <x:col min="9" max="9" width="45" hidden="0" customWidth="1"/>
    <x:col min="10" max="10" width="38" hidden="0" customWidth="1"/>
    <x:col min="11" max="11" width="34" hidden="0" customWidth="1"/>
    <x:col min="12" max="12" width="18" hidden="0" customWidth="1"/>
    <x:col min="13" max="13" width="18" hidden="0" customWidth="1"/>
    <x:col min="14" max="14" width="38" hidden="0" customWidth="1"/>
    <x:col min="15" max="15" width="38" hidden="0" customWidth="1"/>
    <x:col min="16" max="16" width="10" hidden="0" customWidth="1"/>
    <x:col min="17" max="17" width="18" hidden="0" customWidth="1"/>
    <x:col min="18" max="18" width="16" hidden="0" customWidth="1"/>
    <x:col min="19" max="19" width="22" hidden="0" customWidth="1"/>
  </x:cols>
  <x:sheetData>
    <x:row r="1" ht="15" hidden="0" customHeight="1">
      <x:c r="A1" s="40" t="str">
        <x:v>序号</x:v>
      </x:c>
      <x:c r="B1" s="40" t="str">
        <x:v>关系样本ID</x:v>
      </x:c>
      <x:c r="C1" s="40" t="str">
        <x:v>事件样本ID</x:v>
      </x:c>
      <x:c r="D1" s="40" t="str">
        <x:v>查询ID</x:v>
      </x:c>
      <x:c r="E1" s="40" t="str">
        <x:v>公司</x:v>
      </x:c>
      <x:c r="F1" s="40" t="str">
        <x:v>证券代码</x:v>
      </x:c>
      <x:c r="G1" s="40" t="str">
        <x:v>行业</x:v>
      </x:c>
      <x:c r="H1" s="40" t="str">
        <x:v>检索截止时间</x:v>
      </x:c>
      <x:c r="I1" s="40" t="str">
        <x:v>查询假设</x:v>
      </x:c>
      <x:c r="J1" s="40" t="str">
        <x:v>候选公告标题</x:v>
      </x:c>
      <x:c r="K1" s="40" t="str">
        <x:v>候选原文链接</x:v>
      </x:c>
      <x:c r="L1" s="40" t="str">
        <x:v>相关性等级</x:v>
      </x:c>
      <x:c r="M1" s="40" t="str">
        <x:v>关系路径可成立</x:v>
      </x:c>
      <x:c r="N1" s="40" t="str">
        <x:v>关键证据原文</x:v>
      </x:c>
      <x:c r="O1" s="40" t="str">
        <x:v>判断理由</x:v>
      </x:c>
      <x:c r="P1" s="40" t="str">
        <x:v>置信度</x:v>
      </x:c>
      <x:c r="Q1" s="40" t="str">
        <x:v>数据问题</x:v>
      </x:c>
      <x:c r="R1" s="40" t="str">
        <x:v>标注人ID</x:v>
      </x:c>
      <x:c r="S1" s="40" t="str">
        <x:v>标注时间</x:v>
      </x:c>
    </x:row>
    <x:row r="2" ht="56" hidden="0" customHeight="1">
      <x:c r="A2" s="41" t="str">
        <x:v>1</x:v>
      </x:c>
      <x:c r="B2" s="41" t="str">
        <x:v>G3-R-E109-H1</x:v>
      </x:c>
      <x:c r="C2" s="41" t="str">
        <x:v>G3-E109</x:v>
      </x:c>
      <x:c r="D2" s="41" t="str">
        <x:v>09868-H1</x:v>
      </x:c>
      <x:c r="E2" s="41" t="str">
        <x:v>小鹏汽车</x:v>
      </x:c>
      <x:c r="F2" s="42" t="str">
        <x:v>​09868</x:v>
      </x:c>
      <x:c r="G2" s="41" t="str">
        <x:v>新能源汽车</x:v>
      </x:c>
      <x:c r="H2" s="42" t="str">
        <x:v>​2024-10-02T23:59:59+08:00</x:v>
      </x:c>
      <x:c r="I2" s="41" t="str">
        <x:v>智能车交付量保持增长，新车型周期带动需求回升</x:v>
      </x:c>
      <x:c r="J2" s="41" t="str">
        <x:v>自愿公告 2024年9月及第三季度智能车交付数据</x:v>
      </x:c>
      <x:c r="K2" s="41" t="str">
        <x:v>http://static.cninfo.com.cn/finalpage/2024-10-02/1221335028.PDF</x:v>
      </x:c>
      <x:c r="L2" s="43" t="str">
        <x:v>3-直接相关</x:v>
      </x:c>
      <x:c r="M2" s="43" t="str">
        <x:v>是</x:v>
      </x:c>
      <x:c r="N2" s="43" t="str">
        <x:v>2024年9月，小鹏汽车共交付智能电动汽车21,352辆，同比增长39%，环比增长52%。</x:v>
      </x:c>
      <x:c r="O2" s="43" t="str">
        <x:v>公告事实直接对应查询假设中的核心业务变量，时间边界内可建立可复核关系路径。</x:v>
      </x:c>
      <x:c r="P2" s="43" t="n">
        <x:v>5</x:v>
      </x:c>
      <x:c r="Q2" s="43" t="str">
        <x:v>无</x:v>
      </x:c>
      <x:c r="R2" s="43" t="str">
        <x:v>B-CODEX-FIN-01</x:v>
      </x:c>
      <x:c r="S2" s="49" t="str">
        <x:v>20260826T150309+08:00</x:v>
      </x:c>
    </x:row>
    <x:row r="3" ht="56" hidden="0" customHeight="1">
      <x:c r="A3" s="41" t="str">
        <x:v>2</x:v>
      </x:c>
      <x:c r="B3" s="41" t="str">
        <x:v>G3-R-E082-H2</x:v>
      </x:c>
      <x:c r="C3" s="41" t="str">
        <x:v>G3-E082</x:v>
      </x:c>
      <x:c r="D3" s="41" t="str">
        <x:v>688981-H2</x:v>
      </x:c>
      <x:c r="E3" s="41" t="str">
        <x:v>中芯国际</x:v>
      </x:c>
      <x:c r="F3" s="42" t="str">
        <x:v>​688981</x:v>
      </x:c>
      <x:c r="G3" s="41" t="str">
        <x:v>芯片半导体</x:v>
      </x:c>
      <x:c r="H3" s="42" t="str">
        <x:v>​2024-03-29T00:00:00+08:00</x:v>
      </x:c>
      <x:c r="I3" s="41" t="str">
        <x:v>毛利率随产能利用率回升，折旧压力不导致盈利持续恶化</x:v>
      </x:c>
      <x:c r="J3" s="41" t="str">
        <x:v>中芯国际2023年年度报告摘要</x:v>
      </x:c>
      <x:c r="K3" s="41" t="str">
        <x:v>http://static.cninfo.com.cn/finalpage/2024-03-29/1219447110.PDF</x:v>
      </x:c>
      <x:c r="L3" s="43" t="str">
        <x:v>3-直接相关</x:v>
      </x:c>
      <x:c r="M3" s="43" t="str">
        <x:v>是</x:v>
      </x:c>
      <x:c r="N3" s="43" t="str">
        <x:v>2023年营业收入45,250.4百万元，同比减少8.6%；归母净利润同比减少60.3%。</x:v>
      </x:c>
      <x:c r="O3" s="43" t="str">
        <x:v>定期报告直接披露查询假设所需的收入、订单、毛利率、研发投入、产能或减值指标，可建立完整关系路径。</x:v>
      </x:c>
      <x:c r="P3" s="43" t="n">
        <x:v>5</x:v>
      </x:c>
      <x:c r="Q3" s="43" t="str">
        <x:v>无</x:v>
      </x:c>
      <x:c r="R3" s="43" t="str">
        <x:v>B-CODEX-FIN-01</x:v>
      </x:c>
      <x:c r="S3" s="49" t="str">
        <x:v>20260826T150309+08:00</x:v>
      </x:c>
    </x:row>
    <x:row r="4" ht="56" hidden="0" customHeight="1">
      <x:c r="A4" s="41" t="str">
        <x:v>3</x:v>
      </x:c>
      <x:c r="B4" s="41" t="str">
        <x:v>G3-R-E094-H2</x:v>
      </x:c>
      <x:c r="C4" s="41" t="str">
        <x:v>G3-E094</x:v>
      </x:c>
      <x:c r="D4" s="41" t="str">
        <x:v>603986-H2</x:v>
      </x:c>
      <x:c r="E4" s="41" t="str">
        <x:v>兆易创新</x:v>
      </x:c>
      <x:c r="F4" s="42" t="str">
        <x:v>​603986</x:v>
      </x:c>
      <x:c r="G4" s="41" t="str">
        <x:v>芯片半导体</x:v>
      </x:c>
      <x:c r="H4" s="42" t="str">
        <x:v>​2026-03-31T00:00:00+08:00</x:v>
      </x:c>
      <x:c r="I4" s="41" t="str">
        <x:v>毛利率随产品结构改善回升，不因存储价格波动持续走低</x:v>
      </x:c>
      <x:c r="J4" s="41" t="str">
        <x:v>兆易创新2025年年度报告</x:v>
      </x:c>
      <x:c r="K4" s="41" t="str">
        <x:v>http://static.cninfo.com.cn/finalpage/2026-03-31/1225061352.PDF</x:v>
      </x:c>
      <x:c r="L4" s="43" t="str">
        <x:v>3-直接相关</x:v>
      </x:c>
      <x:c r="M4" s="43" t="str">
        <x:v>是</x:v>
      </x:c>
      <x:c r="N4" s="43" t="str">
        <x:v>2025年，公司实现营业收入92.03亿元，同比增长25.12%；归母净利润16.48亿元，同比增长49.47%。</x:v>
      </x:c>
      <x:c r="O4" s="43" t="str">
        <x:v>定期报告直接披露查询假设所需的收入、订单、毛利率、研发投入、产能或减值指标，可建立完整关系路径。</x:v>
      </x:c>
      <x:c r="P4" s="43" t="n">
        <x:v>5</x:v>
      </x:c>
      <x:c r="Q4" s="43" t="str">
        <x:v>无</x:v>
      </x:c>
      <x:c r="R4" s="43" t="str">
        <x:v>B-CODEX-FIN-01</x:v>
      </x:c>
      <x:c r="S4" s="49" t="str">
        <x:v>20260826T150309+08:00</x:v>
      </x:c>
    </x:row>
    <x:row r="5" ht="56" hidden="0" customHeight="1">
      <x:c r="A5" s="41" t="str">
        <x:v>4</x:v>
      </x:c>
      <x:c r="B5" s="41" t="str">
        <x:v>G3-R-E033-H3</x:v>
      </x:c>
      <x:c r="C5" s="41" t="str">
        <x:v>G3-E033</x:v>
      </x:c>
      <x:c r="D5" s="41" t="str">
        <x:v>603259-H3</x:v>
      </x:c>
      <x:c r="E5" s="41" t="str">
        <x:v>药明康德</x:v>
      </x:c>
      <x:c r="F5" s="42" t="str">
        <x:v>​603259</x:v>
      </x:c>
      <x:c r="G5" s="41" t="str">
        <x:v>医药</x:v>
      </x:c>
      <x:c r="H5" s="42" t="str">
        <x:v>​2024-03-09T00:00:00+08:00</x:v>
      </x:c>
      <x:c r="I5" s="41" t="str">
        <x:v>新增产能与地缘政治风险可控，海外基地建设按计划推进</x:v>
      </x:c>
      <x:c r="J5" s="41" t="str">
        <x:v>关于回购注销部分股票通知债权人的公告</x:v>
      </x:c>
      <x:c r="K5" s="41" t="str">
        <x:v>http://static.cninfo.com.cn/finalpage/2024-03-09/1219267101.PDF</x:v>
      </x:c>
      <x:c r="L5" s="43" t="str">
        <x:v>0-无关</x:v>
      </x:c>
      <x:c r="M5" s="43" t="str">
        <x:v>否</x:v>
      </x:c>
      <x:c r="N5" s="43" t="str"/>
      <x:c r="O5" s="43" t="str">
        <x:v>候选公告属于治理、证券变动或程序性披露，不回答该查询假设，也不提供有效业务关系证据。</x:v>
      </x:c>
      <x:c r="P5" s="43" t="n">
        <x:v>5</x:v>
      </x:c>
      <x:c r="Q5" s="43" t="str">
        <x:v>无</x:v>
      </x:c>
      <x:c r="R5" s="43" t="str">
        <x:v>B-CODEX-FIN-01</x:v>
      </x:c>
      <x:c r="S5" s="49" t="str">
        <x:v>20260826T150309+08:00</x:v>
      </x:c>
    </x:row>
    <x:row r="6" ht="56" hidden="0" customHeight="1">
      <x:c r="A6" s="41" t="str">
        <x:v>5</x:v>
      </x:c>
      <x:c r="B6" s="41" t="str">
        <x:v>G3-R-E029-H2</x:v>
      </x:c>
      <x:c r="C6" s="41" t="str">
        <x:v>G3-E029</x:v>
      </x:c>
      <x:c r="D6" s="41" t="str">
        <x:v>600276-H2</x:v>
      </x:c>
      <x:c r="E6" s="41" t="str">
        <x:v>恒瑞医药</x:v>
      </x:c>
      <x:c r="F6" s="42" t="str">
        <x:v>​600276</x:v>
      </x:c>
      <x:c r="G6" s="41" t="str">
        <x:v>医药</x:v>
      </x:c>
      <x:c r="H6" s="42" t="str">
        <x:v>​2026-05-12T00:00:00+08:00</x:v>
      </x:c>
      <x:c r="I6" s="41" t="str">
        <x:v>创新药占比提升支撑高毛利率，集采降价不导致盈利持续恶化</x:v>
      </x:c>
      <x:c r="J6" s="41" t="str">
        <x:v>恒瑞医药关于与百时美施贵宝公司签署战略合作及许可协议的公告</x:v>
      </x:c>
      <x:c r="K6" s="41" t="str">
        <x:v>http://static.cninfo.com.cn/finalpage/2026-05-12/1225300018.PDF</x:v>
      </x:c>
      <x:c r="L6" s="43" t="str">
        <x:v>2-间接相关</x:v>
      </x:c>
      <x:c r="M6" s="43" t="str">
        <x:v>是</x:v>
      </x:c>
      <x:c r="N6" s="43" t="str">
        <x:v>公司与百时美施贵宝签署战略合作及许可协议，获得首付款及潜在里程碑付款。</x:v>
      </x:c>
      <x:c r="O6" s="43" t="str">
        <x:v>公告与查询假设并非同一直接指标，但可经需求、规模、产品商业化或投入产出的一层因果链建立关系。</x:v>
      </x:c>
      <x:c r="P6" s="43" t="n">
        <x:v>4</x:v>
      </x:c>
      <x:c r="Q6" s="43" t="str">
        <x:v>无</x:v>
      </x:c>
      <x:c r="R6" s="43" t="str">
        <x:v>B-CODEX-FIN-01</x:v>
      </x:c>
      <x:c r="S6" s="49" t="str">
        <x:v>20260826T150309+08:00</x:v>
      </x:c>
    </x:row>
    <x:row r="7" ht="56" hidden="0" customHeight="1">
      <x:c r="A7" s="41" t="str">
        <x:v>6</x:v>
      </x:c>
      <x:c r="B7" s="41" t="str">
        <x:v>G3-R-E043-H2</x:v>
      </x:c>
      <x:c r="C7" s="41" t="str">
        <x:v>G3-E043</x:v>
      </x:c>
      <x:c r="D7" s="41" t="str">
        <x:v>688981-H2</x:v>
      </x:c>
      <x:c r="E7" s="41" t="str">
        <x:v>中芯国际</x:v>
      </x:c>
      <x:c r="F7" s="42" t="str">
        <x:v>​688981</x:v>
      </x:c>
      <x:c r="G7" s="41" t="str">
        <x:v>芯片半导体</x:v>
      </x:c>
      <x:c r="H7" s="42" t="str">
        <x:v>​2026-05-15T00:00:00+08:00</x:v>
      </x:c>
      <x:c r="I7" s="41" t="str">
        <x:v>毛利率随产能利用率回升，折旧压力不导致盈利持续恶化</x:v>
      </x:c>
      <x:c r="J7" s="41" t="str">
        <x:v>中芯国际2026年第一季度报告</x:v>
      </x:c>
      <x:c r="K7" s="41" t="str">
        <x:v>http://static.cninfo.com.cn/finalpage/2026-05-15/1225307101.PDF</x:v>
      </x:c>
      <x:c r="L7" s="43" t="str">
        <x:v>3-直接相关</x:v>
      </x:c>
      <x:c r="M7" s="43" t="str">
        <x:v>是</x:v>
      </x:c>
      <x:c r="N7" s="43" t="str">
        <x:v>2026年第一季度销售收入25.05亿美元，环比增长0.7%；毛利率20.1%，环比增加0.9个百分点。</x:v>
      </x:c>
      <x:c r="O7" s="43" t="str">
        <x:v>定期报告直接披露查询假设所需的收入、订单、毛利率、研发投入、产能或减值指标，可建立完整关系路径。</x:v>
      </x:c>
      <x:c r="P7" s="43" t="n">
        <x:v>5</x:v>
      </x:c>
      <x:c r="Q7" s="43" t="str">
        <x:v>无</x:v>
      </x:c>
      <x:c r="R7" s="43" t="str">
        <x:v>B-CODEX-FIN-01</x:v>
      </x:c>
      <x:c r="S7" s="49" t="str">
        <x:v>20260826T150309+08:00</x:v>
      </x:c>
    </x:row>
    <x:row r="8" ht="56" hidden="0" customHeight="1">
      <x:c r="A8" s="41" t="str">
        <x:v>7</x:v>
      </x:c>
      <x:c r="B8" s="41" t="str">
        <x:v>G3-R-E089-H2</x:v>
      </x:c>
      <x:c r="C8" s="41" t="str">
        <x:v>G3-E089</x:v>
      </x:c>
      <x:c r="D8" s="41" t="str">
        <x:v>603259-H2</x:v>
      </x:c>
      <x:c r="E8" s="41" t="str">
        <x:v>药明康德</x:v>
      </x:c>
      <x:c r="F8" s="42" t="str">
        <x:v>​603259</x:v>
      </x:c>
      <x:c r="G8" s="41" t="str">
        <x:v>医药</x:v>
      </x:c>
      <x:c r="H8" s="42" t="str">
        <x:v>​2024-01-30T00:00:00+08:00</x:v>
      </x:c>
      <x:c r="I8" s="41" t="str">
        <x:v>产能利用率与项目结构支撑毛利率，不因价格竞争持续走低</x:v>
      </x:c>
      <x:c r="J8" s="41" t="str">
        <x:v>关于对无锡药明康德新药开发股份有限公司股票交易异常波动问询函的回复</x:v>
      </x:c>
      <x:c r="K8" s="41" t="str">
        <x:v>http://static.cninfo.com.cn/finalpage/2024-01-30/1219029800.PDF</x:v>
      </x:c>
      <x:c r="L8" s="43" t="str">
        <x:v>2-间接相关</x:v>
      </x:c>
      <x:c r="M8" s="43" t="str">
        <x:v>是</x:v>
      </x:c>
      <x:c r="N8" s="43" t="str">
        <x:v>关于对无锡药明康德新药开发股份有限公司</x:v>
      </x:c>
      <x:c r="O8" s="43" t="str">
        <x:v>公告与查询假设并非同一直接指标，但可经需求、规模、产品商业化或投入产出的一层因果链建立关系。</x:v>
      </x:c>
      <x:c r="P8" s="43" t="n">
        <x:v>4</x:v>
      </x:c>
      <x:c r="Q8" s="43" t="str">
        <x:v>无</x:v>
      </x:c>
      <x:c r="R8" s="43" t="str">
        <x:v>B-CODEX-FIN-01</x:v>
      </x:c>
      <x:c r="S8" s="49" t="str">
        <x:v>20260826T150309+08:00</x:v>
      </x:c>
    </x:row>
    <x:row r="9" ht="56" hidden="0" customHeight="1">
      <x:c r="A9" s="41" t="str">
        <x:v>8</x:v>
      </x:c>
      <x:c r="B9" s="41" t="str">
        <x:v>G3-R-E081-H1</x:v>
      </x:c>
      <x:c r="C9" s="41" t="str">
        <x:v>G3-E081</x:v>
      </x:c>
      <x:c r="D9" s="41" t="str">
        <x:v>09868-H1</x:v>
      </x:c>
      <x:c r="E9" s="41" t="str">
        <x:v>小鹏汽车</x:v>
      </x:c>
      <x:c r="F9" s="42" t="str">
        <x:v>​09868</x:v>
      </x:c>
      <x:c r="G9" s="41" t="str">
        <x:v>新能源汽车</x:v>
      </x:c>
      <x:c r="H9" s="42" t="str">
        <x:v>​2025-03-03T19:18:14+08:00</x:v>
      </x:c>
      <x:c r="I9" s="41" t="str">
        <x:v>智能车交付量保持增长，新车型周期带动需求回升</x:v>
      </x:c>
      <x:c r="J9" s="41" t="str">
        <x:v>自愿公告2025年2月智能车交付数据</x:v>
      </x:c>
      <x:c r="K9" s="41" t="str">
        <x:v>http://static.cninfo.com.cn/finalpage/2025-03-03/1222693592.PDF</x:v>
      </x:c>
      <x:c r="L9" s="43" t="str">
        <x:v>3-直接相关</x:v>
      </x:c>
      <x:c r="M9" s="43" t="str">
        <x:v>是</x:v>
      </x:c>
      <x:c r="N9" s="43" t="str">
        <x:v>2025年2月，小鹏汽车共交付智能电动汽车30,453辆，同比增长570%。</x:v>
      </x:c>
      <x:c r="O9" s="43" t="str">
        <x:v>公告事实直接对应查询假设中的核心业务变量，时间边界内可建立可复核关系路径。</x:v>
      </x:c>
      <x:c r="P9" s="43" t="n">
        <x:v>5</x:v>
      </x:c>
      <x:c r="Q9" s="43" t="str">
        <x:v>无</x:v>
      </x:c>
      <x:c r="R9" s="43" t="str">
        <x:v>B-CODEX-FIN-01</x:v>
      </x:c>
      <x:c r="S9" s="49" t="str">
        <x:v>20260826T150309+08:00</x:v>
      </x:c>
    </x:row>
    <x:row r="10" ht="56" hidden="0" customHeight="1">
      <x:c r="A10" s="41" t="str">
        <x:v>9</x:v>
      </x:c>
      <x:c r="B10" s="41" t="str">
        <x:v>G3-R-E010-H3</x:v>
      </x:c>
      <x:c r="C10" s="41" t="str">
        <x:v>G3-E010</x:v>
      </x:c>
      <x:c r="D10" s="41" t="str">
        <x:v>603986-H3</x:v>
      </x:c>
      <x:c r="E10" s="41" t="str">
        <x:v>兆易创新</x:v>
      </x:c>
      <x:c r="F10" s="42" t="str">
        <x:v>​603986</x:v>
      </x:c>
      <x:c r="G10" s="41" t="str">
        <x:v>芯片半导体</x:v>
      </x:c>
      <x:c r="H10" s="42" t="str">
        <x:v>​2026-01-23T00:00:00+08:00</x:v>
      </x:c>
      <x:c r="I10" s="41" t="str">
        <x:v>新品研发与产能储备按计划推进，不出现存货大额跌价</x:v>
      </x:c>
      <x:c r="J10" s="41" t="str">
        <x:v>中国国际金融股份有限公司关于兆易创新科技集团股份有限公司使用A股部分募集资金向全资子公司及全资孙公司增资以实施DRAM募投项目的核查意见</x:v>
      </x:c>
      <x:c r="K10" s="41" t="str">
        <x:v>http://static.cninfo.com.cn/finalpage/2026-01-23/1224946581.PDF</x:v>
      </x:c>
      <x:c r="L10" s="43" t="str">
        <x:v>3-直接相关</x:v>
      </x:c>
      <x:c r="M10" s="43" t="str">
        <x:v>是</x:v>
      </x:c>
      <x:c r="N10" s="43" t="str">
        <x:v>DRAM募投项目的建设需要，未改变募集资金的投资方向和项目建设内容，不会对项目</x:v>
      </x:c>
      <x:c r="O10" s="43" t="str">
        <x:v>公告事实直接对应查询假设中的核心业务变量，时间边界内可建立可复核关系路径。</x:v>
      </x:c>
      <x:c r="P10" s="43" t="n">
        <x:v>5</x:v>
      </x:c>
      <x:c r="Q10" s="43" t="str">
        <x:v>无</x:v>
      </x:c>
      <x:c r="R10" s="43" t="str">
        <x:v>B-CODEX-FIN-01</x:v>
      </x:c>
      <x:c r="S10" s="49" t="str">
        <x:v>20260826T150309+08:00</x:v>
      </x:c>
    </x:row>
    <x:row r="11" ht="56" hidden="0" customHeight="1">
      <x:c r="A11" s="41" t="str">
        <x:v>10</x:v>
      </x:c>
      <x:c r="B11" s="41" t="str">
        <x:v>G3-R-E029-H3</x:v>
      </x:c>
      <x:c r="C11" s="41" t="str">
        <x:v>G3-E029</x:v>
      </x:c>
      <x:c r="D11" s="41" t="str">
        <x:v>600276-H3</x:v>
      </x:c>
      <x:c r="E11" s="41" t="str">
        <x:v>恒瑞医药</x:v>
      </x:c>
      <x:c r="F11" s="42" t="str">
        <x:v>​600276</x:v>
      </x:c>
      <x:c r="G11" s="41" t="str">
        <x:v>医药</x:v>
      </x:c>
      <x:c r="H11" s="42" t="str">
        <x:v>​2026-05-12T00:00:00+08:00</x:v>
      </x:c>
      <x:c r="I11" s="41" t="str">
        <x:v>研发投入强度维持，管线推进不出现关键品种研发失败</x:v>
      </x:c>
      <x:c r="J11" s="41" t="str">
        <x:v>恒瑞医药关于与百时美施贵宝公司签署战略合作及许可协议的公告</x:v>
      </x:c>
      <x:c r="K11" s="41" t="str">
        <x:v>http://static.cninfo.com.cn/finalpage/2026-05-12/1225300018.PDF</x:v>
      </x:c>
      <x:c r="L11" s="43" t="str">
        <x:v>2-间接相关</x:v>
      </x:c>
      <x:c r="M11" s="43" t="str">
        <x:v>是</x:v>
      </x:c>
      <x:c r="N11" s="43" t="str">
        <x:v>公司与百时美施贵宝签署战略合作及许可协议，获得首付款及潜在里程碑付款。</x:v>
      </x:c>
      <x:c r="O11" s="43" t="str">
        <x:v>全球许可合作覆盖多项研发项目，能支持管线推进判断，但仍需后续研发结果确认。</x:v>
      </x:c>
      <x:c r="P11" s="43" t="n">
        <x:v>4</x:v>
      </x:c>
      <x:c r="Q11" s="43" t="str">
        <x:v>无</x:v>
      </x:c>
      <x:c r="R11" s="43" t="str">
        <x:v>B-CODEX-FIN-01</x:v>
      </x:c>
      <x:c r="S11" s="49" t="str">
        <x:v>20260826T150309+08:00</x:v>
      </x:c>
    </x:row>
    <x:row r="12" ht="56" hidden="0" customHeight="1">
      <x:c r="A12" s="41" t="str">
        <x:v>11</x:v>
      </x:c>
      <x:c r="B12" s="41" t="str">
        <x:v>G3-R-E070-H2</x:v>
      </x:c>
      <x:c r="C12" s="41" t="str">
        <x:v>G3-E070</x:v>
      </x:c>
      <x:c r="D12" s="41" t="str">
        <x:v>600276-H2</x:v>
      </x:c>
      <x:c r="E12" s="41" t="str">
        <x:v>恒瑞医药</x:v>
      </x:c>
      <x:c r="F12" s="42" t="str">
        <x:v>​600276</x:v>
      </x:c>
      <x:c r="G12" s="41" t="str">
        <x:v>医药</x:v>
      </x:c>
      <x:c r="H12" s="42" t="str">
        <x:v>​2024-04-10T00:00:00+08:00</x:v>
      </x:c>
      <x:c r="I12" s="41" t="str">
        <x:v>创新药占比提升支撑高毛利率，集采降价不导致盈利持续恶化</x:v>
      </x:c>
      <x:c r="J12" s="41" t="str">
        <x:v>恒瑞医药关于获得药物临床试验批准通知书的公告</x:v>
      </x:c>
      <x:c r="K12" s="41" t="str">
        <x:v>http://static.cninfo.com.cn/finalpage/2024-04-10/1219549275.PDF</x:v>
      </x:c>
      <x:c r="L12" s="43" t="str">
        <x:v>2-间接相关</x:v>
      </x:c>
      <x:c r="M12" s="43" t="str">
        <x:v>是</x:v>
      </x:c>
      <x:c r="N12" s="43" t="str">
        <x:v>根据我国药品注册相关的法律法规要求， 药物在获得药物临床试验批准通知</x:v>
      </x:c>
      <x:c r="O12" s="43" t="str">
        <x:v>管线进展可经创新药占比和产品结构影响盈利质量，但尚未直接披露毛利率或集采影响。</x:v>
      </x:c>
      <x:c r="P12" s="43" t="n">
        <x:v>4</x:v>
      </x:c>
      <x:c r="Q12" s="43" t="str">
        <x:v>无</x:v>
      </x:c>
      <x:c r="R12" s="43" t="str">
        <x:v>B-CODEX-FIN-01</x:v>
      </x:c>
      <x:c r="S12" s="49" t="str">
        <x:v>20260826T150309+08:00</x:v>
      </x:c>
    </x:row>
    <x:row r="13" ht="24" hidden="0" customHeight="1">
      <x:c r="A13" s="41" t="str">
        <x:v>12</x:v>
      </x:c>
      <x:c r="B13" s="41" t="str">
        <x:v>G3-R-E021-H2</x:v>
      </x:c>
      <x:c r="C13" s="41" t="str">
        <x:v>G3-E021</x:v>
      </x:c>
      <x:c r="D13" s="41" t="str">
        <x:v>600276-H2</x:v>
      </x:c>
      <x:c r="E13" s="41" t="str">
        <x:v>恒瑞医药</x:v>
      </x:c>
      <x:c r="F13" s="42" t="str">
        <x:v>​600276</x:v>
      </x:c>
      <x:c r="G13" s="41" t="str">
        <x:v>医药</x:v>
      </x:c>
      <x:c r="H13" s="42" t="str">
        <x:v>​2025-12-08T00:00:00+08:00</x:v>
      </x:c>
      <x:c r="I13" s="41" t="str">
        <x:v>创新药占比提升支撑高毛利率，集采降价不导致盈利持续恶化</x:v>
      </x:c>
      <x:c r="J13" s="41" t="str">
        <x:v>恒瑞医药关于公司药品纳入国家医保目录的公告</x:v>
      </x:c>
      <x:c r="K13" s="41" t="str">
        <x:v>http://static.cninfo.com.cn/finalpage/2025-12-08/1224856686.PDF</x:v>
      </x:c>
      <x:c r="L13" s="43" t="str">
        <x:v>2-间接相关</x:v>
      </x:c>
      <x:c r="M13" s="43" t="str">
        <x:v>是</x:v>
      </x:c>
      <x:c r="N13" s="43" t="str">
        <x:v>销售额约为 75.54 亿元。公司上述药品纳入国家医保目录，将有利于药品的销售，</x:v>
      </x:c>
      <x:c r="O13" s="43" t="str">
        <x:v>管线进展可经创新药占比和产品结构影响盈利质量，但尚未直接披露毛利率或集采影响。</x:v>
      </x:c>
      <x:c r="P13" s="43" t="n">
        <x:v>4</x:v>
      </x:c>
      <x:c r="Q13" s="43" t="str">
        <x:v>无</x:v>
      </x:c>
      <x:c r="R13" s="43" t="str">
        <x:v>B-CODEX-FIN-01</x:v>
      </x:c>
      <x:c r="S13" s="49" t="str">
        <x:v>20260826T150309+08:00</x:v>
      </x:c>
    </x:row>
    <x:row r="14" ht="24" hidden="0" customHeight="1">
      <x:c r="A14" s="41" t="str">
        <x:v>13</x:v>
      </x:c>
      <x:c r="B14" s="41" t="str">
        <x:v>G3-R-E100-H2</x:v>
      </x:c>
      <x:c r="C14" s="41" t="str">
        <x:v>G3-E100</x:v>
      </x:c>
      <x:c r="D14" s="41" t="str">
        <x:v>603986-H2</x:v>
      </x:c>
      <x:c r="E14" s="41" t="str">
        <x:v>兆易创新</x:v>
      </x:c>
      <x:c r="F14" s="42" t="str">
        <x:v>​603986</x:v>
      </x:c>
      <x:c r="G14" s="41" t="str">
        <x:v>芯片半导体</x:v>
      </x:c>
      <x:c r="H14" s="42" t="str">
        <x:v>​2026-05-27T00:00:00+08:00</x:v>
      </x:c>
      <x:c r="I14" s="41" t="str">
        <x:v>毛利率随产品结构改善回升，不因存储价格波动持续走低</x:v>
      </x:c>
      <x:c r="J14" s="41" t="str">
        <x:v>兆易创新关于调整2024年股票期权激励计划相关事项的公告</x:v>
      </x:c>
      <x:c r="K14" s="41" t="str">
        <x:v>http://static.cninfo.com.cn/finalpage/2026-05-27/1225331853.PDF</x:v>
      </x:c>
      <x:c r="L14" s="43" t="str">
        <x:v>0-无关</x:v>
      </x:c>
      <x:c r="M14" s="43" t="str">
        <x:v>否</x:v>
      </x:c>
      <x:c r="N14" s="43" t="str"/>
      <x:c r="O14" s="43" t="str">
        <x:v>候选公告属于治理、证券变动或程序性披露，不回答该查询假设，也不提供有效业务关系证据。</x:v>
      </x:c>
      <x:c r="P14" s="43" t="n">
        <x:v>5</x:v>
      </x:c>
      <x:c r="Q14" s="43" t="str">
        <x:v>无</x:v>
      </x:c>
      <x:c r="R14" s="43" t="str">
        <x:v>B-CODEX-FIN-01</x:v>
      </x:c>
      <x:c r="S14" s="49" t="str">
        <x:v>20260826T150309+08:00</x:v>
      </x:c>
    </x:row>
    <x:row r="15" ht="24" hidden="0" customHeight="1">
      <x:c r="A15" s="41" t="str">
        <x:v>14</x:v>
      </x:c>
      <x:c r="B15" s="41" t="str">
        <x:v>G3-R-E012-H2</x:v>
      </x:c>
      <x:c r="C15" s="41" t="str">
        <x:v>G3-E012</x:v>
      </x:c>
      <x:c r="D15" s="41" t="str">
        <x:v>00175-H2</x:v>
      </x:c>
      <x:c r="E15" s="41" t="str">
        <x:v>吉利汽车</x:v>
      </x:c>
      <x:c r="F15" s="42" t="str">
        <x:v>​00175</x:v>
      </x:c>
      <x:c r="G15" s="41" t="str">
        <x:v>新能源汽车</x:v>
      </x:c>
      <x:c r="H15" s="42" t="str">
        <x:v>​2025-06-01T18:06:28+08:00</x:v>
      </x:c>
      <x:c r="I15" s="41" t="str">
        <x:v>平台化与规模效应改善毛利率，新能源转型不持续拖累盈利</x:v>
      </x:c>
      <x:c r="J15" s="41" t="str">
        <x:v>未经审核之二零二五年五月销量</x:v>
      </x:c>
      <x:c r="K15" s="41" t="str">
        <x:v>http://static.cninfo.com.cn/finalpage/2025-06-01/1223738489.PDF</x:v>
      </x:c>
      <x:c r="L15" s="43" t="str">
        <x:v>2-间接相关</x:v>
      </x:c>
      <x:c r="M15" s="43" t="str">
        <x:v>是</x:v>
      </x:c>
      <x:c r="N15" s="43" t="str">
        <x:v>汽车总销量235,208部，去年同期160,658部，同比增加46%。</x:v>
      </x:c>
      <x:c r="O15" s="43" t="str">
        <x:v>公告与查询假设并非同一直接指标，但可经需求、规模、产品商业化或投入产出的一层因果链建立关系。</x:v>
      </x:c>
      <x:c r="P15" s="43" t="n">
        <x:v>4</x:v>
      </x:c>
      <x:c r="Q15" s="43" t="str">
        <x:v>无</x:v>
      </x:c>
      <x:c r="R15" s="43" t="str">
        <x:v>B-CODEX-FIN-01</x:v>
      </x:c>
      <x:c r="S15" s="49" t="str">
        <x:v>20260826T150309+08:00</x:v>
      </x:c>
    </x:row>
    <x:row r="16" ht="24" hidden="0" customHeight="1">
      <x:c r="A16" s="41" t="str">
        <x:v>15</x:v>
      </x:c>
      <x:c r="B16" s="41" t="str">
        <x:v>G3-R-E009-H3</x:v>
      </x:c>
      <x:c r="C16" s="41" t="str">
        <x:v>G3-E009</x:v>
      </x:c>
      <x:c r="D16" s="41" t="str">
        <x:v>002594-H3</x:v>
      </x:c>
      <x:c r="E16" s="41" t="str">
        <x:v>比亚迪</x:v>
      </x:c>
      <x:c r="F16" s="42" t="str">
        <x:v>​002594</x:v>
      </x:c>
      <x:c r="G16" s="41" t="str">
        <x:v>新能源汽车</x:v>
      </x:c>
      <x:c r="H16" s="42" t="str">
        <x:v>​2024-11-02T00:00:00+08:00</x:v>
      </x:c>
      <x:c r="I16" s="41" t="str">
        <x:v>海外工厂与产能扩张按计划落地，不出现大额投资减值</x:v>
      </x:c>
      <x:c r="J16" s="41" t="str">
        <x:v>2024年10月产销快报</x:v>
      </x:c>
      <x:c r="K16" s="41" t="str">
        <x:v>http://static.cninfo.com.cn/finalpage/2024-11-02/1221604106.PDF</x:v>
      </x:c>
      <x:c r="L16" s="43" t="str">
        <x:v>1-弱相关</x:v>
      </x:c>
      <x:c r="M16" s="43" t="str">
        <x:v>否</x:v>
      </x:c>
      <x:c r="N16" s="43" t="str">
        <x:v>新能源汽车本年累计销量3,250,532辆，去年累计2,381,471辆，累计同比36.49%。</x:v>
      </x:c>
      <x:c r="O16" s="43" t="str">
        <x:v>公告反映需求或盈利表现，但未直接披露产能、研发投入或扩张执行，对查询假设仅有弱主题关联。</x:v>
      </x:c>
      <x:c r="P16" s="43" t="n">
        <x:v>4</x:v>
      </x:c>
      <x:c r="Q16" s="43" t="str">
        <x:v>无</x:v>
      </x:c>
      <x:c r="R16" s="43" t="str">
        <x:v>B-CODEX-FIN-01</x:v>
      </x:c>
      <x:c r="S16" s="49" t="str">
        <x:v>20260826T150309+08:00</x:v>
      </x:c>
    </x:row>
    <x:row r="17" ht="24" hidden="0" customHeight="1">
      <x:c r="A17" s="41" t="str">
        <x:v>16</x:v>
      </x:c>
      <x:c r="B17" s="41" t="str">
        <x:v>G3-R-E052-H1</x:v>
      </x:c>
      <x:c r="C17" s="41" t="str">
        <x:v>G3-E052</x:v>
      </x:c>
      <x:c r="D17" s="41" t="str">
        <x:v>600276-H1</x:v>
      </x:c>
      <x:c r="E17" s="41" t="str">
        <x:v>恒瑞医药</x:v>
      </x:c>
      <x:c r="F17" s="42" t="str">
        <x:v>​600276</x:v>
      </x:c>
      <x:c r="G17" s="41" t="str">
        <x:v>医药</x:v>
      </x:c>
      <x:c r="H17" s="42" t="str">
        <x:v>​2025-03-17T00:00:00+08:00</x:v>
      </x:c>
      <x:c r="I17" s="41" t="str">
        <x:v>创新药放量与授权合作收入接续仿制药集采下滑，研发管线持续推进</x:v>
      </x:c>
      <x:c r="J17" s="41" t="str">
        <x:v>恒瑞医药关于获得药品注册证书的公告</x:v>
      </x:c>
      <x:c r="K17" s="41" t="str">
        <x:v>http://static.cninfo.com.cn/finalpage/2025-03-17/1222816001.PDF</x:v>
      </x:c>
      <x:c r="L17" s="43" t="str">
        <x:v>3-直接相关</x:v>
      </x:c>
      <x:c r="M17" s="43" t="str">
        <x:v>是</x:v>
      </x:c>
      <x:c r="N17" s="43" t="str">
        <x:v>册证书》，批准公司自主研发的 1 类创新药富马酸泰吉利定注射液新增适应症，</x:v>
      </x:c>
      <x:c r="O17" s="43" t="str">
        <x:v>药品受理、临床批准或注册获批直接证明研发管线推进，并对创新药商业化假设提供可观察事实。</x:v>
      </x:c>
      <x:c r="P17" s="43" t="n">
        <x:v>5</x:v>
      </x:c>
      <x:c r="Q17" s="43" t="str">
        <x:v>无</x:v>
      </x:c>
      <x:c r="R17" s="43" t="str">
        <x:v>B-CODEX-FIN-01</x:v>
      </x:c>
      <x:c r="S17" s="49" t="str">
        <x:v>20260826T150309+08:00</x:v>
      </x:c>
    </x:row>
    <x:row r="18" ht="24" hidden="0" customHeight="1">
      <x:c r="A18" s="41" t="str">
        <x:v>17</x:v>
      </x:c>
      <x:c r="B18" s="41" t="str">
        <x:v>G3-R-E052-H2</x:v>
      </x:c>
      <x:c r="C18" s="41" t="str">
        <x:v>G3-E052</x:v>
      </x:c>
      <x:c r="D18" s="41" t="str">
        <x:v>600276-H2</x:v>
      </x:c>
      <x:c r="E18" s="41" t="str">
        <x:v>恒瑞医药</x:v>
      </x:c>
      <x:c r="F18" s="42" t="str">
        <x:v>​600276</x:v>
      </x:c>
      <x:c r="G18" s="41" t="str">
        <x:v>医药</x:v>
      </x:c>
      <x:c r="H18" s="42" t="str">
        <x:v>​2025-03-17T00:00:00+08:00</x:v>
      </x:c>
      <x:c r="I18" s="41" t="str">
        <x:v>创新药占比提升支撑高毛利率，集采降价不导致盈利持续恶化</x:v>
      </x:c>
      <x:c r="J18" s="41" t="str">
        <x:v>恒瑞医药关于获得药品注册证书的公告</x:v>
      </x:c>
      <x:c r="K18" s="41" t="str">
        <x:v>http://static.cninfo.com.cn/finalpage/2025-03-17/1222816001.PDF</x:v>
      </x:c>
      <x:c r="L18" s="43" t="str">
        <x:v>2-间接相关</x:v>
      </x:c>
      <x:c r="M18" s="43" t="str">
        <x:v>是</x:v>
      </x:c>
      <x:c r="N18" s="43" t="str">
        <x:v>册证书》，批准公司自主研发的 1 类创新药富马酸泰吉利定注射液新增适应症，</x:v>
      </x:c>
      <x:c r="O18" s="43" t="str">
        <x:v>管线进展可经创新药占比和产品结构影响盈利质量，但尚未直接披露毛利率或集采影响。</x:v>
      </x:c>
      <x:c r="P18" s="43" t="n">
        <x:v>4</x:v>
      </x:c>
      <x:c r="Q18" s="43" t="str">
        <x:v>无</x:v>
      </x:c>
      <x:c r="R18" s="43" t="str">
        <x:v>B-CODEX-FIN-01</x:v>
      </x:c>
      <x:c r="S18" s="49" t="str">
        <x:v>20260826T150309+08:00</x:v>
      </x:c>
    </x:row>
    <x:row r="19" ht="24" hidden="0" customHeight="1">
      <x:c r="A19" s="41" t="str">
        <x:v>18</x:v>
      </x:c>
      <x:c r="B19" s="41" t="str">
        <x:v>G3-R-E108-H2</x:v>
      </x:c>
      <x:c r="C19" s="41" t="str">
        <x:v>G3-E108</x:v>
      </x:c>
      <x:c r="D19" s="41" t="str">
        <x:v>688981-H2</x:v>
      </x:c>
      <x:c r="E19" s="41" t="str">
        <x:v>中芯国际</x:v>
      </x:c>
      <x:c r="F19" s="42" t="str">
        <x:v>​688981</x:v>
      </x:c>
      <x:c r="G19" s="41" t="str">
        <x:v>芯片半导体</x:v>
      </x:c>
      <x:c r="H19" s="42" t="str">
        <x:v>​2026-02-11T00:00:00+08:00</x:v>
      </x:c>
      <x:c r="I19" s="41" t="str">
        <x:v>毛利率随产能利用率回升，折旧压力不导致盈利持续恶化</x:v>
      </x:c>
      <x:c r="J19" s="41" t="str">
        <x:v>中芯国际2025年第四季度业绩快报公告</x:v>
      </x:c>
      <x:c r="K19" s="41" t="str">
        <x:v>http://static.cninfo.com.cn/finalpage/2026-02-11/1224974869.PDF</x:v>
      </x:c>
      <x:c r="L19" s="43" t="str">
        <x:v>3-直接相关</x:v>
      </x:c>
      <x:c r="M19" s="43" t="str">
        <x:v>是</x:v>
      </x:c>
      <x:c r="N19" s="43" t="str">
        <x:v>2025年毛利率21.0%，同比上升3.0个百分点；年平均产能利用率93.5%，同比提升8个百分点。</x:v>
      </x:c>
      <x:c r="O19" s="43" t="str">
        <x:v>定期报告直接披露查询假设所需的收入、订单、毛利率、研发投入、产能或减值指标，可建立完整关系路径。</x:v>
      </x:c>
      <x:c r="P19" s="43" t="n">
        <x:v>5</x:v>
      </x:c>
      <x:c r="Q19" s="43" t="str">
        <x:v>无</x:v>
      </x:c>
      <x:c r="R19" s="43" t="str">
        <x:v>B-CODEX-FIN-01</x:v>
      </x:c>
      <x:c r="S19" s="49" t="str">
        <x:v>20260826T150309+08:00</x:v>
      </x:c>
    </x:row>
    <x:row r="20" ht="24" hidden="0" customHeight="1">
      <x:c r="A20" s="41" t="str">
        <x:v>19</x:v>
      </x:c>
      <x:c r="B20" s="41" t="str">
        <x:v>G3-R-E060-H2</x:v>
      </x:c>
      <x:c r="C20" s="41" t="str">
        <x:v>G3-E060</x:v>
      </x:c>
      <x:c r="D20" s="41" t="str">
        <x:v>002594-H2</x:v>
      </x:c>
      <x:c r="E20" s="41" t="str">
        <x:v>比亚迪</x:v>
      </x:c>
      <x:c r="F20" s="42" t="str">
        <x:v>​002594</x:v>
      </x:c>
      <x:c r="G20" s="41" t="str">
        <x:v>新能源汽车</x:v>
      </x:c>
      <x:c r="H20" s="42" t="str">
        <x:v>​2024-12-02T00:00:00+08:00</x:v>
      </x:c>
      <x:c r="I20" s="41" t="str">
        <x:v>规模效应与垂直一体化维持毛利率，价格战不导致盈利持续恶化</x:v>
      </x:c>
      <x:c r="J20" s="41" t="str">
        <x:v>2024年11月产销快报</x:v>
      </x:c>
      <x:c r="K20" s="41" t="str">
        <x:v>http://static.cninfo.com.cn/finalpage/2024-12-02/1221902564.PDF</x:v>
      </x:c>
      <x:c r="L20" s="43" t="str">
        <x:v>2-间接相关</x:v>
      </x:c>
      <x:c r="M20" s="43" t="str">
        <x:v>是</x:v>
      </x:c>
      <x:c r="N20" s="43" t="str">
        <x:v>新能源汽车本年累计销量3,757,336辆，去年累计2,683,374辆，累计同比40.02%。</x:v>
      </x:c>
      <x:c r="O20" s="43" t="str">
        <x:v>公告与查询假设并非同一直接指标，但可经需求、规模、产品商业化或投入产出的一层因果链建立关系。</x:v>
      </x:c>
      <x:c r="P20" s="43" t="n">
        <x:v>4</x:v>
      </x:c>
      <x:c r="Q20" s="43" t="str">
        <x:v>无</x:v>
      </x:c>
      <x:c r="R20" s="43" t="str">
        <x:v>B-CODEX-FIN-01</x:v>
      </x:c>
      <x:c r="S20" s="49" t="str">
        <x:v>20260826T150309+08:00</x:v>
      </x:c>
    </x:row>
    <x:row r="21" ht="24" hidden="0" customHeight="1">
      <x:c r="A21" s="41" t="str">
        <x:v>20</x:v>
      </x:c>
      <x:c r="B21" s="41" t="str">
        <x:v>G3-R-E058-H1</x:v>
      </x:c>
      <x:c r="C21" s="41" t="str">
        <x:v>G3-E058</x:v>
      </x:c>
      <x:c r="D21" s="41" t="str">
        <x:v>002371-H1</x:v>
      </x:c>
      <x:c r="E21" s="41" t="str">
        <x:v>北方华创</x:v>
      </x:c>
      <x:c r="F21" s="42" t="str">
        <x:v>​002371</x:v>
      </x:c>
      <x:c r="G21" s="41" t="str">
        <x:v>芯片半导体</x:v>
      </x:c>
      <x:c r="H21" s="42" t="str">
        <x:v>​2025-04-26T00:00:00+08:00</x:v>
      </x:c>
      <x:c r="I21" s="41" t="str">
        <x:v>半导体设备订单随晶圆厂扩产与国产化率提升保持增长</x:v>
      </x:c>
      <x:c r="J21" s="41" t="str">
        <x:v>2025年一季度报告</x:v>
      </x:c>
      <x:c r="K21" s="41" t="str">
        <x:v>http://static.cninfo.com.cn/finalpage/2025-04-26/1223309242.PDF</x:v>
      </x:c>
      <x:c r="L21" s="43" t="str">
        <x:v>3-直接相关</x:v>
      </x:c>
      <x:c r="M21" s="43" t="str">
        <x:v>是</x:v>
      </x:c>
      <x:c r="N21" s="43" t="str">
        <x:v>2025年1-3月营业收入8,206,029,208.83元，同比增长37.90%；归母净利润同比增长38.80%。</x:v>
      </x:c>
      <x:c r="O21" s="43" t="str">
        <x:v>定期报告直接披露查询假设所需的收入、订单、毛利率、研发投入、产能或减值指标，可建立完整关系路径。</x:v>
      </x:c>
      <x:c r="P21" s="43" t="n">
        <x:v>5</x:v>
      </x:c>
      <x:c r="Q21" s="43" t="str">
        <x:v>无</x:v>
      </x:c>
      <x:c r="R21" s="43" t="str">
        <x:v>B-CODEX-FIN-01</x:v>
      </x:c>
      <x:c r="S21" s="49" t="str">
        <x:v>20260826T150309+08:00</x:v>
      </x:c>
    </x:row>
    <x:row r="22" ht="24" hidden="0" customHeight="1">
      <x:c r="A22" s="41" t="str">
        <x:v>21</x:v>
      </x:c>
      <x:c r="B22" s="41" t="str">
        <x:v>G3-R-E017-H1</x:v>
      </x:c>
      <x:c r="C22" s="41" t="str">
        <x:v>G3-E017</x:v>
      </x:c>
      <x:c r="D22" s="41" t="str">
        <x:v>002371-H1</x:v>
      </x:c>
      <x:c r="E22" s="41" t="str">
        <x:v>北方华创</x:v>
      </x:c>
      <x:c r="F22" s="42" t="str">
        <x:v>​002371</x:v>
      </x:c>
      <x:c r="G22" s="41" t="str">
        <x:v>芯片半导体</x:v>
      </x:c>
      <x:c r="H22" s="42" t="str">
        <x:v>​2024-04-30T00:00:00+08:00</x:v>
      </x:c>
      <x:c r="I22" s="41" t="str">
        <x:v>半导体设备订单随晶圆厂扩产与国产化率提升保持增长</x:v>
      </x:c>
      <x:c r="J22" s="41" t="str">
        <x:v>关于公司2024年度日常关联交易预计的公告</x:v>
      </x:c>
      <x:c r="K22" s="41" t="str">
        <x:v>http://static.cninfo.com.cn/finalpage/2024-04-30/1219908871.PDF</x:v>
      </x:c>
      <x:c r="L22" s="43" t="str">
        <x:v>2-间接相关</x:v>
      </x:c>
      <x:c r="M22" s="43" t="str">
        <x:v>是</x:v>
      </x:c>
      <x:c r="N22" s="43" t="str">
        <x:v>租赁、综合服务以及产品销售、采购等有关业务上发生日常关联交易，合计金额</x:v>
      </x:c>
      <x:c r="O22" s="43" t="str">
        <x:v>公告通过一层清晰业务因果链影响查询假设，路径可成立但并非直接指标。</x:v>
      </x:c>
      <x:c r="P22" s="43" t="n">
        <x:v>4</x:v>
      </x:c>
      <x:c r="Q22" s="43" t="str">
        <x:v>无</x:v>
      </x:c>
      <x:c r="R22" s="43" t="str">
        <x:v>B-CODEX-FIN-01</x:v>
      </x:c>
      <x:c r="S22" s="49" t="str">
        <x:v>20260826T150309+08:00</x:v>
      </x:c>
    </x:row>
    <x:row r="23" ht="24" hidden="0" customHeight="1">
      <x:c r="A23" s="41" t="str">
        <x:v>22</x:v>
      </x:c>
      <x:c r="B23" s="41" t="str">
        <x:v>G3-R-E016-H3</x:v>
      </x:c>
      <x:c r="C23" s="41" t="str">
        <x:v>G3-E016</x:v>
      </x:c>
      <x:c r="D23" s="41" t="str">
        <x:v>00175-H3</x:v>
      </x:c>
      <x:c r="E23" s="41" t="str">
        <x:v>吉利汽车</x:v>
      </x:c>
      <x:c r="F23" s="42" t="str">
        <x:v>​00175</x:v>
      </x:c>
      <x:c r="G23" s="41" t="str">
        <x:v>新能源汽车</x:v>
      </x:c>
      <x:c r="H23" s="42" t="str">
        <x:v>​2025-10-01T23:59:59+08:00</x:v>
      </x:c>
      <x:c r="I23" s="41" t="str">
        <x:v>品牌与平台整合按计划推进，不出现大额整合损失</x:v>
      </x:c>
      <x:c r="J23" s="41" t="str">
        <x:v>未经审核之二零二五年九月销量</x:v>
      </x:c>
      <x:c r="K23" s="41" t="str">
        <x:v>http://static.cninfo.com.cn/finalpage/2025-10-01/1224697779.PDF</x:v>
      </x:c>
      <x:c r="L23" s="43" t="str">
        <x:v>1-弱相关</x:v>
      </x:c>
      <x:c r="M23" s="43" t="str">
        <x:v>否</x:v>
      </x:c>
      <x:c r="N23" s="43" t="str">
        <x:v>汽车总销量273,125部，去年同期201,949部，同比增加35%。</x:v>
      </x:c>
      <x:c r="O23" s="43" t="str">
        <x:v>公告反映需求或盈利表现，但未直接披露产能、研发投入或扩张执行，对查询假设仅有弱主题关联。</x:v>
      </x:c>
      <x:c r="P23" s="43" t="n">
        <x:v>4</x:v>
      </x:c>
      <x:c r="Q23" s="43" t="str">
        <x:v>无</x:v>
      </x:c>
      <x:c r="R23" s="43" t="str">
        <x:v>B-CODEX-FIN-01</x:v>
      </x:c>
      <x:c r="S23" s="49" t="str">
        <x:v>20260826T150309+08:00</x:v>
      </x:c>
    </x:row>
    <x:row r="24" ht="24" hidden="0" customHeight="1">
      <x:c r="A24" s="41" t="str">
        <x:v>23</x:v>
      </x:c>
      <x:c r="B24" s="41" t="str">
        <x:v>G3-R-E086-H2</x:v>
      </x:c>
      <x:c r="C24" s="41" t="str">
        <x:v>G3-E086</x:v>
      </x:c>
      <x:c r="D24" s="41" t="str">
        <x:v>600276-H2</x:v>
      </x:c>
      <x:c r="E24" s="41" t="str">
        <x:v>恒瑞医药</x:v>
      </x:c>
      <x:c r="F24" s="42" t="str">
        <x:v>​600276</x:v>
      </x:c>
      <x:c r="G24" s="41" t="str">
        <x:v>医药</x:v>
      </x:c>
      <x:c r="H24" s="42" t="str">
        <x:v>​2026-05-20T00:00:00+08:00</x:v>
      </x:c>
      <x:c r="I24" s="41" t="str">
        <x:v>创新药占比提升支撑高毛利率，集采降价不导致盈利持续恶化</x:v>
      </x:c>
      <x:c r="J24" s="41" t="str">
        <x:v>恒瑞医药关于获得药品注册批准的公告</x:v>
      </x:c>
      <x:c r="K24" s="41" t="str">
        <x:v>http://static.cninfo.com.cn/finalpage/2026-05-20/1225315769.PDF</x:v>
      </x:c>
      <x:c r="L24" s="43" t="str">
        <x:v>2-间接相关</x:v>
      </x:c>
      <x:c r="M24" s="43" t="str">
        <x:v>是</x:v>
      </x:c>
      <x:c r="N24" s="43" t="str">
        <x:v>关于获得药品注册批准的公告</x:v>
      </x:c>
      <x:c r="O24" s="43" t="str">
        <x:v>管线进展可经创新药占比和产品结构影响盈利质量，但尚未直接披露毛利率或集采影响。</x:v>
      </x:c>
      <x:c r="P24" s="43" t="n">
        <x:v>4</x:v>
      </x:c>
      <x:c r="Q24" s="43" t="str">
        <x:v>无</x:v>
      </x:c>
      <x:c r="R24" s="43" t="str">
        <x:v>B-CODEX-FIN-01</x:v>
      </x:c>
      <x:c r="S24" s="49" t="str">
        <x:v>20260826T150309+08:00</x:v>
      </x:c>
    </x:row>
    <x:row r="25" ht="24" hidden="0" customHeight="1">
      <x:c r="A25" s="41" t="str">
        <x:v>24</x:v>
      </x:c>
      <x:c r="B25" s="41" t="str">
        <x:v>G3-R-E044-H2</x:v>
      </x:c>
      <x:c r="C25" s="41" t="str">
        <x:v>G3-E044</x:v>
      </x:c>
      <x:c r="D25" s="41" t="str">
        <x:v>688981-H2</x:v>
      </x:c>
      <x:c r="E25" s="41" t="str">
        <x:v>中芯国际</x:v>
      </x:c>
      <x:c r="F25" s="42" t="str">
        <x:v>​688981</x:v>
      </x:c>
      <x:c r="G25" s="41" t="str">
        <x:v>芯片半导体</x:v>
      </x:c>
      <x:c r="H25" s="42" t="str">
        <x:v>​2025-11-14T00:00:00+08:00</x:v>
      </x:c>
      <x:c r="I25" s="41" t="str">
        <x:v>毛利率随产能利用率回升，折旧压力不导致盈利持续恶化</x:v>
      </x:c>
      <x:c r="J25" s="41" t="str">
        <x:v>中芯国际关于2025年前三季度计提资产减值准备的公告</x:v>
      </x:c>
      <x:c r="K25" s="41" t="str">
        <x:v>http://static.cninfo.com.cn/finalpage/2025-11-14/1224804088.PDF</x:v>
      </x:c>
      <x:c r="L25" s="43" t="str">
        <x:v>3-直接相关</x:v>
      </x:c>
      <x:c r="M25" s="43" t="str">
        <x:v>是</x:v>
      </x:c>
      <x:c r="N25" s="43" t="str">
        <x:v>2025年前三季度计提信用减值及资产减值917,354千元，减少利润总额917,354千元。</x:v>
      </x:c>
      <x:c r="O25" s="43" t="str">
        <x:v>存货及信用减值直接减少利润总额，直接影响盈利质量假设。</x:v>
      </x:c>
      <x:c r="P25" s="43" t="n">
        <x:v>5</x:v>
      </x:c>
      <x:c r="Q25" s="43" t="str">
        <x:v>无</x:v>
      </x:c>
      <x:c r="R25" s="43" t="str">
        <x:v>B-CODEX-FIN-01</x:v>
      </x:c>
      <x:c r="S25" s="49" t="str">
        <x:v>20260826T150309+08:00</x:v>
      </x:c>
    </x:row>
    <x:row r="26" ht="24" hidden="0" customHeight="1">
      <x:c r="A26" s="41" t="str">
        <x:v>25</x:v>
      </x:c>
      <x:c r="B26" s="41" t="str">
        <x:v>G3-R-E004-H1</x:v>
      </x:c>
      <x:c r="C26" s="41" t="str">
        <x:v>G3-E004</x:v>
      </x:c>
      <x:c r="D26" s="41" t="str">
        <x:v>603986-H1</x:v>
      </x:c>
      <x:c r="E26" s="41" t="str">
        <x:v>兆易创新</x:v>
      </x:c>
      <x:c r="F26" s="42" t="str">
        <x:v>​603986</x:v>
      </x:c>
      <x:c r="G26" s="41" t="str">
        <x:v>芯片半导体</x:v>
      </x:c>
      <x:c r="H26" s="42" t="str">
        <x:v>​2026-07-30T00:00:00+08:00</x:v>
      </x:c>
      <x:c r="I26" s="41" t="str">
        <x:v>存储与 MCU 需求随消费电子与工业复苏回升，库存周期见底</x:v>
      </x:c>
      <x:c r="J26" s="41" t="str">
        <x:v>兆易创新股东增持股份计划公告</x:v>
      </x:c>
      <x:c r="K26" s="41" t="str">
        <x:v>http://static.cninfo.com.cn/finalpage/2026-07-30/1225447344.PDF</x:v>
      </x:c>
      <x:c r="L26" s="43" t="str">
        <x:v>0-无关</x:v>
      </x:c>
      <x:c r="M26" s="43" t="str">
        <x:v>否</x:v>
      </x:c>
      <x:c r="N26" s="43" t="str"/>
      <x:c r="O26" s="43" t="str">
        <x:v>候选公告属于治理、证券变动或程序性披露，不回答该查询假设，也不提供有效业务关系证据。</x:v>
      </x:c>
      <x:c r="P26" s="43" t="n">
        <x:v>5</x:v>
      </x:c>
      <x:c r="Q26" s="43" t="str">
        <x:v>无</x:v>
      </x:c>
      <x:c r="R26" s="43" t="str">
        <x:v>B-CODEX-FIN-01</x:v>
      </x:c>
      <x:c r="S26" s="49" t="str">
        <x:v>20260826T150309+08:00</x:v>
      </x:c>
    </x:row>
    <x:row r="27" ht="24" hidden="0" customHeight="1">
      <x:c r="A27" s="41" t="str">
        <x:v>26</x:v>
      </x:c>
      <x:c r="B27" s="41" t="str">
        <x:v>G3-R-E084-H2</x:v>
      </x:c>
      <x:c r="C27" s="41" t="str">
        <x:v>G3-E084</x:v>
      </x:c>
      <x:c r="D27" s="41" t="str">
        <x:v>002371-H2</x:v>
      </x:c>
      <x:c r="E27" s="41" t="str">
        <x:v>北方华创</x:v>
      </x:c>
      <x:c r="F27" s="42" t="str">
        <x:v>​002371</x:v>
      </x:c>
      <x:c r="G27" s="41" t="str">
        <x:v>芯片半导体</x:v>
      </x:c>
      <x:c r="H27" s="42" t="str">
        <x:v>​2024-04-13T00:00:00+08:00</x:v>
      </x:c>
      <x:c r="I27" s="41" t="str">
        <x:v>规模效应与国产化推进支撑毛利率，不因竞争加剧显著下滑</x:v>
      </x:c>
      <x:c r="J27" s="41" t="str">
        <x:v>2023年度业绩快报</x:v>
      </x:c>
      <x:c r="K27" s="41" t="str">
        <x:v>http://static.cninfo.com.cn/finalpage/2024-04-13/1219597439.PDF</x:v>
      </x:c>
      <x:c r="L27" s="43" t="str">
        <x:v>2-间接相关</x:v>
      </x:c>
      <x:c r="M27" s="43" t="str">
        <x:v>是</x:v>
      </x:c>
      <x:c r="N27" s="43" t="str">
        <x:v>2023年营业总收入同比增长50.32%，新增订单显著增加，产品销量同比大幅增加。</x:v>
      </x:c>
      <x:c r="O27" s="43" t="str">
        <x:v>公告与查询假设并非同一直接指标，但可经需求、规模、产品商业化或投入产出的一层因果链建立关系。</x:v>
      </x:c>
      <x:c r="P27" s="43" t="n">
        <x:v>4</x:v>
      </x:c>
      <x:c r="Q27" s="43" t="str">
        <x:v>无</x:v>
      </x:c>
      <x:c r="R27" s="43" t="str">
        <x:v>B-CODEX-FIN-01</x:v>
      </x:c>
      <x:c r="S27" s="49" t="str">
        <x:v>20260826T150309+08:00</x:v>
      </x:c>
    </x:row>
    <x:row r="28" ht="36" hidden="0" customHeight="1">
      <x:c r="A28" s="41" t="str">
        <x:v>27</x:v>
      </x:c>
      <x:c r="B28" s="41" t="str">
        <x:v>G3-R-E055-H3</x:v>
      </x:c>
      <x:c r="C28" s="41" t="str">
        <x:v>G3-E055</x:v>
      </x:c>
      <x:c r="D28" s="41" t="str">
        <x:v>09868-H3</x:v>
      </x:c>
      <x:c r="E28" s="41" t="str">
        <x:v>小鹏汽车</x:v>
      </x:c>
      <x:c r="F28" s="42" t="str">
        <x:v>​09868</x:v>
      </x:c>
      <x:c r="G28" s="41" t="str">
        <x:v>新能源汽车</x:v>
      </x:c>
      <x:c r="H28" s="42" t="str">
        <x:v>​2024-08-13T20:06:10+08:00</x:v>
      </x:c>
      <x:c r="I28" s="41" t="str">
        <x:v>研发与产能投入可持续，现金流不出现明显恶化</x:v>
      </x:c>
      <x:c r="J28" s="41" t="str">
        <x:v>自愿公告 – 收购滴滴智能汽车开发业务资产的SOP交割及发行SOP对价股份</x:v>
      </x:c>
      <x:c r="K28" s="41" t="str">
        <x:v>http://static.cninfo.com.cn/finalpage/2024-08-13/1220863060.PDF</x:v>
      </x:c>
      <x:c r="L28" s="43" t="str">
        <x:v>3-直接相关</x:v>
      </x:c>
      <x:c r="M28" s="43" t="str">
        <x:v>是</x:v>
      </x:c>
      <x:c r="N28" s="43" t="str">
        <x:v>收购滴滴智能汽车开发业务资产的SOP交割已完成，并发行SOP对价股份。</x:v>
      </x:c>
      <x:c r="O28" s="43" t="str">
        <x:v>公告事实直接对应查询假设中的核心业务变量，时间边界内可建立可复核关系路径。</x:v>
      </x:c>
      <x:c r="P28" s="43" t="n">
        <x:v>5</x:v>
      </x:c>
      <x:c r="Q28" s="43" t="str">
        <x:v>无</x:v>
      </x:c>
      <x:c r="R28" s="43" t="str">
        <x:v>B-CODEX-FIN-01</x:v>
      </x:c>
      <x:c r="S28" s="49" t="str">
        <x:v>20260826T150309+08:00</x:v>
      </x:c>
    </x:row>
    <x:row r="29" ht="24" hidden="0" customHeight="1">
      <x:c r="A29" s="41" t="str">
        <x:v>28</x:v>
      </x:c>
      <x:c r="B29" s="41" t="str">
        <x:v>G3-R-E034-H3</x:v>
      </x:c>
      <x:c r="C29" s="41" t="str">
        <x:v>G3-E034</x:v>
      </x:c>
      <x:c r="D29" s="41" t="str">
        <x:v>603986-H3</x:v>
      </x:c>
      <x:c r="E29" s="41" t="str">
        <x:v>兆易创新</x:v>
      </x:c>
      <x:c r="F29" s="42" t="str">
        <x:v>​603986</x:v>
      </x:c>
      <x:c r="G29" s="41" t="str">
        <x:v>芯片半导体</x:v>
      </x:c>
      <x:c r="H29" s="42" t="str">
        <x:v>​2024-08-21T00:00:00+08:00</x:v>
      </x:c>
      <x:c r="I29" s="41" t="str">
        <x:v>新品研发与产能储备按计划推进，不出现存货大额跌价</x:v>
      </x:c>
      <x:c r="J29" s="41" t="str">
        <x:v>兆易创新2024年半年度募集资金存放与实际使用情况专项报告</x:v>
      </x:c>
      <x:c r="K29" s="41" t="str">
        <x:v>http://static.cninfo.com.cn/finalpage/2024-08-21/1220923954.PDF</x:v>
      </x:c>
      <x:c r="L29" s="43" t="str">
        <x:v>3-直接相关</x:v>
      </x:c>
      <x:c r="M29" s="43" t="str">
        <x:v>是</x:v>
      </x:c>
      <x:c r="N29" s="43" t="str">
        <x:v>截至2024年6月30日，募集资金累计投入150,135.03万元，用于DRAM等募投项目。</x:v>
      </x:c>
      <x:c r="O29" s="43" t="str">
        <x:v>公告事实直接对应查询假设中的核心业务变量，时间边界内可建立可复核关系路径。</x:v>
      </x:c>
      <x:c r="P29" s="43" t="n">
        <x:v>5</x:v>
      </x:c>
      <x:c r="Q29" s="43" t="str">
        <x:v>无</x:v>
      </x:c>
      <x:c r="R29" s="43" t="str">
        <x:v>B-CODEX-FIN-01</x:v>
      </x:c>
      <x:c r="S29" s="49" t="str">
        <x:v>20260826T150309+08:00</x:v>
      </x:c>
    </x:row>
    <x:row r="30" ht="24" hidden="0" customHeight="1">
      <x:c r="A30" s="41" t="str">
        <x:v>29</x:v>
      </x:c>
      <x:c r="B30" s="41" t="str">
        <x:v>G3-R-E034-H2</x:v>
      </x:c>
      <x:c r="C30" s="41" t="str">
        <x:v>G3-E034</x:v>
      </x:c>
      <x:c r="D30" s="41" t="str">
        <x:v>603986-H2</x:v>
      </x:c>
      <x:c r="E30" s="41" t="str">
        <x:v>兆易创新</x:v>
      </x:c>
      <x:c r="F30" s="42" t="str">
        <x:v>​603986</x:v>
      </x:c>
      <x:c r="G30" s="41" t="str">
        <x:v>芯片半导体</x:v>
      </x:c>
      <x:c r="H30" s="42" t="str">
        <x:v>​2024-08-21T00:00:00+08:00</x:v>
      </x:c>
      <x:c r="I30" s="41" t="str">
        <x:v>毛利率随产品结构改善回升，不因存储价格波动持续走低</x:v>
      </x:c>
      <x:c r="J30" s="41" t="str">
        <x:v>兆易创新2024年半年度募集资金存放与实际使用情况专项报告</x:v>
      </x:c>
      <x:c r="K30" s="41" t="str">
        <x:v>http://static.cninfo.com.cn/finalpage/2024-08-21/1220923954.PDF</x:v>
      </x:c>
      <x:c r="L30" s="43" t="str">
        <x:v>2-间接相关</x:v>
      </x:c>
      <x:c r="M30" s="43" t="str">
        <x:v>是</x:v>
      </x:c>
      <x:c r="N30" s="43" t="str">
        <x:v>截至2024年6月30日，募集资金累计投入150,135.03万元，用于DRAM等募投项目。</x:v>
      </x:c>
      <x:c r="O30" s="43" t="str">
        <x:v>公告与查询假设并非同一直接指标，但可经需求、规模、产品商业化或投入产出的一层因果链建立关系。</x:v>
      </x:c>
      <x:c r="P30" s="43" t="n">
        <x:v>4</x:v>
      </x:c>
      <x:c r="Q30" s="43" t="str">
        <x:v>无</x:v>
      </x:c>
      <x:c r="R30" s="43" t="str">
        <x:v>B-CODEX-FIN-01</x:v>
      </x:c>
      <x:c r="S30" s="49" t="str">
        <x:v>20260826T150309+08:00</x:v>
      </x:c>
    </x:row>
    <x:row r="31" ht="24" hidden="0" customHeight="1">
      <x:c r="A31" s="41" t="str">
        <x:v>30</x:v>
      </x:c>
      <x:c r="B31" s="41" t="str">
        <x:v>G3-R-E048-H1</x:v>
      </x:c>
      <x:c r="C31" s="41" t="str">
        <x:v>G3-E048</x:v>
      </x:c>
      <x:c r="D31" s="41" t="str">
        <x:v>00175-H1</x:v>
      </x:c>
      <x:c r="E31" s="41" t="str">
        <x:v>吉利汽车</x:v>
      </x:c>
      <x:c r="F31" s="42" t="str">
        <x:v>​00175</x:v>
      </x:c>
      <x:c r="G31" s="41" t="str">
        <x:v>新能源汽车</x:v>
      </x:c>
      <x:c r="H31" s="42" t="str">
        <x:v>​2025-11-27T16:36:09+08:00</x:v>
      </x:c>
      <x:c r="I31" s="41" t="str">
        <x:v>新能源车型销量放量带动整体销量增长，出口贡献增量</x:v>
      </x:c>
      <x:c r="J31" s="41" t="str">
        <x:v>持续关连交易</x:v>
      </x:c>
      <x:c r="K31" s="41" t="str">
        <x:v>http://static.cninfo.com.cn/finalpage/2025-11-27/1224830298.PDF</x:v>
      </x:c>
      <x:c r="L31" s="43" t="str">
        <x:v>2-间接相关</x:v>
      </x:c>
      <x:c r="M31" s="43" t="str">
        <x:v>是</x:v>
      </x:c>
      <x:c r="N31" s="43" t="str">
        <x:v>公司订立整车及整车成套件合作制造采购协议，并约定研发服务及技术支持安排。</x:v>
      </x:c>
      <x:c r="O31" s="43" t="str">
        <x:v>公告与查询假设并非同一直接指标，但可经需求、规模、产品商业化或投入产出的一层因果链建立关系。</x:v>
      </x:c>
      <x:c r="P31" s="43" t="n">
        <x:v>4</x:v>
      </x:c>
      <x:c r="Q31" s="43" t="str">
        <x:v>无</x:v>
      </x:c>
      <x:c r="R31" s="43" t="str">
        <x:v>B-CODEX-FIN-01</x:v>
      </x:c>
      <x:c r="S31" s="49" t="str">
        <x:v>20260826T150309+08:00</x:v>
      </x:c>
    </x:row>
    <x:row r="32" ht="48" hidden="0" customHeight="1">
      <x:c r="A32" s="41" t="str">
        <x:v>31</x:v>
      </x:c>
      <x:c r="B32" s="41" t="str">
        <x:v>G3-R-E010-H2</x:v>
      </x:c>
      <x:c r="C32" s="41" t="str">
        <x:v>G3-E010</x:v>
      </x:c>
      <x:c r="D32" s="41" t="str">
        <x:v>603986-H2</x:v>
      </x:c>
      <x:c r="E32" s="41" t="str">
        <x:v>兆易创新</x:v>
      </x:c>
      <x:c r="F32" s="42" t="str">
        <x:v>​603986</x:v>
      </x:c>
      <x:c r="G32" s="41" t="str">
        <x:v>芯片半导体</x:v>
      </x:c>
      <x:c r="H32" s="42" t="str">
        <x:v>​2026-01-23T00:00:00+08:00</x:v>
      </x:c>
      <x:c r="I32" s="41" t="str">
        <x:v>毛利率随产品结构改善回升，不因存储价格波动持续走低</x:v>
      </x:c>
      <x:c r="J32" s="41" t="str">
        <x:v>中国国际金融股份有限公司关于兆易创新科技集团股份有限公司使用A股部分募集资金向全资子公司及全资孙公司增资以实施DRAM募投项目的核查意见</x:v>
      </x:c>
      <x:c r="K32" s="41" t="str">
        <x:v>http://static.cninfo.com.cn/finalpage/2026-01-23/1224946581.PDF</x:v>
      </x:c>
      <x:c r="L32" s="43" t="str">
        <x:v>2-间接相关</x:v>
      </x:c>
      <x:c r="M32" s="43" t="str">
        <x:v>是</x:v>
      </x:c>
      <x:c r="N32" s="43" t="str">
        <x:v>DRAM募投项目的建设需要，未改变募集资金的投资方向和项目建设内容，不会对项目</x:v>
      </x:c>
      <x:c r="O32" s="43" t="str">
        <x:v>公告与查询假设并非同一直接指标，但可经需求、规模、产品商业化或投入产出的一层因果链建立关系。</x:v>
      </x:c>
      <x:c r="P32" s="43" t="n">
        <x:v>4</x:v>
      </x:c>
      <x:c r="Q32" s="43" t="str">
        <x:v>无</x:v>
      </x:c>
      <x:c r="R32" s="43" t="str">
        <x:v>B-CODEX-FIN-01</x:v>
      </x:c>
      <x:c r="S32" s="49" t="str">
        <x:v>20260826T150309+08:00</x:v>
      </x:c>
    </x:row>
    <x:row r="33" ht="24" hidden="0" customHeight="1">
      <x:c r="A33" s="41" t="str">
        <x:v>32</x:v>
      </x:c>
      <x:c r="B33" s="41" t="str">
        <x:v>G3-R-E012-H1</x:v>
      </x:c>
      <x:c r="C33" s="41" t="str">
        <x:v>G3-E012</x:v>
      </x:c>
      <x:c r="D33" s="41" t="str">
        <x:v>00175-H1</x:v>
      </x:c>
      <x:c r="E33" s="41" t="str">
        <x:v>吉利汽车</x:v>
      </x:c>
      <x:c r="F33" s="42" t="str">
        <x:v>​00175</x:v>
      </x:c>
      <x:c r="G33" s="41" t="str">
        <x:v>新能源汽车</x:v>
      </x:c>
      <x:c r="H33" s="42" t="str">
        <x:v>​2025-06-01T18:06:28+08:00</x:v>
      </x:c>
      <x:c r="I33" s="41" t="str">
        <x:v>新能源车型销量放量带动整体销量增长，出口贡献增量</x:v>
      </x:c>
      <x:c r="J33" s="41" t="str">
        <x:v>未经审核之二零二五年五月销量</x:v>
      </x:c>
      <x:c r="K33" s="41" t="str">
        <x:v>http://static.cninfo.com.cn/finalpage/2025-06-01/1223738489.PDF</x:v>
      </x:c>
      <x:c r="L33" s="43" t="str">
        <x:v>3-直接相关</x:v>
      </x:c>
      <x:c r="M33" s="43" t="str">
        <x:v>是</x:v>
      </x:c>
      <x:c r="N33" s="43" t="str">
        <x:v>汽车总销量235,208部，去年同期160,658部，同比增加46%。</x:v>
      </x:c>
      <x:c r="O33" s="43" t="str">
        <x:v>公告事实直接对应查询假设中的核心业务变量，时间边界内可建立可复核关系路径。</x:v>
      </x:c>
      <x:c r="P33" s="43" t="n">
        <x:v>5</x:v>
      </x:c>
      <x:c r="Q33" s="43" t="str">
        <x:v>无</x:v>
      </x:c>
      <x:c r="R33" s="43" t="str">
        <x:v>B-CODEX-FIN-01</x:v>
      </x:c>
      <x:c r="S33" s="49" t="str">
        <x:v>20260826T150309+08:00</x:v>
      </x:c>
    </x:row>
    <x:row r="34" ht="24" hidden="0" customHeight="1">
      <x:c r="A34" s="41" t="str">
        <x:v>33</x:v>
      </x:c>
      <x:c r="B34" s="41" t="str">
        <x:v>G3-R-E109-H3</x:v>
      </x:c>
      <x:c r="C34" s="41" t="str">
        <x:v>G3-E109</x:v>
      </x:c>
      <x:c r="D34" s="41" t="str">
        <x:v>09868-H3</x:v>
      </x:c>
      <x:c r="E34" s="41" t="str">
        <x:v>小鹏汽车</x:v>
      </x:c>
      <x:c r="F34" s="42" t="str">
        <x:v>​09868</x:v>
      </x:c>
      <x:c r="G34" s="41" t="str">
        <x:v>新能源汽车</x:v>
      </x:c>
      <x:c r="H34" s="42" t="str">
        <x:v>​2024-10-02T23:59:59+08:00</x:v>
      </x:c>
      <x:c r="I34" s="41" t="str">
        <x:v>研发与产能投入可持续，现金流不出现明显恶化</x:v>
      </x:c>
      <x:c r="J34" s="41" t="str">
        <x:v>自愿公告 2024年9月及第三季度智能车交付数据</x:v>
      </x:c>
      <x:c r="K34" s="41" t="str">
        <x:v>http://static.cninfo.com.cn/finalpage/2024-10-02/1221335028.PDF</x:v>
      </x:c>
      <x:c r="L34" s="43" t="str">
        <x:v>1-弱相关</x:v>
      </x:c>
      <x:c r="M34" s="43" t="str">
        <x:v>否</x:v>
      </x:c>
      <x:c r="N34" s="43" t="str">
        <x:v>2024年9月，小鹏汽车共交付智能电动汽车21,352辆，同比增长39%，环比增长52%。</x:v>
      </x:c>
      <x:c r="O34" s="43" t="str">
        <x:v>公告反映需求或盈利表现，但未直接披露产能、研发投入或扩张执行，对查询假设仅有弱主题关联。</x:v>
      </x:c>
      <x:c r="P34" s="43" t="n">
        <x:v>4</x:v>
      </x:c>
      <x:c r="Q34" s="43" t="str">
        <x:v>无</x:v>
      </x:c>
      <x:c r="R34" s="43" t="str">
        <x:v>B-CODEX-FIN-01</x:v>
      </x:c>
      <x:c r="S34" s="49" t="str">
        <x:v>20260826T150309+08:00</x:v>
      </x:c>
    </x:row>
    <x:row r="35" ht="36" hidden="0" customHeight="1">
      <x:c r="A35" s="41" t="str">
        <x:v>34</x:v>
      </x:c>
      <x:c r="B35" s="41" t="str">
        <x:v>G3-R-E120-H2</x:v>
      </x:c>
      <x:c r="C35" s="41" t="str">
        <x:v>G3-E120</x:v>
      </x:c>
      <x:c r="D35" s="41" t="str">
        <x:v>09868-H2</x:v>
      </x:c>
      <x:c r="E35" s="41" t="str">
        <x:v>小鹏汽车</x:v>
      </x:c>
      <x:c r="F35" s="42" t="str">
        <x:v>​09868</x:v>
      </x:c>
      <x:c r="G35" s="41" t="str">
        <x:v>新能源汽车</x:v>
      </x:c>
      <x:c r="H35" s="42" t="str">
        <x:v>​2024-04-17T17:18:27+08:00</x:v>
      </x:c>
      <x:c r="I35" s="41" t="str">
        <x:v>毛利率随规模与技术服务收入改善，不回落到历史低位</x:v>
      </x:c>
      <x:c r="J35" s="41" t="str">
        <x:v>自愿公告 与大众汽车集团签订电子电气架构技术战略合作框架协议</x:v>
      </x:c>
      <x:c r="K35" s="41" t="str">
        <x:v>http://static.cninfo.com.cn/finalpage/2024-04-17/1219647424.PDF</x:v>
      </x:c>
      <x:c r="L35" s="43" t="str">
        <x:v>2-间接相关</x:v>
      </x:c>
      <x:c r="M35" s="43" t="str">
        <x:v>是</x:v>
      </x:c>
      <x:c r="N35" s="43" t="str">
        <x:v>公司与大众汽车集团签署扩展电子电气架构战略技术合作联合开发协议。</x:v>
      </x:c>
      <x:c r="O35" s="43" t="str">
        <x:v>公告与查询假设并非同一直接指标，但可经需求、规模、产品商业化或投入产出的一层因果链建立关系。</x:v>
      </x:c>
      <x:c r="P35" s="43" t="n">
        <x:v>4</x:v>
      </x:c>
      <x:c r="Q35" s="43" t="str">
        <x:v>无</x:v>
      </x:c>
      <x:c r="R35" s="43" t="str">
        <x:v>B-CODEX-FIN-01</x:v>
      </x:c>
      <x:c r="S35" s="49" t="str">
        <x:v>20260826T150309+08:00</x:v>
      </x:c>
    </x:row>
    <x:row r="36" ht="24" hidden="0" customHeight="1">
      <x:c r="A36" s="41" t="str">
        <x:v>35</x:v>
      </x:c>
      <x:c r="B36" s="41" t="str">
        <x:v>G3-R-E110-H1</x:v>
      </x:c>
      <x:c r="C36" s="41" t="str">
        <x:v>G3-E110</x:v>
      </x:c>
      <x:c r="D36" s="41" t="str">
        <x:v>688981-H1</x:v>
      </x:c>
      <x:c r="E36" s="41" t="str">
        <x:v>中芯国际</x:v>
      </x:c>
      <x:c r="F36" s="42" t="str">
        <x:v>​688981</x:v>
      </x:c>
      <x:c r="G36" s="41" t="str">
        <x:v>芯片半导体</x:v>
      </x:c>
      <x:c r="H36" s="42" t="str">
        <x:v>​2025-12-30T00:00:00+08:00</x:v>
      </x:c>
      <x:c r="I36" s="41" t="str">
        <x:v>成熟制程产能利用率与晶圆出货保持增长，国产替代需求是主要驱动</x:v>
      </x:c>
      <x:c r="J36" s="41" t="str">
        <x:v>独立董事关于发行股份购买资产暨关联交易相关事项的的独立意见</x:v>
      </x:c>
      <x:c r="K36" s="41" t="str">
        <x:v>http://static.cninfo.com.cn/finalpage/2025-12-30/1224907027.PDF</x:v>
      </x:c>
      <x:c r="L36" s="43" t="str">
        <x:v>1-弱相关</x:v>
      </x:c>
      <x:c r="M36" s="43" t="str">
        <x:v>是</x:v>
      </x:c>
      <x:c r="N36" s="43" t="str">
        <x:v>发行股份购买资产并募集配套资金的申请收到审核中心第二轮问询。</x:v>
      </x:c>
      <x:c r="O36" s="43" t="str">
        <x:v>公告与查询假设并非同一直接指标，但可经需求、规模、产品商业化或投入产出的一层因果链建立关系。</x:v>
      </x:c>
      <x:c r="P36" s="43" t="n">
        <x:v>4</x:v>
      </x:c>
      <x:c r="Q36" s="43" t="str">
        <x:v>无</x:v>
      </x:c>
      <x:c r="R36" s="43" t="str">
        <x:v>B-CODEX-FIN-01</x:v>
      </x:c>
      <x:c r="S36" s="49" t="str">
        <x:v>20260826T150309+08:00</x:v>
      </x:c>
    </x:row>
    <x:row r="37" ht="24" hidden="0" customHeight="1">
      <x:c r="A37" s="41" t="str">
        <x:v>36</x:v>
      </x:c>
      <x:c r="B37" s="41" t="str">
        <x:v>G3-R-E098-H2</x:v>
      </x:c>
      <x:c r="C37" s="41" t="str">
        <x:v>G3-E098</x:v>
      </x:c>
      <x:c r="D37" s="41" t="str">
        <x:v>00175-H2</x:v>
      </x:c>
      <x:c r="E37" s="41" t="str">
        <x:v>吉利汽车</x:v>
      </x:c>
      <x:c r="F37" s="42" t="str">
        <x:v>​00175</x:v>
      </x:c>
      <x:c r="G37" s="41" t="str">
        <x:v>新能源汽车</x:v>
      </x:c>
      <x:c r="H37" s="42" t="str">
        <x:v>​2024-02-01T17:06:22+08:00</x:v>
      </x:c>
      <x:c r="I37" s="41" t="str">
        <x:v>平台化与规模效应改善毛利率，新能源转型不持续拖累盈利</x:v>
      </x:c>
      <x:c r="J37" s="41" t="str">
        <x:v>未经审核之二零二四年一月销量</x:v>
      </x:c>
      <x:c r="K37" s="41" t="str">
        <x:v>http://static.cninfo.com.cn/finalpage/2024-02-01/1219065223.PDF</x:v>
      </x:c>
      <x:c r="L37" s="43" t="str">
        <x:v>2-间接相关</x:v>
      </x:c>
      <x:c r="M37" s="43" t="str">
        <x:v>是</x:v>
      </x:c>
      <x:c r="N37" s="43" t="str">
        <x:v>本集团于二零二四年一月之总销量为213,487部汽车，较去年同期增长约110%。</x:v>
      </x:c>
      <x:c r="O37" s="43" t="str">
        <x:v>公告与查询假设并非同一直接指标，但可经需求、规模、产品商业化或投入产出的一层因果链建立关系。</x:v>
      </x:c>
      <x:c r="P37" s="43" t="n">
        <x:v>4</x:v>
      </x:c>
      <x:c r="Q37" s="43" t="str">
        <x:v>无</x:v>
      </x:c>
      <x:c r="R37" s="43" t="str">
        <x:v>B-CODEX-FIN-01</x:v>
      </x:c>
      <x:c r="S37" s="49" t="str">
        <x:v>20260826T150309+08:00</x:v>
      </x:c>
    </x:row>
    <x:row r="38" ht="24" hidden="0" customHeight="1">
      <x:c r="A38" s="41" t="str">
        <x:v>37</x:v>
      </x:c>
      <x:c r="B38" s="41" t="str">
        <x:v>G3-R-E101-H3</x:v>
      </x:c>
      <x:c r="C38" s="41" t="str">
        <x:v>G3-E101</x:v>
      </x:c>
      <x:c r="D38" s="41" t="str">
        <x:v>00175-H3</x:v>
      </x:c>
      <x:c r="E38" s="41" t="str">
        <x:v>吉利汽车</x:v>
      </x:c>
      <x:c r="F38" s="42" t="str">
        <x:v>​00175</x:v>
      </x:c>
      <x:c r="G38" s="41" t="str">
        <x:v>新能源汽车</x:v>
      </x:c>
      <x:c r="H38" s="42" t="str">
        <x:v>​2026-02-01T21:20:12+08:00</x:v>
      </x:c>
      <x:c r="I38" s="41" t="str">
        <x:v>品牌与平台整合按计划推进，不出现大额整合损失</x:v>
      </x:c>
      <x:c r="J38" s="41" t="str">
        <x:v>未经审核之二零二六年一月销量</x:v>
      </x:c>
      <x:c r="K38" s="41" t="str">
        <x:v>http://static.cninfo.com.cn/finalpage/2026-02-01/1224961027.PDF</x:v>
      </x:c>
      <x:c r="L38" s="43" t="str">
        <x:v>1-弱相关</x:v>
      </x:c>
      <x:c r="M38" s="43" t="str">
        <x:v>否</x:v>
      </x:c>
      <x:c r="N38" s="43" t="str">
        <x:v>本集团于二零二六年一月的汽车总销量为270,167部，较去年同期增长约1%。</x:v>
      </x:c>
      <x:c r="O38" s="43" t="str">
        <x:v>公告反映需求或盈利表现，但未直接披露产能、研发投入或扩张执行，对查询假设仅有弱主题关联。</x:v>
      </x:c>
      <x:c r="P38" s="43" t="n">
        <x:v>4</x:v>
      </x:c>
      <x:c r="Q38" s="43" t="str">
        <x:v>无</x:v>
      </x:c>
      <x:c r="R38" s="43" t="str">
        <x:v>B-CODEX-FIN-01</x:v>
      </x:c>
      <x:c r="S38" s="49" t="str">
        <x:v>20260826T150309+08:00</x:v>
      </x:c>
    </x:row>
    <x:row r="39" ht="24" hidden="0" customHeight="1">
      <x:c r="A39" s="41" t="str">
        <x:v>38</x:v>
      </x:c>
      <x:c r="B39" s="41" t="str">
        <x:v>G3-R-E016-H2</x:v>
      </x:c>
      <x:c r="C39" s="41" t="str">
        <x:v>G3-E016</x:v>
      </x:c>
      <x:c r="D39" s="41" t="str">
        <x:v>00175-H2</x:v>
      </x:c>
      <x:c r="E39" s="41" t="str">
        <x:v>吉利汽车</x:v>
      </x:c>
      <x:c r="F39" s="42" t="str">
        <x:v>​00175</x:v>
      </x:c>
      <x:c r="G39" s="41" t="str">
        <x:v>新能源汽车</x:v>
      </x:c>
      <x:c r="H39" s="42" t="str">
        <x:v>​2025-10-01T23:59:59+08:00</x:v>
      </x:c>
      <x:c r="I39" s="41" t="str">
        <x:v>平台化与规模效应改善毛利率，新能源转型不持续拖累盈利</x:v>
      </x:c>
      <x:c r="J39" s="41" t="str">
        <x:v>未经审核之二零二五年九月销量</x:v>
      </x:c>
      <x:c r="K39" s="41" t="str">
        <x:v>http://static.cninfo.com.cn/finalpage/2025-10-01/1224697779.PDF</x:v>
      </x:c>
      <x:c r="L39" s="43" t="str">
        <x:v>2-间接相关</x:v>
      </x:c>
      <x:c r="M39" s="43" t="str">
        <x:v>是</x:v>
      </x:c>
      <x:c r="N39" s="43" t="str">
        <x:v>汽车总销量273,125部，去年同期201,949部，同比增加35%。</x:v>
      </x:c>
      <x:c r="O39" s="43" t="str">
        <x:v>公告与查询假设并非同一直接指标，但可经需求、规模、产品商业化或投入产出的一层因果链建立关系。</x:v>
      </x:c>
      <x:c r="P39" s="43" t="n">
        <x:v>4</x:v>
      </x:c>
      <x:c r="Q39" s="43" t="str">
        <x:v>无</x:v>
      </x:c>
      <x:c r="R39" s="43" t="str">
        <x:v>B-CODEX-FIN-01</x:v>
      </x:c>
      <x:c r="S39" s="49" t="str">
        <x:v>20260826T150309+08:00</x:v>
      </x:c>
    </x:row>
    <x:row r="40" ht="24" hidden="0" customHeight="1">
      <x:c r="A40" s="41" t="str">
        <x:v>39</x:v>
      </x:c>
      <x:c r="B40" s="41" t="str">
        <x:v>G3-R-E015-H1</x:v>
      </x:c>
      <x:c r="C40" s="41" t="str">
        <x:v>G3-E015</x:v>
      </x:c>
      <x:c r="D40" s="41" t="str">
        <x:v>600276-H1</x:v>
      </x:c>
      <x:c r="E40" s="41" t="str">
        <x:v>恒瑞医药</x:v>
      </x:c>
      <x:c r="F40" s="42" t="str">
        <x:v>​600276</x:v>
      </x:c>
      <x:c r="G40" s="41" t="str">
        <x:v>医药</x:v>
      </x:c>
      <x:c r="H40" s="42" t="str">
        <x:v>​2025-01-10T00:00:00+08:00</x:v>
      </x:c>
      <x:c r="I40" s="41" t="str">
        <x:v>创新药放量与授权合作收入接续仿制药集采下滑，研发管线持续推进</x:v>
      </x:c>
      <x:c r="J40" s="41" t="str">
        <x:v>恒瑞医药关于药品上市许可申请获受理的提示性公告</x:v>
      </x:c>
      <x:c r="K40" s="41" t="str">
        <x:v>http://static.cninfo.com.cn/finalpage/2025-01-10/1222283951.PDF</x:v>
      </x:c>
      <x:c r="L40" s="43" t="str">
        <x:v>3-直接相关</x:v>
      </x:c>
      <x:c r="M40" s="43" t="str">
        <x:v>是</x:v>
      </x:c>
      <x:c r="N40" s="43" t="str">
        <x:v>关于药品上市许可申请获受理的提示性公告</x:v>
      </x:c>
      <x:c r="O40" s="43" t="str">
        <x:v>药品受理、临床批准或注册获批直接证明研发管线推进，并对创新药商业化假设提供可观察事实。</x:v>
      </x:c>
      <x:c r="P40" s="43" t="n">
        <x:v>5</x:v>
      </x:c>
      <x:c r="Q40" s="43" t="str">
        <x:v>无</x:v>
      </x:c>
      <x:c r="R40" s="43" t="str">
        <x:v>B-CODEX-FIN-01</x:v>
      </x:c>
      <x:c r="S40" s="49" t="str">
        <x:v>20260826T150309+08:00</x:v>
      </x:c>
    </x:row>
    <x:row r="41" ht="24" hidden="0" customHeight="1">
      <x:c r="A41" s="41" t="str">
        <x:v>40</x:v>
      </x:c>
      <x:c r="B41" s="41" t="str">
        <x:v>G3-R-E051-H2</x:v>
      </x:c>
      <x:c r="C41" s="41" t="str">
        <x:v>G3-E051</x:v>
      </x:c>
      <x:c r="D41" s="41" t="str">
        <x:v>688981-H2</x:v>
      </x:c>
      <x:c r="E41" s="41" t="str">
        <x:v>中芯国际</x:v>
      </x:c>
      <x:c r="F41" s="42" t="str">
        <x:v>​688981</x:v>
      </x:c>
      <x:c r="G41" s="41" t="str">
        <x:v>芯片半导体</x:v>
      </x:c>
      <x:c r="H41" s="42" t="str">
        <x:v>​2026-05-13T00:00:00+08:00</x:v>
      </x:c>
      <x:c r="I41" s="41" t="str">
        <x:v>毛利率随产能利用率回升，折旧压力不导致盈利持续恶化</x:v>
      </x:c>
      <x:c r="J41" s="41" t="str">
        <x:v>中芯国际集成电路制造有限公司关于发行股份购买资产暨关联交易报告书修订说明的公告</x:v>
      </x:c>
      <x:c r="K41" s="41" t="str">
        <x:v>http://static.cninfo.com.cn/finalpage/2026-05-13/1225300706.PDF</x:v>
      </x:c>
      <x:c r="L41" s="43" t="str">
        <x:v>0-无关</x:v>
      </x:c>
      <x:c r="M41" s="43" t="str">
        <x:v>否</x:v>
      </x:c>
      <x:c r="N41" s="43" t="str"/>
      <x:c r="O41" s="43" t="str">
        <x:v>候选公告属于治理、证券变动或程序性披露，不回答该查询假设，也不提供有效业务关系证据。</x:v>
      </x:c>
      <x:c r="P41" s="43" t="n">
        <x:v>5</x:v>
      </x:c>
      <x:c r="Q41" s="43" t="str">
        <x:v>无</x:v>
      </x:c>
      <x:c r="R41" s="43" t="str">
        <x:v>B-CODEX-FIN-01</x:v>
      </x:c>
      <x:c r="S41" s="49" t="str">
        <x:v>20260826T150309+08:00</x:v>
      </x:c>
    </x:row>
    <x:row r="42" ht="24" hidden="0" customHeight="1">
      <x:c r="A42" s="41" t="str">
        <x:v>41</x:v>
      </x:c>
      <x:c r="B42" s="41" t="str">
        <x:v>G3-R-E017-H3</x:v>
      </x:c>
      <x:c r="C42" s="41" t="str">
        <x:v>G3-E017</x:v>
      </x:c>
      <x:c r="D42" s="41" t="str">
        <x:v>002371-H3</x:v>
      </x:c>
      <x:c r="E42" s="41" t="str">
        <x:v>北方华创</x:v>
      </x:c>
      <x:c r="F42" s="42" t="str">
        <x:v>​002371</x:v>
      </x:c>
      <x:c r="G42" s="41" t="str">
        <x:v>芯片半导体</x:v>
      </x:c>
      <x:c r="H42" s="42" t="str">
        <x:v>​2024-04-30T00:00:00+08:00</x:v>
      </x:c>
      <x:c r="I42" s="41" t="str">
        <x:v>产能与交付能力跟上订单增长，合同负债转化不出现明显滞后</x:v>
      </x:c>
      <x:c r="J42" s="41" t="str">
        <x:v>关于公司2024年度日常关联交易预计的公告</x:v>
      </x:c>
      <x:c r="K42" s="41" t="str">
        <x:v>http://static.cninfo.com.cn/finalpage/2024-04-30/1219908871.PDF</x:v>
      </x:c>
      <x:c r="L42" s="43" t="str">
        <x:v>1-弱相关</x:v>
      </x:c>
      <x:c r="M42" s="43" t="str">
        <x:v>否</x:v>
      </x:c>
      <x:c r="N42" s="43" t="str">
        <x:v>租赁、综合服务以及产品销售、采购等有关业务上发生日常关联交易，合计金额</x:v>
      </x:c>
      <x:c r="O42" s="43" t="str">
        <x:v>公告反映需求或盈利表现，但未直接披露产能、研发投入或扩张执行，对查询假设仅有弱主题关联。</x:v>
      </x:c>
      <x:c r="P42" s="43" t="n">
        <x:v>4</x:v>
      </x:c>
      <x:c r="Q42" s="43" t="str">
        <x:v>无</x:v>
      </x:c>
      <x:c r="R42" s="43" t="str">
        <x:v>B-CODEX-FIN-01</x:v>
      </x:c>
      <x:c r="S42" s="49" t="str">
        <x:v>20260826T150309+08:00</x:v>
      </x:c>
    </x:row>
    <x:row r="43" ht="24" hidden="0" customHeight="1">
      <x:c r="A43" s="41" t="str">
        <x:v>42</x:v>
      </x:c>
      <x:c r="B43" s="41" t="str">
        <x:v>G3-R-E045-H3</x:v>
      </x:c>
      <x:c r="C43" s="41" t="str">
        <x:v>G3-E045</x:v>
      </x:c>
      <x:c r="D43" s="41" t="str">
        <x:v>600276-H3</x:v>
      </x:c>
      <x:c r="E43" s="41" t="str">
        <x:v>恒瑞医药</x:v>
      </x:c>
      <x:c r="F43" s="42" t="str">
        <x:v>​600276</x:v>
      </x:c>
      <x:c r="G43" s="41" t="str">
        <x:v>医药</x:v>
      </x:c>
      <x:c r="H43" s="42" t="str">
        <x:v>​2026-01-08T00:00:00+08:00</x:v>
      </x:c>
      <x:c r="I43" s="41" t="str">
        <x:v>研发投入强度维持，管线推进不出现关键品种研发失败</x:v>
      </x:c>
      <x:c r="J43" s="41" t="str">
        <x:v>恒瑞医药关于获得药品注册批准的公告</x:v>
      </x:c>
      <x:c r="K43" s="41" t="str">
        <x:v>http://static.cninfo.com.cn/finalpage/2026-01-08/1224923160.PDF</x:v>
      </x:c>
      <x:c r="L43" s="43" t="str">
        <x:v>3-直接相关</x:v>
      </x:c>
      <x:c r="M43" s="43" t="str">
        <x:v>是</x:v>
      </x:c>
      <x:c r="N43" s="43" t="str">
        <x:v>批准公司自主研发的 1 类创新药瑞拉芙普α注射液上市。现将相关情况公告如下：</x:v>
      </x:c>
      <x:c r="O43" s="43" t="str">
        <x:v>药品受理、临床批准或注册获批直接证明研发管线推进，并对创新药商业化假设提供可观察事实。</x:v>
      </x:c>
      <x:c r="P43" s="43" t="n">
        <x:v>5</x:v>
      </x:c>
      <x:c r="Q43" s="43" t="str">
        <x:v>无</x:v>
      </x:c>
      <x:c r="R43" s="43" t="str">
        <x:v>B-CODEX-FIN-01</x:v>
      </x:c>
      <x:c r="S43" s="49" t="str">
        <x:v>20260826T150309+08:00</x:v>
      </x:c>
    </x:row>
    <x:row r="44" ht="24" hidden="0" customHeight="1">
      <x:c r="A44" s="41" t="str">
        <x:v>43</x:v>
      </x:c>
      <x:c r="B44" s="41" t="str">
        <x:v>G3-R-E075-H3</x:v>
      </x:c>
      <x:c r="C44" s="41" t="str">
        <x:v>G3-E075</x:v>
      </x:c>
      <x:c r="D44" s="41" t="str">
        <x:v>603259-H3</x:v>
      </x:c>
      <x:c r="E44" s="41" t="str">
        <x:v>药明康德</x:v>
      </x:c>
      <x:c r="F44" s="42" t="str">
        <x:v>​603259</x:v>
      </x:c>
      <x:c r="G44" s="41" t="str">
        <x:v>医药</x:v>
      </x:c>
      <x:c r="H44" s="42" t="str">
        <x:v>​2026-04-28T00:00:00+08:00</x:v>
      </x:c>
      <x:c r="I44" s="41" t="str">
        <x:v>新增产能与地缘政治风险可控，海外基地建设按计划推进</x:v>
      </x:c>
      <x:c r="J44" s="41" t="str">
        <x:v>2026年第一季度报告</x:v>
      </x:c>
      <x:c r="K44" s="41" t="str">
        <x:v>http://static.cninfo.com.cn/finalpage/2026-04-28/1225200544.PDF</x:v>
      </x:c>
      <x:c r="L44" s="43" t="str">
        <x:v>3-直接相关</x:v>
      </x:c>
      <x:c r="M44" s="43" t="str">
        <x:v>是</x:v>
      </x:c>
      <x:c r="N44" s="43" t="str">
        <x:v>2026年第一季度营业收入同比增长28.8%，持续经营业务在手订单同比增长23.6%。</x:v>
      </x:c>
      <x:c r="O44" s="43" t="str">
        <x:v>定期报告直接披露查询假设所需的收入、订单、毛利率、研发投入、产能或减值指标，可建立完整关系路径。</x:v>
      </x:c>
      <x:c r="P44" s="43" t="n">
        <x:v>5</x:v>
      </x:c>
      <x:c r="Q44" s="43" t="str">
        <x:v>无</x:v>
      </x:c>
      <x:c r="R44" s="43" t="str">
        <x:v>B-CODEX-FIN-01</x:v>
      </x:c>
      <x:c r="S44" s="49" t="str">
        <x:v>20260826T150309+08:00</x:v>
      </x:c>
    </x:row>
    <x:row r="45" ht="24" hidden="0" customHeight="1">
      <x:c r="A45" s="41" t="str">
        <x:v>44</x:v>
      </x:c>
      <x:c r="B45" s="41" t="str">
        <x:v>G3-R-E051-H1</x:v>
      </x:c>
      <x:c r="C45" s="41" t="str">
        <x:v>G3-E051</x:v>
      </x:c>
      <x:c r="D45" s="41" t="str">
        <x:v>688981-H1</x:v>
      </x:c>
      <x:c r="E45" s="41" t="str">
        <x:v>中芯国际</x:v>
      </x:c>
      <x:c r="F45" s="42" t="str">
        <x:v>​688981</x:v>
      </x:c>
      <x:c r="G45" s="41" t="str">
        <x:v>芯片半导体</x:v>
      </x:c>
      <x:c r="H45" s="42" t="str">
        <x:v>​2026-05-13T00:00:00+08:00</x:v>
      </x:c>
      <x:c r="I45" s="41" t="str">
        <x:v>成熟制程产能利用率与晶圆出货保持增长，国产替代需求是主要驱动</x:v>
      </x:c>
      <x:c r="J45" s="41" t="str">
        <x:v>中芯国际集成电路制造有限公司关于发行股份购买资产暨关联交易报告书修订说明的公告</x:v>
      </x:c>
      <x:c r="K45" s="41" t="str">
        <x:v>http://static.cninfo.com.cn/finalpage/2026-05-13/1225300706.PDF</x:v>
      </x:c>
      <x:c r="L45" s="43" t="str">
        <x:v>0-无关</x:v>
      </x:c>
      <x:c r="M45" s="43" t="str">
        <x:v>否</x:v>
      </x:c>
      <x:c r="N45" s="43" t="str"/>
      <x:c r="O45" s="43" t="str">
        <x:v>候选公告属于治理、证券变动或程序性披露，不回答该查询假设，也不提供有效业务关系证据。</x:v>
      </x:c>
      <x:c r="P45" s="43" t="n">
        <x:v>5</x:v>
      </x:c>
      <x:c r="Q45" s="43" t="str">
        <x:v>无</x:v>
      </x:c>
      <x:c r="R45" s="43" t="str">
        <x:v>B-CODEX-FIN-01</x:v>
      </x:c>
      <x:c r="S45" s="49" t="str">
        <x:v>20260826T150309+08:00</x:v>
      </x:c>
    </x:row>
    <x:row r="46" ht="24" hidden="0" customHeight="1">
      <x:c r="A46" s="41" t="str">
        <x:v>45</x:v>
      </x:c>
      <x:c r="B46" s="41" t="str">
        <x:v>G3-R-E035-H1</x:v>
      </x:c>
      <x:c r="C46" s="41" t="str">
        <x:v>G3-E035</x:v>
      </x:c>
      <x:c r="D46" s="41" t="str">
        <x:v>600276-H1</x:v>
      </x:c>
      <x:c r="E46" s="41" t="str">
        <x:v>恒瑞医药</x:v>
      </x:c>
      <x:c r="F46" s="42" t="str">
        <x:v>​600276</x:v>
      </x:c>
      <x:c r="G46" s="41" t="str">
        <x:v>医药</x:v>
      </x:c>
      <x:c r="H46" s="42" t="str">
        <x:v>​2024-05-22T00:00:00+08:00</x:v>
      </x:c>
      <x:c r="I46" s="41" t="str">
        <x:v>创新药放量与授权合作收入接续仿制药集采下滑，研发管线持续推进</x:v>
      </x:c>
      <x:c r="J46" s="41" t="str">
        <x:v>恒瑞医药关于获得药品注册证书的公告</x:v>
      </x:c>
      <x:c r="K46" s="41" t="str">
        <x:v>http://static.cninfo.com.cn/finalpage/2024-05-22/1220121916.PDF</x:v>
      </x:c>
      <x:c r="L46" s="43" t="str">
        <x:v>3-直接相关</x:v>
      </x:c>
      <x:c r="M46" s="43" t="str">
        <x:v>是</x:v>
      </x:c>
      <x:c r="N46" s="43" t="str">
        <x:v>批准公司研发的1 类新药、PARP 抑制剂氟唑帕利胶囊新适应症上市,这是氟唑帕</x:v>
      </x:c>
      <x:c r="O46" s="43" t="str">
        <x:v>药品受理、临床批准或注册获批直接证明研发管线推进，并对创新药商业化假设提供可观察事实。</x:v>
      </x:c>
      <x:c r="P46" s="43" t="n">
        <x:v>5</x:v>
      </x:c>
      <x:c r="Q46" s="43" t="str">
        <x:v>无</x:v>
      </x:c>
      <x:c r="R46" s="43" t="str">
        <x:v>B-CODEX-FIN-01</x:v>
      </x:c>
      <x:c r="S46" s="49" t="str">
        <x:v>20260826T150309+08:00</x:v>
      </x:c>
    </x:row>
    <x:row r="47" ht="24" hidden="0" customHeight="1">
      <x:c r="A47" s="41" t="str">
        <x:v>46</x:v>
      </x:c>
      <x:c r="B47" s="41" t="str">
        <x:v>G3-R-E084-H1</x:v>
      </x:c>
      <x:c r="C47" s="41" t="str">
        <x:v>G3-E084</x:v>
      </x:c>
      <x:c r="D47" s="41" t="str">
        <x:v>002371-H1</x:v>
      </x:c>
      <x:c r="E47" s="41" t="str">
        <x:v>北方华创</x:v>
      </x:c>
      <x:c r="F47" s="42" t="str">
        <x:v>​002371</x:v>
      </x:c>
      <x:c r="G47" s="41" t="str">
        <x:v>芯片半导体</x:v>
      </x:c>
      <x:c r="H47" s="42" t="str">
        <x:v>​2024-04-13T00:00:00+08:00</x:v>
      </x:c>
      <x:c r="I47" s="41" t="str">
        <x:v>半导体设备订单随晶圆厂扩产与国产化率提升保持增长</x:v>
      </x:c>
      <x:c r="J47" s="41" t="str">
        <x:v>2023年度业绩快报</x:v>
      </x:c>
      <x:c r="K47" s="41" t="str">
        <x:v>http://static.cninfo.com.cn/finalpage/2024-04-13/1219597439.PDF</x:v>
      </x:c>
      <x:c r="L47" s="43" t="str">
        <x:v>3-直接相关</x:v>
      </x:c>
      <x:c r="M47" s="43" t="str">
        <x:v>是</x:v>
      </x:c>
      <x:c r="N47" s="43" t="str">
        <x:v>2023年营业总收入同比增长50.32%，新增订单显著增加，产品销量同比大幅增加。</x:v>
      </x:c>
      <x:c r="O47" s="43" t="str">
        <x:v>公告事实直接对应查询假设中的核心业务变量，时间边界内可建立可复核关系路径。</x:v>
      </x:c>
      <x:c r="P47" s="43" t="n">
        <x:v>5</x:v>
      </x:c>
      <x:c r="Q47" s="43" t="str">
        <x:v>无</x:v>
      </x:c>
      <x:c r="R47" s="43" t="str">
        <x:v>B-CODEX-FIN-01</x:v>
      </x:c>
      <x:c r="S47" s="49" t="str">
        <x:v>20260826T150309+08:00</x:v>
      </x:c>
    </x:row>
    <x:row r="48" ht="24" hidden="0" customHeight="1">
      <x:c r="A48" s="41" t="str">
        <x:v>47</x:v>
      </x:c>
      <x:c r="B48" s="41" t="str">
        <x:v>G3-R-E035-H2</x:v>
      </x:c>
      <x:c r="C48" s="41" t="str">
        <x:v>G3-E035</x:v>
      </x:c>
      <x:c r="D48" s="41" t="str">
        <x:v>600276-H2</x:v>
      </x:c>
      <x:c r="E48" s="41" t="str">
        <x:v>恒瑞医药</x:v>
      </x:c>
      <x:c r="F48" s="42" t="str">
        <x:v>​600276</x:v>
      </x:c>
      <x:c r="G48" s="41" t="str">
        <x:v>医药</x:v>
      </x:c>
      <x:c r="H48" s="42" t="str">
        <x:v>​2024-05-22T00:00:00+08:00</x:v>
      </x:c>
      <x:c r="I48" s="41" t="str">
        <x:v>创新药占比提升支撑高毛利率，集采降价不导致盈利持续恶化</x:v>
      </x:c>
      <x:c r="J48" s="41" t="str">
        <x:v>恒瑞医药关于获得药品注册证书的公告</x:v>
      </x:c>
      <x:c r="K48" s="41" t="str">
        <x:v>http://static.cninfo.com.cn/finalpage/2024-05-22/1220121916.PDF</x:v>
      </x:c>
      <x:c r="L48" s="43" t="str">
        <x:v>2-间接相关</x:v>
      </x:c>
      <x:c r="M48" s="43" t="str">
        <x:v>是</x:v>
      </x:c>
      <x:c r="N48" s="43" t="str">
        <x:v>批准公司研发的1 类新药、PARP 抑制剂氟唑帕利胶囊新适应症上市,这是氟唑帕</x:v>
      </x:c>
      <x:c r="O48" s="43" t="str">
        <x:v>管线进展可经创新药占比和产品结构影响盈利质量，但尚未直接披露毛利率或集采影响。</x:v>
      </x:c>
      <x:c r="P48" s="43" t="n">
        <x:v>4</x:v>
      </x:c>
      <x:c r="Q48" s="43" t="str">
        <x:v>无</x:v>
      </x:c>
      <x:c r="R48" s="43" t="str">
        <x:v>B-CODEX-FIN-01</x:v>
      </x:c>
      <x:c r="S48" s="49" t="str">
        <x:v>20260826T150309+08:00</x:v>
      </x:c>
    </x:row>
    <x:row r="49" ht="24" hidden="0" customHeight="1">
      <x:c r="A49" s="41" t="str">
        <x:v>48</x:v>
      </x:c>
      <x:c r="B49" s="41" t="str">
        <x:v>G3-R-E086-H1</x:v>
      </x:c>
      <x:c r="C49" s="41" t="str">
        <x:v>G3-E086</x:v>
      </x:c>
      <x:c r="D49" s="41" t="str">
        <x:v>600276-H1</x:v>
      </x:c>
      <x:c r="E49" s="41" t="str">
        <x:v>恒瑞医药</x:v>
      </x:c>
      <x:c r="F49" s="42" t="str">
        <x:v>​600276</x:v>
      </x:c>
      <x:c r="G49" s="41" t="str">
        <x:v>医药</x:v>
      </x:c>
      <x:c r="H49" s="42" t="str">
        <x:v>​2026-05-20T00:00:00+08:00</x:v>
      </x:c>
      <x:c r="I49" s="41" t="str">
        <x:v>创新药放量与授权合作收入接续仿制药集采下滑，研发管线持续推进</x:v>
      </x:c>
      <x:c r="J49" s="41" t="str">
        <x:v>恒瑞医药关于获得药品注册批准的公告</x:v>
      </x:c>
      <x:c r="K49" s="41" t="str">
        <x:v>http://static.cninfo.com.cn/finalpage/2026-05-20/1225315769.PDF</x:v>
      </x:c>
      <x:c r="L49" s="43" t="str">
        <x:v>3-直接相关</x:v>
      </x:c>
      <x:c r="M49" s="43" t="str">
        <x:v>是</x:v>
      </x:c>
      <x:c r="N49" s="43" t="str">
        <x:v>关于获得药品注册批准的公告</x:v>
      </x:c>
      <x:c r="O49" s="43" t="str">
        <x:v>药品受理、临床批准或注册获批直接证明研发管线推进，并对创新药商业化假设提供可观察事实。</x:v>
      </x:c>
      <x:c r="P49" s="43" t="n">
        <x:v>5</x:v>
      </x:c>
      <x:c r="Q49" s="43" t="str">
        <x:v>无</x:v>
      </x:c>
      <x:c r="R49" s="43" t="str">
        <x:v>B-CODEX-FIN-01</x:v>
      </x:c>
      <x:c r="S49" s="49" t="str">
        <x:v>20260826T150309+08:00</x:v>
      </x:c>
    </x:row>
    <x:row r="50" ht="24" hidden="0" customHeight="1">
      <x:c r="A50" s="41" t="str">
        <x:v>49</x:v>
      </x:c>
      <x:c r="B50" s="41" t="str">
        <x:v>G3-R-E082-H3</x:v>
      </x:c>
      <x:c r="C50" s="41" t="str">
        <x:v>G3-E082</x:v>
      </x:c>
      <x:c r="D50" s="41" t="str">
        <x:v>688981-H3</x:v>
      </x:c>
      <x:c r="E50" s="41" t="str">
        <x:v>中芯国际</x:v>
      </x:c>
      <x:c r="F50" s="42" t="str">
        <x:v>​688981</x:v>
      </x:c>
      <x:c r="G50" s="41" t="str">
        <x:v>芯片半导体</x:v>
      </x:c>
      <x:c r="H50" s="42" t="str">
        <x:v>​2024-03-29T00:00:00+08:00</x:v>
      </x:c>
      <x:c r="I50" s="41" t="str">
        <x:v>资本开支与扩产节奏匹配下游需求，先进制程投入不出现大额减值</x:v>
      </x:c>
      <x:c r="J50" s="41" t="str">
        <x:v>中芯国际2023年年度报告摘要</x:v>
      </x:c>
      <x:c r="K50" s="41" t="str">
        <x:v>http://static.cninfo.com.cn/finalpage/2024-03-29/1219447110.PDF</x:v>
      </x:c>
      <x:c r="L50" s="43" t="str">
        <x:v>3-直接相关</x:v>
      </x:c>
      <x:c r="M50" s="43" t="str">
        <x:v>是</x:v>
      </x:c>
      <x:c r="N50" s="43" t="str">
        <x:v>2023年营业收入45,250.4百万元，同比减少8.6%；归母净利润同比减少60.3%。</x:v>
      </x:c>
      <x:c r="O50" s="43" t="str">
        <x:v>定期报告直接披露查询假设所需的收入、订单、毛利率、研发投入、产能或减值指标，可建立完整关系路径。</x:v>
      </x:c>
      <x:c r="P50" s="43" t="n">
        <x:v>5</x:v>
      </x:c>
      <x:c r="Q50" s="43" t="str">
        <x:v>无</x:v>
      </x:c>
      <x:c r="R50" s="43" t="str">
        <x:v>B-CODEX-FIN-01</x:v>
      </x:c>
      <x:c r="S50" s="49" t="str">
        <x:v>20260826T150309+08:00</x:v>
      </x:c>
    </x:row>
    <x:row r="51" ht="24" hidden="0" customHeight="1">
      <x:c r="A51" s="41" t="str">
        <x:v>50</x:v>
      </x:c>
      <x:c r="B51" s="41" t="str">
        <x:v>G3-R-E060-H1</x:v>
      </x:c>
      <x:c r="C51" s="41" t="str">
        <x:v>G3-E060</x:v>
      </x:c>
      <x:c r="D51" s="41" t="str">
        <x:v>002594-H1</x:v>
      </x:c>
      <x:c r="E51" s="41" t="str">
        <x:v>比亚迪</x:v>
      </x:c>
      <x:c r="F51" s="42" t="str">
        <x:v>​002594</x:v>
      </x:c>
      <x:c r="G51" s="41" t="str">
        <x:v>新能源汽车</x:v>
      </x:c>
      <x:c r="H51" s="42" t="str">
        <x:v>​2024-12-02T00:00:00+08:00</x:v>
      </x:c>
      <x:c r="I51" s="41" t="str">
        <x:v>新能源汽车销量保持增长，出口占比提升对冲国内价格压力</x:v>
      </x:c>
      <x:c r="J51" s="41" t="str">
        <x:v>2024年11月产销快报</x:v>
      </x:c>
      <x:c r="K51" s="41" t="str">
        <x:v>http://static.cninfo.com.cn/finalpage/2024-12-02/1221902564.PDF</x:v>
      </x:c>
      <x:c r="L51" s="43" t="str">
        <x:v>3-直接相关</x:v>
      </x:c>
      <x:c r="M51" s="43" t="str">
        <x:v>是</x:v>
      </x:c>
      <x:c r="N51" s="43" t="str">
        <x:v>新能源汽车本年累计销量3,757,336辆，去年累计2,683,374辆，累计同比40.02%。</x:v>
      </x:c>
      <x:c r="O51" s="43" t="str">
        <x:v>公告事实直接对应查询假设中的核心业务变量，时间边界内可建立可复核关系路径。</x:v>
      </x:c>
      <x:c r="P51" s="43" t="n">
        <x:v>5</x:v>
      </x:c>
      <x:c r="Q51" s="43" t="str">
        <x:v>无</x:v>
      </x:c>
      <x:c r="R51" s="43" t="str">
        <x:v>B-CODEX-FIN-01</x:v>
      </x:c>
      <x:c r="S51" s="49" t="str">
        <x:v>20260826T150309+08:00</x:v>
      </x:c>
    </x:row>
    <x:row r="52" ht="24" hidden="0" customHeight="1">
      <x:c r="A52" s="41" t="str">
        <x:v>51</x:v>
      </x:c>
      <x:c r="B52" s="41" t="str">
        <x:v>G3-R-E103-H3</x:v>
      </x:c>
      <x:c r="C52" s="41" t="str">
        <x:v>G3-E103</x:v>
      </x:c>
      <x:c r="D52" s="41" t="str">
        <x:v>600276-H3</x:v>
      </x:c>
      <x:c r="E52" s="41" t="str">
        <x:v>恒瑞医药</x:v>
      </x:c>
      <x:c r="F52" s="42" t="str">
        <x:v>​600276</x:v>
      </x:c>
      <x:c r="G52" s="41" t="str">
        <x:v>医药</x:v>
      </x:c>
      <x:c r="H52" s="42" t="str">
        <x:v>​2025-07-18T00:00:00+08:00</x:v>
      </x:c>
      <x:c r="I52" s="41" t="str">
        <x:v>研发投入强度维持，管线推进不出现关键品种研发失败</x:v>
      </x:c>
      <x:c r="J52" s="41" t="str">
        <x:v>恒瑞医药关于获得药物临床试验批准通知书的公告</x:v>
      </x:c>
      <x:c r="K52" s="41" t="str">
        <x:v>http://static.cninfo.com.cn/finalpage/2025-07-18/1224202262.PDF</x:v>
      </x:c>
      <x:c r="L52" s="43" t="str">
        <x:v>3-直接相关</x:v>
      </x:c>
      <x:c r="M52" s="43" t="str">
        <x:v>是</x:v>
      </x:c>
      <x:c r="N52" s="43" t="str">
        <x:v>根据我国药品注册相关的法律法规要求，药物在获得药物临床试验批准通知</x:v>
      </x:c>
      <x:c r="O52" s="43" t="str">
        <x:v>药品受理、临床批准或注册获批直接证明研发管线推进，并对创新药商业化假设提供可观察事实。</x:v>
      </x:c>
      <x:c r="P52" s="43" t="n">
        <x:v>5</x:v>
      </x:c>
      <x:c r="Q52" s="43" t="str">
        <x:v>无</x:v>
      </x:c>
      <x:c r="R52" s="43" t="str">
        <x:v>B-CODEX-FIN-01</x:v>
      </x:c>
      <x:c r="S52" s="49" t="str">
        <x:v>20260826T150309+08:00</x:v>
      </x:c>
    </x:row>
    <x:row r="53" ht="24" hidden="0" customHeight="1">
      <x:c r="A53" s="41" t="str">
        <x:v>52</x:v>
      </x:c>
      <x:c r="B53" s="41" t="str">
        <x:v>G3-R-E071-H1</x:v>
      </x:c>
      <x:c r="C53" s="41" t="str">
        <x:v>G3-E071</x:v>
      </x:c>
      <x:c r="D53" s="41" t="str">
        <x:v>603986-H1</x:v>
      </x:c>
      <x:c r="E53" s="41" t="str">
        <x:v>兆易创新</x:v>
      </x:c>
      <x:c r="F53" s="42" t="str">
        <x:v>​603986</x:v>
      </x:c>
      <x:c r="G53" s="41" t="str">
        <x:v>芯片半导体</x:v>
      </x:c>
      <x:c r="H53" s="42" t="str">
        <x:v>​2025-04-26T00:00:00+08:00</x:v>
      </x:c>
      <x:c r="I53" s="41" t="str">
        <x:v>存储与 MCU 需求随消费电子与工业复苏回升，库存周期见底</x:v>
      </x:c>
      <x:c r="J53" s="41" t="str">
        <x:v>兆易创新关于使用闲置募集资金进行现金管理的公告</x:v>
      </x:c>
      <x:c r="K53" s="41" t="str">
        <x:v>http://static.cninfo.com.cn/finalpage/2025-04-26/1223305106.PDF</x:v>
      </x:c>
      <x:c r="L53" s="43" t="str">
        <x:v>0-无关</x:v>
      </x:c>
      <x:c r="M53" s="43" t="str">
        <x:v>否</x:v>
      </x:c>
      <x:c r="N53" s="43" t="str"/>
      <x:c r="O53" s="43" t="str">
        <x:v>候选公告属于治理、证券变动或程序性披露，不回答该查询假设，也不提供有效业务关系证据。</x:v>
      </x:c>
      <x:c r="P53" s="43" t="n">
        <x:v>5</x:v>
      </x:c>
      <x:c r="Q53" s="43" t="str">
        <x:v>无</x:v>
      </x:c>
      <x:c r="R53" s="43" t="str">
        <x:v>B-CODEX-FIN-01</x:v>
      </x:c>
      <x:c r="S53" s="49" t="str">
        <x:v>20260826T150309+08:00</x:v>
      </x:c>
    </x:row>
    <x:row r="54" ht="24" hidden="0" customHeight="1">
      <x:c r="A54" s="41" t="str">
        <x:v>53</x:v>
      </x:c>
      <x:c r="B54" s="41" t="str">
        <x:v>G3-R-E009-H2</x:v>
      </x:c>
      <x:c r="C54" s="41" t="str">
        <x:v>G3-E009</x:v>
      </x:c>
      <x:c r="D54" s="41" t="str">
        <x:v>002594-H2</x:v>
      </x:c>
      <x:c r="E54" s="41" t="str">
        <x:v>比亚迪</x:v>
      </x:c>
      <x:c r="F54" s="42" t="str">
        <x:v>​002594</x:v>
      </x:c>
      <x:c r="G54" s="41" t="str">
        <x:v>新能源汽车</x:v>
      </x:c>
      <x:c r="H54" s="42" t="str">
        <x:v>​2024-11-02T00:00:00+08:00</x:v>
      </x:c>
      <x:c r="I54" s="41" t="str">
        <x:v>规模效应与垂直一体化维持毛利率，价格战不导致盈利持续恶化</x:v>
      </x:c>
      <x:c r="J54" s="41" t="str">
        <x:v>2024年10月产销快报</x:v>
      </x:c>
      <x:c r="K54" s="41" t="str">
        <x:v>http://static.cninfo.com.cn/finalpage/2024-11-02/1221604106.PDF</x:v>
      </x:c>
      <x:c r="L54" s="43" t="str">
        <x:v>2-间接相关</x:v>
      </x:c>
      <x:c r="M54" s="43" t="str">
        <x:v>是</x:v>
      </x:c>
      <x:c r="N54" s="43" t="str">
        <x:v>新能源汽车本年累计销量3,250,532辆，去年累计2,381,471辆，累计同比36.49%。</x:v>
      </x:c>
      <x:c r="O54" s="43" t="str">
        <x:v>公告与查询假设并非同一直接指标，但可经需求、规模、产品商业化或投入产出的一层因果链建立关系。</x:v>
      </x:c>
      <x:c r="P54" s="43" t="n">
        <x:v>4</x:v>
      </x:c>
      <x:c r="Q54" s="43" t="str">
        <x:v>无</x:v>
      </x:c>
      <x:c r="R54" s="43" t="str">
        <x:v>B-CODEX-FIN-01</x:v>
      </x:c>
      <x:c r="S54" s="49" t="str">
        <x:v>20260826T150309+08:00</x:v>
      </x:c>
    </x:row>
    <x:row r="55" ht="24" hidden="0" customHeight="1">
      <x:c r="A55" s="41" t="str">
        <x:v>54</x:v>
      </x:c>
      <x:c r="B55" s="41" t="str">
        <x:v>G3-R-E071-H3</x:v>
      </x:c>
      <x:c r="C55" s="41" t="str">
        <x:v>G3-E071</x:v>
      </x:c>
      <x:c r="D55" s="41" t="str">
        <x:v>603986-H3</x:v>
      </x:c>
      <x:c r="E55" s="41" t="str">
        <x:v>兆易创新</x:v>
      </x:c>
      <x:c r="F55" s="42" t="str">
        <x:v>​603986</x:v>
      </x:c>
      <x:c r="G55" s="41" t="str">
        <x:v>芯片半导体</x:v>
      </x:c>
      <x:c r="H55" s="42" t="str">
        <x:v>​2025-04-26T00:00:00+08:00</x:v>
      </x:c>
      <x:c r="I55" s="41" t="str">
        <x:v>新品研发与产能储备按计划推进，不出现存货大额跌价</x:v>
      </x:c>
      <x:c r="J55" s="41" t="str">
        <x:v>兆易创新关于使用闲置募集资金进行现金管理的公告</x:v>
      </x:c>
      <x:c r="K55" s="41" t="str">
        <x:v>http://static.cninfo.com.cn/finalpage/2025-04-26/1223305106.PDF</x:v>
      </x:c>
      <x:c r="L55" s="43" t="str">
        <x:v>0-无关</x:v>
      </x:c>
      <x:c r="M55" s="43" t="str">
        <x:v>否</x:v>
      </x:c>
      <x:c r="N55" s="43" t="str"/>
      <x:c r="O55" s="43" t="str">
        <x:v>候选公告属于治理、证券变动或程序性披露，不回答该查询假设，也不提供有效业务关系证据。</x:v>
      </x:c>
      <x:c r="P55" s="43" t="n">
        <x:v>5</x:v>
      </x:c>
      <x:c r="Q55" s="43" t="str">
        <x:v>无</x:v>
      </x:c>
      <x:c r="R55" s="43" t="str">
        <x:v>B-CODEX-FIN-01</x:v>
      </x:c>
      <x:c r="S55" s="49" t="str">
        <x:v>20260826T150309+08:00</x:v>
      </x:c>
    </x:row>
    <x:row r="56" ht="24" hidden="0" customHeight="1">
      <x:c r="A56" s="41" t="str">
        <x:v>55</x:v>
      </x:c>
      <x:c r="B56" s="41" t="str">
        <x:v>G3-R-E043-H3</x:v>
      </x:c>
      <x:c r="C56" s="41" t="str">
        <x:v>G3-E043</x:v>
      </x:c>
      <x:c r="D56" s="41" t="str">
        <x:v>688981-H3</x:v>
      </x:c>
      <x:c r="E56" s="41" t="str">
        <x:v>中芯国际</x:v>
      </x:c>
      <x:c r="F56" s="42" t="str">
        <x:v>​688981</x:v>
      </x:c>
      <x:c r="G56" s="41" t="str">
        <x:v>芯片半导体</x:v>
      </x:c>
      <x:c r="H56" s="42" t="str">
        <x:v>​2026-05-15T00:00:00+08:00</x:v>
      </x:c>
      <x:c r="I56" s="41" t="str">
        <x:v>资本开支与扩产节奏匹配下游需求，先进制程投入不出现大额减值</x:v>
      </x:c>
      <x:c r="J56" s="41" t="str">
        <x:v>中芯国际2026年第一季度报告</x:v>
      </x:c>
      <x:c r="K56" s="41" t="str">
        <x:v>http://static.cninfo.com.cn/finalpage/2026-05-15/1225307101.PDF</x:v>
      </x:c>
      <x:c r="L56" s="43" t="str">
        <x:v>3-直接相关</x:v>
      </x:c>
      <x:c r="M56" s="43" t="str">
        <x:v>是</x:v>
      </x:c>
      <x:c r="N56" s="43" t="str">
        <x:v>2026年第一季度销售收入25.05亿美元，环比增长0.7%；毛利率20.1%，环比增加0.9个百分点。</x:v>
      </x:c>
      <x:c r="O56" s="43" t="str">
        <x:v>定期报告直接披露查询假设所需的收入、订单、毛利率、研发投入、产能或减值指标，可建立完整关系路径。</x:v>
      </x:c>
      <x:c r="P56" s="43" t="n">
        <x:v>5</x:v>
      </x:c>
      <x:c r="Q56" s="43" t="str">
        <x:v>无</x:v>
      </x:c>
      <x:c r="R56" s="43" t="str">
        <x:v>B-CODEX-FIN-01</x:v>
      </x:c>
      <x:c r="S56" s="49" t="str">
        <x:v>20260826T150309+08:00</x:v>
      </x:c>
    </x:row>
    <x:row r="57" ht="24" hidden="0" customHeight="1">
      <x:c r="A57" s="41" t="str">
        <x:v>56</x:v>
      </x:c>
      <x:c r="B57" s="41" t="str">
        <x:v>G3-R-E107-H1</x:v>
      </x:c>
      <x:c r="C57" s="41" t="str">
        <x:v>G3-E107</x:v>
      </x:c>
      <x:c r="D57" s="41" t="str">
        <x:v>09868-H1</x:v>
      </x:c>
      <x:c r="E57" s="41" t="str">
        <x:v>小鹏汽车</x:v>
      </x:c>
      <x:c r="F57" s="42" t="str">
        <x:v>​09868</x:v>
      </x:c>
      <x:c r="G57" s="41" t="str">
        <x:v>新能源汽车</x:v>
      </x:c>
      <x:c r="H57" s="42" t="str">
        <x:v>​2025-08-22T21:24:11+08:00</x:v>
      </x:c>
      <x:c r="I57" s="41" t="str">
        <x:v>智能车交付量保持增长，新车型周期带动需求回升</x:v>
      </x:c>
      <x:c r="J57" s="41" t="str">
        <x:v>重续持续关连交易 与广东汇天签订2026年合作框架协议</x:v>
      </x:c>
      <x:c r="K57" s="41" t="str">
        <x:v>http://static.cninfo.com.cn/finalpage/2025-08-22/1224561663.PDF</x:v>
      </x:c>
      <x:c r="L57" s="43" t="str">
        <x:v>3-直接相关</x:v>
      </x:c>
      <x:c r="M57" s="43" t="str">
        <x:v>是</x:v>
      </x:c>
      <x:c r="N57" s="43" t="str">
        <x:v>2026年合作框架协议年度交易上限为人民币900百万元，合作需求不断增加。</x:v>
      </x:c>
      <x:c r="O57" s="43" t="str">
        <x:v>公告事实直接对应查询假设中的核心业务变量，时间边界内可建立可复核关系路径。</x:v>
      </x:c>
      <x:c r="P57" s="43" t="n">
        <x:v>5</x:v>
      </x:c>
      <x:c r="Q57" s="43" t="str">
        <x:v>无</x:v>
      </x:c>
      <x:c r="R57" s="43" t="str">
        <x:v>B-CODEX-FIN-01</x:v>
      </x:c>
      <x:c r="S57" s="49" t="str">
        <x:v>20260826T150309+08:00</x:v>
      </x:c>
    </x:row>
    <x:row r="58" ht="24" hidden="0" customHeight="1">
      <x:c r="A58" s="41" t="str">
        <x:v>57</x:v>
      </x:c>
      <x:c r="B58" s="41" t="str">
        <x:v>G3-R-E075-H1</x:v>
      </x:c>
      <x:c r="C58" s="41" t="str">
        <x:v>G3-E075</x:v>
      </x:c>
      <x:c r="D58" s="41" t="str">
        <x:v>603259-H1</x:v>
      </x:c>
      <x:c r="E58" s="41" t="str">
        <x:v>药明康德</x:v>
      </x:c>
      <x:c r="F58" s="42" t="str">
        <x:v>​603259</x:v>
      </x:c>
      <x:c r="G58" s="41" t="str">
        <x:v>医药</x:v>
      </x:c>
      <x:c r="H58" s="42" t="str">
        <x:v>​2026-04-28T00:00:00+08:00</x:v>
      </x:c>
      <x:c r="I58" s="41" t="str">
        <x:v>CXO 订单与在手订单随全球创新药研发投入回暖恢复增长</x:v>
      </x:c>
      <x:c r="J58" s="41" t="str">
        <x:v>2026年第一季度报告</x:v>
      </x:c>
      <x:c r="K58" s="41" t="str">
        <x:v>http://static.cninfo.com.cn/finalpage/2026-04-28/1225200544.PDF</x:v>
      </x:c>
      <x:c r="L58" s="43" t="str">
        <x:v>3-直接相关</x:v>
      </x:c>
      <x:c r="M58" s="43" t="str">
        <x:v>是</x:v>
      </x:c>
      <x:c r="N58" s="43" t="str">
        <x:v>2026年第一季度营业收入同比增长28.8%，持续经营业务在手订单同比增长23.6%。</x:v>
      </x:c>
      <x:c r="O58" s="43" t="str">
        <x:v>定期报告直接披露查询假设所需的收入、订单、毛利率、研发投入、产能或减值指标，可建立完整关系路径。</x:v>
      </x:c>
      <x:c r="P58" s="43" t="n">
        <x:v>5</x:v>
      </x:c>
      <x:c r="Q58" s="43" t="str">
        <x:v>无</x:v>
      </x:c>
      <x:c r="R58" s="43" t="str">
        <x:v>B-CODEX-FIN-01</x:v>
      </x:c>
      <x:c r="S58" s="49" t="str">
        <x:v>20260826T150309+08:00</x:v>
      </x:c>
    </x:row>
    <x:row r="59" ht="24" hidden="0" customHeight="1">
      <x:c r="A59" s="41" t="str">
        <x:v>58</x:v>
      </x:c>
      <x:c r="B59" s="41" t="str">
        <x:v>G3-R-E073-H1</x:v>
      </x:c>
      <x:c r="C59" s="41" t="str">
        <x:v>G3-E073</x:v>
      </x:c>
      <x:c r="D59" s="41" t="str">
        <x:v>002594-H1</x:v>
      </x:c>
      <x:c r="E59" s="41" t="str">
        <x:v>比亚迪</x:v>
      </x:c>
      <x:c r="F59" s="42" t="str">
        <x:v>​002594</x:v>
      </x:c>
      <x:c r="G59" s="41" t="str">
        <x:v>新能源汽车</x:v>
      </x:c>
      <x:c r="H59" s="42" t="str">
        <x:v>​2025-10-09T00:00:00+08:00</x:v>
      </x:c>
      <x:c r="I59" s="41" t="str">
        <x:v>新能源汽车销量保持增长，出口占比提升对冲国内价格压力</x:v>
      </x:c>
      <x:c r="J59" s="41" t="str">
        <x:v>2025年9月产销快报</x:v>
      </x:c>
      <x:c r="K59" s="41" t="str">
        <x:v>http://static.cninfo.com.cn/finalpage/2025-10-09/1224697528.PDF</x:v>
      </x:c>
      <x:c r="L59" s="43" t="str">
        <x:v>3-直接相关</x:v>
      </x:c>
      <x:c r="M59" s="43" t="str">
        <x:v>是</x:v>
      </x:c>
      <x:c r="N59" s="43" t="str">
        <x:v>新能源汽车本年累计销量3,260,146辆，去年累计2,747,875辆，累计同比18.64%。</x:v>
      </x:c>
      <x:c r="O59" s="43" t="str">
        <x:v>公告事实直接对应查询假设中的核心业务变量，时间边界内可建立可复核关系路径。</x:v>
      </x:c>
      <x:c r="P59" s="43" t="n">
        <x:v>5</x:v>
      </x:c>
      <x:c r="Q59" s="43" t="str">
        <x:v>无</x:v>
      </x:c>
      <x:c r="R59" s="43" t="str">
        <x:v>B-CODEX-FIN-01</x:v>
      </x:c>
      <x:c r="S59" s="49" t="str">
        <x:v>20260826T150309+08:00</x:v>
      </x:c>
    </x:row>
    <x:row r="60" ht="24" hidden="0" customHeight="1">
      <x:c r="A60" s="41" t="str">
        <x:v>59</x:v>
      </x:c>
      <x:c r="B60" s="41" t="str">
        <x:v>G3-R-E095-H3</x:v>
      </x:c>
      <x:c r="C60" s="41" t="str">
        <x:v>G3-E095</x:v>
      </x:c>
      <x:c r="D60" s="41" t="str">
        <x:v>002371-H3</x:v>
      </x:c>
      <x:c r="E60" s="41" t="str">
        <x:v>北方华创</x:v>
      </x:c>
      <x:c r="F60" s="42" t="str">
        <x:v>​002371</x:v>
      </x:c>
      <x:c r="G60" s="41" t="str">
        <x:v>芯片半导体</x:v>
      </x:c>
      <x:c r="H60" s="42" t="str">
        <x:v>​2025-02-18T00:00:00+08:00</x:v>
      </x:c>
      <x:c r="I60" s="41" t="str">
        <x:v>产能与交付能力跟上订单增长，合同负债转化不出现明显滞后</x:v>
      </x:c>
      <x:c r="J60" s="41" t="str">
        <x:v>关于向全资子公司增资并参与设立北京集成电路装备产业投资并购二期基金暨关联交易的进展公告</x:v>
      </x:c>
      <x:c r="K60" s="41" t="str">
        <x:v>http://static.cninfo.com.cn/finalpage/2025-02-18/1222558599.PDF</x:v>
      </x:c>
      <x:c r="L60" s="43" t="str">
        <x:v>2-间接相关</x:v>
      </x:c>
      <x:c r="M60" s="43" t="str">
        <x:v>是</x:v>
      </x:c>
      <x:c r="N60" s="43" t="str">
        <x:v>全资子公司参与投建集成电路装备产业投资并购基金，相关交易已取得进展。</x:v>
      </x:c>
      <x:c r="O60" s="43" t="str">
        <x:v>公告通过一层清晰业务因果链影响查询假设，路径可成立但并非直接指标。</x:v>
      </x:c>
      <x:c r="P60" s="43" t="n">
        <x:v>4</x:v>
      </x:c>
      <x:c r="Q60" s="43" t="str">
        <x:v>无</x:v>
      </x:c>
      <x:c r="R60" s="43" t="str">
        <x:v>B-CODEX-FIN-01</x:v>
      </x:c>
      <x:c r="S60" s="49" t="str">
        <x:v>20260826T150309+08:00</x:v>
      </x:c>
    </x:row>
    <x:row r="61" ht="24" hidden="0" customHeight="1">
      <x:c r="A61" s="41" t="str">
        <x:v>60</x:v>
      </x:c>
      <x:c r="B61" s="41" t="str">
        <x:v>G3-R-E004-H2</x:v>
      </x:c>
      <x:c r="C61" s="41" t="str">
        <x:v>G3-E004</x:v>
      </x:c>
      <x:c r="D61" s="41" t="str">
        <x:v>603986-H2</x:v>
      </x:c>
      <x:c r="E61" s="41" t="str">
        <x:v>兆易创新</x:v>
      </x:c>
      <x:c r="F61" s="42" t="str">
        <x:v>​603986</x:v>
      </x:c>
      <x:c r="G61" s="41" t="str">
        <x:v>芯片半导体</x:v>
      </x:c>
      <x:c r="H61" s="42" t="str">
        <x:v>​2026-07-30T00:00:00+08:00</x:v>
      </x:c>
      <x:c r="I61" s="41" t="str">
        <x:v>毛利率随产品结构改善回升，不因存储价格波动持续走低</x:v>
      </x:c>
      <x:c r="J61" s="41" t="str">
        <x:v>兆易创新股东增持股份计划公告</x:v>
      </x:c>
      <x:c r="K61" s="41" t="str">
        <x:v>http://static.cninfo.com.cn/finalpage/2026-07-30/1225447344.PDF</x:v>
      </x:c>
      <x:c r="L61" s="43" t="str">
        <x:v>0-无关</x:v>
      </x:c>
      <x:c r="M61" s="43" t="str">
        <x:v>否</x:v>
      </x:c>
      <x:c r="N61" s="43" t="str"/>
      <x:c r="O61" s="43" t="str">
        <x:v>候选公告属于治理、证券变动或程序性披露，不回答该查询假设，也不提供有效业务关系证据。</x:v>
      </x:c>
      <x:c r="P61" s="43" t="n">
        <x:v>5</x:v>
      </x:c>
      <x:c r="Q61" s="43" t="str">
        <x:v>无</x:v>
      </x:c>
      <x:c r="R61" s="43" t="str">
        <x:v>B-CODEX-FIN-01</x:v>
      </x:c>
      <x:c r="S61" s="49" t="str">
        <x:v>20260826T150309+08:00</x:v>
      </x:c>
    </x:row>
    <x:row r="62" ht="24" hidden="0" customHeight="1">
      <x:c r="A62" s="41" t="str">
        <x:v>61</x:v>
      </x:c>
      <x:c r="B62" s="41" t="str">
        <x:v>G3-R-E004-H3</x:v>
      </x:c>
      <x:c r="C62" s="41" t="str">
        <x:v>G3-E004</x:v>
      </x:c>
      <x:c r="D62" s="41" t="str">
        <x:v>603986-H3</x:v>
      </x:c>
      <x:c r="E62" s="41" t="str">
        <x:v>兆易创新</x:v>
      </x:c>
      <x:c r="F62" s="42" t="str">
        <x:v>​603986</x:v>
      </x:c>
      <x:c r="G62" s="41" t="str">
        <x:v>芯片半导体</x:v>
      </x:c>
      <x:c r="H62" s="42" t="str">
        <x:v>​2026-07-30T00:00:00+08:00</x:v>
      </x:c>
      <x:c r="I62" s="41" t="str">
        <x:v>新品研发与产能储备按计划推进，不出现存货大额跌价</x:v>
      </x:c>
      <x:c r="J62" s="41" t="str">
        <x:v>兆易创新股东增持股份计划公告</x:v>
      </x:c>
      <x:c r="K62" s="41" t="str">
        <x:v>http://static.cninfo.com.cn/finalpage/2026-07-30/1225447344.PDF</x:v>
      </x:c>
      <x:c r="L62" s="43" t="str">
        <x:v>0-无关</x:v>
      </x:c>
      <x:c r="M62" s="43" t="str">
        <x:v>否</x:v>
      </x:c>
      <x:c r="N62" s="43" t="str"/>
      <x:c r="O62" s="43" t="str">
        <x:v>候选公告属于治理、证券变动或程序性披露，不回答该查询假设，也不提供有效业务关系证据。</x:v>
      </x:c>
      <x:c r="P62" s="43" t="n">
        <x:v>5</x:v>
      </x:c>
      <x:c r="Q62" s="43" t="str">
        <x:v>无</x:v>
      </x:c>
      <x:c r="R62" s="43" t="str">
        <x:v>B-CODEX-FIN-01</x:v>
      </x:c>
      <x:c r="S62" s="49" t="str">
        <x:v>20260826T150309+08:00</x:v>
      </x:c>
    </x:row>
    <x:row r="63" ht="36" hidden="0" customHeight="1">
      <x:c r="A63" s="41" t="str">
        <x:v>62</x:v>
      </x:c>
      <x:c r="B63" s="41" t="str">
        <x:v>G3-R-E120-H3</x:v>
      </x:c>
      <x:c r="C63" s="41" t="str">
        <x:v>G3-E120</x:v>
      </x:c>
      <x:c r="D63" s="41" t="str">
        <x:v>09868-H3</x:v>
      </x:c>
      <x:c r="E63" s="41" t="str">
        <x:v>小鹏汽车</x:v>
      </x:c>
      <x:c r="F63" s="42" t="str">
        <x:v>​09868</x:v>
      </x:c>
      <x:c r="G63" s="41" t="str">
        <x:v>新能源汽车</x:v>
      </x:c>
      <x:c r="H63" s="42" t="str">
        <x:v>​2024-04-17T17:18:27+08:00</x:v>
      </x:c>
      <x:c r="I63" s="41" t="str">
        <x:v>研发与产能投入可持续，现金流不出现明显恶化</x:v>
      </x:c>
      <x:c r="J63" s="41" t="str">
        <x:v>自愿公告 与大众汽车集团签订电子电气架构技术战略合作框架协议</x:v>
      </x:c>
      <x:c r="K63" s="41" t="str">
        <x:v>http://static.cninfo.com.cn/finalpage/2024-04-17/1219647424.PDF</x:v>
      </x:c>
      <x:c r="L63" s="43" t="str">
        <x:v>1-弱相关</x:v>
      </x:c>
      <x:c r="M63" s="43" t="str">
        <x:v>否</x:v>
      </x:c>
      <x:c r="N63" s="43" t="str">
        <x:v>公司与大众汽车集团签署扩展电子电气架构战略技术合作联合开发协议。</x:v>
      </x:c>
      <x:c r="O63" s="43" t="str">
        <x:v>公告反映需求或盈利表现，但未直接披露产能、研发投入或扩张执行，对查询假设仅有弱主题关联。</x:v>
      </x:c>
      <x:c r="P63" s="43" t="n">
        <x:v>4</x:v>
      </x:c>
      <x:c r="Q63" s="43" t="str">
        <x:v>无</x:v>
      </x:c>
      <x:c r="R63" s="43" t="str">
        <x:v>B-CODEX-FIN-01</x:v>
      </x:c>
      <x:c r="S63" s="49" t="str">
        <x:v>20260826T150309+08:00</x:v>
      </x:c>
    </x:row>
    <x:row r="64" ht="24" hidden="0" customHeight="1">
      <x:c r="A64" s="41" t="str">
        <x:v>63</x:v>
      </x:c>
      <x:c r="B64" s="41" t="str">
        <x:v>G3-R-E044-H1</x:v>
      </x:c>
      <x:c r="C64" s="41" t="str">
        <x:v>G3-E044</x:v>
      </x:c>
      <x:c r="D64" s="41" t="str">
        <x:v>688981-H1</x:v>
      </x:c>
      <x:c r="E64" s="41" t="str">
        <x:v>中芯国际</x:v>
      </x:c>
      <x:c r="F64" s="42" t="str">
        <x:v>​688981</x:v>
      </x:c>
      <x:c r="G64" s="41" t="str">
        <x:v>芯片半导体</x:v>
      </x:c>
      <x:c r="H64" s="42" t="str">
        <x:v>​2025-11-14T00:00:00+08:00</x:v>
      </x:c>
      <x:c r="I64" s="41" t="str">
        <x:v>成熟制程产能利用率与晶圆出货保持增长，国产替代需求是主要驱动</x:v>
      </x:c>
      <x:c r="J64" s="41" t="str">
        <x:v>中芯国际关于2025年前三季度计提资产减值准备的公告</x:v>
      </x:c>
      <x:c r="K64" s="41" t="str">
        <x:v>http://static.cninfo.com.cn/finalpage/2025-11-14/1224804088.PDF</x:v>
      </x:c>
      <x:c r="L64" s="43" t="str">
        <x:v>2-间接相关</x:v>
      </x:c>
      <x:c r="M64" s="43" t="str">
        <x:v>是</x:v>
      </x:c>
      <x:c r="N64" s="43" t="str">
        <x:v>2025年前三季度计提信用减值及资产减值917,354千元，减少利润总额917,354千元。</x:v>
      </x:c>
      <x:c r="O64" s="43" t="str">
        <x:v>公告与查询假设并非同一直接指标，但可经需求、规模、产品商业化或投入产出的一层因果链建立关系。</x:v>
      </x:c>
      <x:c r="P64" s="43" t="n">
        <x:v>4</x:v>
      </x:c>
      <x:c r="Q64" s="43" t="str">
        <x:v>无</x:v>
      </x:c>
      <x:c r="R64" s="43" t="str">
        <x:v>B-CODEX-FIN-01</x:v>
      </x:c>
      <x:c r="S64" s="49" t="str">
        <x:v>20260826T150309+08:00</x:v>
      </x:c>
    </x:row>
    <x:row r="65" ht="24" hidden="0" customHeight="1">
      <x:c r="A65" s="41" t="str">
        <x:v>64</x:v>
      </x:c>
      <x:c r="B65" s="41" t="str">
        <x:v>G3-R-E068-H3</x:v>
      </x:c>
      <x:c r="C65" s="41" t="str">
        <x:v>G3-E068</x:v>
      </x:c>
      <x:c r="D65" s="41" t="str">
        <x:v>002594-H3</x:v>
      </x:c>
      <x:c r="E65" s="41" t="str">
        <x:v>比亚迪</x:v>
      </x:c>
      <x:c r="F65" s="42" t="str">
        <x:v>​002594</x:v>
      </x:c>
      <x:c r="G65" s="41" t="str">
        <x:v>新能源汽车</x:v>
      </x:c>
      <x:c r="H65" s="42" t="str">
        <x:v>​2026-04-02T00:00:00+08:00</x:v>
      </x:c>
      <x:c r="I65" s="41" t="str">
        <x:v>海外工厂与产能扩张按计划落地，不出现大额投资减值</x:v>
      </x:c>
      <x:c r="J65" s="41" t="str">
        <x:v>2026年3月产销快报</x:v>
      </x:c>
      <x:c r="K65" s="41" t="str">
        <x:v>http://static.cninfo.com.cn/finalpage/2026-04-02/1225072597.PDF</x:v>
      </x:c>
      <x:c r="L65" s="43" t="str">
        <x:v>1-弱相关</x:v>
      </x:c>
      <x:c r="M65" s="43" t="str">
        <x:v>否</x:v>
      </x:c>
      <x:c r="N65" s="43" t="str">
        <x:v>新能源汽车本年累计销量700,463辆，去年累计1,000,804辆，累计同比-30.01%。</x:v>
      </x:c>
      <x:c r="O65" s="43" t="str">
        <x:v>公告反映需求或盈利表现，但未直接披露产能、研发投入或扩张执行，对查询假设仅有弱主题关联。</x:v>
      </x:c>
      <x:c r="P65" s="43" t="n">
        <x:v>4</x:v>
      </x:c>
      <x:c r="Q65" s="43" t="str">
        <x:v>无</x:v>
      </x:c>
      <x:c r="R65" s="43" t="str">
        <x:v>B-CODEX-FIN-01</x:v>
      </x:c>
      <x:c r="S65" s="49" t="str">
        <x:v>20260826T150309+08:00</x:v>
      </x:c>
    </x:row>
    <x:row r="66" ht="24" hidden="0" customHeight="1">
      <x:c r="A66" s="41" t="str">
        <x:v>65</x:v>
      </x:c>
      <x:c r="B66" s="41" t="str">
        <x:v>G3-R-E014-H2</x:v>
      </x:c>
      <x:c r="C66" s="41" t="str">
        <x:v>G3-E014</x:v>
      </x:c>
      <x:c r="D66" s="41" t="str">
        <x:v>09868-H2</x:v>
      </x:c>
      <x:c r="E66" s="41" t="str">
        <x:v>小鹏汽车</x:v>
      </x:c>
      <x:c r="F66" s="42" t="str">
        <x:v>​09868</x:v>
      </x:c>
      <x:c r="G66" s="41" t="str">
        <x:v>新能源汽车</x:v>
      </x:c>
      <x:c r="H66" s="42" t="str">
        <x:v>​2024-04-02T12:07:33+08:00</x:v>
      </x:c>
      <x:c r="I66" s="41" t="str">
        <x:v>毛利率随规模与技术服务收入改善，不回落到历史低位</x:v>
      </x:c>
      <x:c r="J66" s="41" t="str">
        <x:v>自愿公告 2024年3月及第一季度智能车交付数据</x:v>
      </x:c>
      <x:c r="K66" s="41" t="str">
        <x:v>http://static.cninfo.com.cn/finalpage/2024-04-02/1219499685.PDF</x:v>
      </x:c>
      <x:c r="L66" s="43" t="str">
        <x:v>2-间接相关</x:v>
      </x:c>
      <x:c r="M66" s="43" t="str">
        <x:v>是</x:v>
      </x:c>
      <x:c r="N66" s="43" t="str">
        <x:v>2024年3月，小鹏汽车共交付智能电动汽车9,026辆，同比增长29%。</x:v>
      </x:c>
      <x:c r="O66" s="43" t="str">
        <x:v>公告与查询假设并非同一直接指标，但可经需求、规模、产品商业化或投入产出的一层因果链建立关系。</x:v>
      </x:c>
      <x:c r="P66" s="43" t="n">
        <x:v>4</x:v>
      </x:c>
      <x:c r="Q66" s="43" t="str">
        <x:v>无</x:v>
      </x:c>
      <x:c r="R66" s="43" t="str">
        <x:v>B-CODEX-FIN-01</x:v>
      </x:c>
      <x:c r="S66" s="49" t="str">
        <x:v>20260826T150309+08:00</x:v>
      </x:c>
    </x:row>
    <x:row r="67" ht="24" hidden="0" customHeight="1">
      <x:c r="A67" s="41" t="str">
        <x:v>66</x:v>
      </x:c>
      <x:c r="B67" s="41" t="str">
        <x:v>G3-R-E089-H1</x:v>
      </x:c>
      <x:c r="C67" s="41" t="str">
        <x:v>G3-E089</x:v>
      </x:c>
      <x:c r="D67" s="41" t="str">
        <x:v>603259-H1</x:v>
      </x:c>
      <x:c r="E67" s="41" t="str">
        <x:v>药明康德</x:v>
      </x:c>
      <x:c r="F67" s="42" t="str">
        <x:v>​603259</x:v>
      </x:c>
      <x:c r="G67" s="41" t="str">
        <x:v>医药</x:v>
      </x:c>
      <x:c r="H67" s="42" t="str">
        <x:v>​2024-01-30T00:00:00+08:00</x:v>
      </x:c>
      <x:c r="I67" s="41" t="str">
        <x:v>CXO 订单与在手订单随全球创新药研发投入回暖恢复增长</x:v>
      </x:c>
      <x:c r="J67" s="41" t="str">
        <x:v>关于对无锡药明康德新药开发股份有限公司股票交易异常波动问询函的回复</x:v>
      </x:c>
      <x:c r="K67" s="41" t="str">
        <x:v>http://static.cninfo.com.cn/finalpage/2024-01-30/1219029800.PDF</x:v>
      </x:c>
      <x:c r="L67" s="43" t="str">
        <x:v>2-间接相关</x:v>
      </x:c>
      <x:c r="M67" s="43" t="str">
        <x:v>是</x:v>
      </x:c>
      <x:c r="N67" s="43" t="str">
        <x:v>关于对无锡药明康德新药开发股份有限公司</x:v>
      </x:c>
      <x:c r="O67" s="43" t="str">
        <x:v>公告与查询假设并非同一直接指标，但可经需求、规模、产品商业化或投入产出的一层因果链建立关系。</x:v>
      </x:c>
      <x:c r="P67" s="43" t="n">
        <x:v>4</x:v>
      </x:c>
      <x:c r="Q67" s="43" t="str">
        <x:v>无</x:v>
      </x:c>
      <x:c r="R67" s="43" t="str">
        <x:v>B-CODEX-FIN-01</x:v>
      </x:c>
      <x:c r="S67" s="49" t="str">
        <x:v>20260826T150309+08:00</x:v>
      </x:c>
    </x:row>
    <x:row r="68" ht="24" hidden="0" customHeight="1">
      <x:c r="A68" s="41" t="str">
        <x:v>67</x:v>
      </x:c>
      <x:c r="B68" s="41" t="str">
        <x:v>G3-R-E069-H1</x:v>
      </x:c>
      <x:c r="C68" s="41" t="str">
        <x:v>G3-E069</x:v>
      </x:c>
      <x:c r="D68" s="41" t="str">
        <x:v>002371-H1</x:v>
      </x:c>
      <x:c r="E68" s="41" t="str">
        <x:v>北方华创</x:v>
      </x:c>
      <x:c r="F68" s="42" t="str">
        <x:v>​002371</x:v>
      </x:c>
      <x:c r="G68" s="41" t="str">
        <x:v>芯片半导体</x:v>
      </x:c>
      <x:c r="H68" s="42" t="str">
        <x:v>​2024-02-29T00:00:00+08:00</x:v>
      </x:c>
      <x:c r="I68" s="41" t="str">
        <x:v>半导体设备订单随晶圆厂扩产与国产化率提升保持增长</x:v>
      </x:c>
      <x:c r="J68" s="41" t="str">
        <x:v>关于2019年股票期权与限制性股票激励计划第三个行权期采用自主行权模式的提示性公告</x:v>
      </x:c>
      <x:c r="K68" s="41" t="str">
        <x:v>http://static.cninfo.com.cn/finalpage/2024-02-29/1219208962.PDF</x:v>
      </x:c>
      <x:c r="L68" s="43" t="str">
        <x:v>0-无关</x:v>
      </x:c>
      <x:c r="M68" s="43" t="str">
        <x:v>否</x:v>
      </x:c>
      <x:c r="N68" s="43" t="str"/>
      <x:c r="O68" s="43" t="str">
        <x:v>候选公告属于治理、证券变动或程序性披露，不回答该查询假设，也不提供有效业务关系证据。</x:v>
      </x:c>
      <x:c r="P68" s="43" t="n">
        <x:v>5</x:v>
      </x:c>
      <x:c r="Q68" s="43" t="str">
        <x:v>无</x:v>
      </x:c>
      <x:c r="R68" s="43" t="str">
        <x:v>B-CODEX-FIN-01</x:v>
      </x:c>
      <x:c r="S68" s="49" t="str">
        <x:v>20260826T150309+08:00</x:v>
      </x:c>
    </x:row>
    <x:row r="69" ht="24" hidden="0" customHeight="1">
      <x:c r="A69" s="41" t="str">
        <x:v>68</x:v>
      </x:c>
      <x:c r="B69" s="41" t="str">
        <x:v>G3-R-E091-H1</x:v>
      </x:c>
      <x:c r="C69" s="41" t="str">
        <x:v>G3-E091</x:v>
      </x:c>
      <x:c r="D69" s="41" t="str">
        <x:v>603259-H1</x:v>
      </x:c>
      <x:c r="E69" s="41" t="str">
        <x:v>药明康德</x:v>
      </x:c>
      <x:c r="F69" s="42" t="str">
        <x:v>​603259</x:v>
      </x:c>
      <x:c r="G69" s="41" t="str">
        <x:v>医药</x:v>
      </x:c>
      <x:c r="H69" s="42" t="str">
        <x:v>​2026-03-24T00:00:00+08:00</x:v>
      </x:c>
      <x:c r="I69" s="41" t="str">
        <x:v>CXO 订单与在手订单随全球创新药研发投入回暖恢复增长</x:v>
      </x:c>
      <x:c r="J69" s="41" t="str">
        <x:v>关于2025年度计提资产减值准备的公告</x:v>
      </x:c>
      <x:c r="K69" s="41" t="str">
        <x:v>http://static.cninfo.com.cn/finalpage/2026-03-24/1225025227.PDF</x:v>
      </x:c>
      <x:c r="L69" s="43" t="str">
        <x:v>2-间接相关</x:v>
      </x:c>
      <x:c r="M69" s="43" t="str">
        <x:v>是</x:v>
      </x:c>
      <x:c r="N69" s="43" t="str">
        <x:v>2025年度计提各项减值损失106,951.80万元，将等额减少合并报表利润总额。</x:v>
      </x:c>
      <x:c r="O69" s="43" t="str">
        <x:v>公告与查询假设并非同一直接指标，但可经需求、规模、产品商业化或投入产出的一层因果链建立关系。</x:v>
      </x:c>
      <x:c r="P69" s="43" t="n">
        <x:v>4</x:v>
      </x:c>
      <x:c r="Q69" s="43" t="str">
        <x:v>无</x:v>
      </x:c>
      <x:c r="R69" s="43" t="str">
        <x:v>B-CODEX-FIN-01</x:v>
      </x:c>
      <x:c r="S69" s="49" t="str">
        <x:v>20260826T150309+08:00</x:v>
      </x:c>
    </x:row>
    <x:row r="70" ht="24" hidden="0" customHeight="1">
      <x:c r="A70" s="41" t="str">
        <x:v>69</x:v>
      </x:c>
      <x:c r="B70" s="41" t="str">
        <x:v>G3-R-E007-H1</x:v>
      </x:c>
      <x:c r="C70" s="41" t="str">
        <x:v>G3-E007</x:v>
      </x:c>
      <x:c r="D70" s="41" t="str">
        <x:v>603259-H1</x:v>
      </x:c>
      <x:c r="E70" s="41" t="str">
        <x:v>药明康德</x:v>
      </x:c>
      <x:c r="F70" s="42" t="str">
        <x:v>​603259</x:v>
      </x:c>
      <x:c r="G70" s="41" t="str">
        <x:v>医药</x:v>
      </x:c>
      <x:c r="H70" s="42" t="str">
        <x:v>​2024-03-19T00:00:00+08:00</x:v>
      </x:c>
      <x:c r="I70" s="41" t="str">
        <x:v>CXO 订单与在手订单随全球创新药研发投入回暖恢复增长</x:v>
      </x:c>
      <x:c r="J70" s="41" t="str">
        <x:v>关于募集资金存放与实际使用情况的专项报告及审核报告（截至2023年12月31日止）</x:v>
      </x:c>
      <x:c r="K70" s="41" t="str">
        <x:v>http://static.cninfo.com.cn/finalpage/2024-03-19/1219331371.PDF</x:v>
      </x:c>
      <x:c r="L70" s="43" t="str">
        <x:v>2-间接相关</x:v>
      </x:c>
      <x:c r="M70" s="43" t="str">
        <x:v>是</x:v>
      </x:c>
      <x:c r="N70" s="43" t="str">
        <x:v>截至2023年末募集资金累计投入186,104.73万元及639,014.14万元，扩建项目达到预计效益。</x:v>
      </x:c>
      <x:c r="O70" s="43" t="str">
        <x:v>公告与查询假设并非同一直接指标，但可经需求、规模、产品商业化或投入产出的一层因果链建立关系。</x:v>
      </x:c>
      <x:c r="P70" s="43" t="n">
        <x:v>4</x:v>
      </x:c>
      <x:c r="Q70" s="43" t="str">
        <x:v>无</x:v>
      </x:c>
      <x:c r="R70" s="43" t="str">
        <x:v>B-CODEX-FIN-01</x:v>
      </x:c>
      <x:c r="S70" s="49" t="str">
        <x:v>20260826T150309+08:00</x:v>
      </x:c>
    </x:row>
    <x:row r="71" ht="48" hidden="0" customHeight="1">
      <x:c r="A71" s="41" t="str">
        <x:v>70</x:v>
      </x:c>
      <x:c r="B71" s="41" t="str">
        <x:v>G3-R-E010-H1</x:v>
      </x:c>
      <x:c r="C71" s="41" t="str">
        <x:v>G3-E010</x:v>
      </x:c>
      <x:c r="D71" s="41" t="str">
        <x:v>603986-H1</x:v>
      </x:c>
      <x:c r="E71" s="41" t="str">
        <x:v>兆易创新</x:v>
      </x:c>
      <x:c r="F71" s="42" t="str">
        <x:v>​603986</x:v>
      </x:c>
      <x:c r="G71" s="41" t="str">
        <x:v>芯片半导体</x:v>
      </x:c>
      <x:c r="H71" s="42" t="str">
        <x:v>​2026-01-23T00:00:00+08:00</x:v>
      </x:c>
      <x:c r="I71" s="41" t="str">
        <x:v>存储与 MCU 需求随消费电子与工业复苏回升，库存周期见底</x:v>
      </x:c>
      <x:c r="J71" s="41" t="str">
        <x:v>中国国际金融股份有限公司关于兆易创新科技集团股份有限公司使用A股部分募集资金向全资子公司及全资孙公司增资以实施DRAM募投项目的核查意见</x:v>
      </x:c>
      <x:c r="K71" s="41" t="str">
        <x:v>http://static.cninfo.com.cn/finalpage/2026-01-23/1224946581.PDF</x:v>
      </x:c>
      <x:c r="L71" s="43" t="str">
        <x:v>2-间接相关</x:v>
      </x:c>
      <x:c r="M71" s="43" t="str">
        <x:v>是</x:v>
      </x:c>
      <x:c r="N71" s="43" t="str">
        <x:v>DRAM募投项目的建设需要，未改变募集资金的投资方向和项目建设内容，不会对项目</x:v>
      </x:c>
      <x:c r="O71" s="43" t="str">
        <x:v>公告与查询假设并非同一直接指标，但可经需求、规模、产品商业化或投入产出的一层因果链建立关系。</x:v>
      </x:c>
      <x:c r="P71" s="43" t="n">
        <x:v>4</x:v>
      </x:c>
      <x:c r="Q71" s="43" t="str">
        <x:v>无</x:v>
      </x:c>
      <x:c r="R71" s="43" t="str">
        <x:v>B-CODEX-FIN-01</x:v>
      </x:c>
      <x:c r="S71" s="49" t="str">
        <x:v>20260826T150309+08:00</x:v>
      </x:c>
    </x:row>
    <x:row r="72" ht="24" hidden="0" customHeight="1">
      <x:c r="A72" s="41" t="str">
        <x:v>71</x:v>
      </x:c>
      <x:c r="B72" s="41" t="str">
        <x:v>G3-R-E080-H1</x:v>
      </x:c>
      <x:c r="C72" s="41" t="str">
        <x:v>G3-E080</x:v>
      </x:c>
      <x:c r="D72" s="41" t="str">
        <x:v>600276-H1</x:v>
      </x:c>
      <x:c r="E72" s="41" t="str">
        <x:v>恒瑞医药</x:v>
      </x:c>
      <x:c r="F72" s="42" t="str">
        <x:v>​600276</x:v>
      </x:c>
      <x:c r="G72" s="41" t="str">
        <x:v>医药</x:v>
      </x:c>
      <x:c r="H72" s="42" t="str">
        <x:v>​2025-12-03T00:00:00+08:00</x:v>
      </x:c>
      <x:c r="I72" s="41" t="str">
        <x:v>创新药放量与授权合作收入接续仿制药集采下滑，研发管线持续推进</x:v>
      </x:c>
      <x:c r="J72" s="41" t="str">
        <x:v>恒瑞医药关于药品上市许可申请获受理的提示性公告</x:v>
      </x:c>
      <x:c r="K72" s="41" t="str">
        <x:v>http://static.cninfo.com.cn/finalpage/2025-12-03/1224843478.PDF</x:v>
      </x:c>
      <x:c r="L72" s="43" t="str">
        <x:v>3-直接相关</x:v>
      </x:c>
      <x:c r="M72" s="43" t="str">
        <x:v>是</x:v>
      </x:c>
      <x:c r="N72" s="43" t="str">
        <x:v>关于药品上市许可申请获受理的提示性公告</x:v>
      </x:c>
      <x:c r="O72" s="43" t="str">
        <x:v>药品受理、临床批准或注册获批直接证明研发管线推进，并对创新药商业化假设提供可观察事实。</x:v>
      </x:c>
      <x:c r="P72" s="43" t="n">
        <x:v>5</x:v>
      </x:c>
      <x:c r="Q72" s="43" t="str">
        <x:v>无</x:v>
      </x:c>
      <x:c r="R72" s="43" t="str">
        <x:v>B-CODEX-FIN-01</x:v>
      </x:c>
      <x:c r="S72" s="49" t="str">
        <x:v>20260826T150309+08:00</x:v>
      </x:c>
    </x:row>
    <x:row r="73" ht="24" hidden="0" customHeight="1">
      <x:c r="A73" s="41" t="str">
        <x:v>72</x:v>
      </x:c>
      <x:c r="B73" s="41" t="str">
        <x:v>G3-R-E084-H3</x:v>
      </x:c>
      <x:c r="C73" s="41" t="str">
        <x:v>G3-E084</x:v>
      </x:c>
      <x:c r="D73" s="41" t="str">
        <x:v>002371-H3</x:v>
      </x:c>
      <x:c r="E73" s="41" t="str">
        <x:v>北方华创</x:v>
      </x:c>
      <x:c r="F73" s="42" t="str">
        <x:v>​002371</x:v>
      </x:c>
      <x:c r="G73" s="41" t="str">
        <x:v>芯片半导体</x:v>
      </x:c>
      <x:c r="H73" s="42" t="str">
        <x:v>​2024-04-13T00:00:00+08:00</x:v>
      </x:c>
      <x:c r="I73" s="41" t="str">
        <x:v>产能与交付能力跟上订单增长，合同负债转化不出现明显滞后</x:v>
      </x:c>
      <x:c r="J73" s="41" t="str">
        <x:v>2023年度业绩快报</x:v>
      </x:c>
      <x:c r="K73" s="41" t="str">
        <x:v>http://static.cninfo.com.cn/finalpage/2024-04-13/1219597439.PDF</x:v>
      </x:c>
      <x:c r="L73" s="43" t="str">
        <x:v>1-弱相关</x:v>
      </x:c>
      <x:c r="M73" s="43" t="str">
        <x:v>否</x:v>
      </x:c>
      <x:c r="N73" s="43" t="str">
        <x:v>2023年营业总收入同比增长50.32%，新增订单显著增加，产品销量同比大幅增加。</x:v>
      </x:c>
      <x:c r="O73" s="43" t="str">
        <x:v>公告反映需求或盈利表现，但未直接披露产能、研发投入或扩张执行，对查询假设仅有弱主题关联。</x:v>
      </x:c>
      <x:c r="P73" s="43" t="n">
        <x:v>4</x:v>
      </x:c>
      <x:c r="Q73" s="43" t="str">
        <x:v>无</x:v>
      </x:c>
      <x:c r="R73" s="43" t="str">
        <x:v>B-CODEX-FIN-01</x:v>
      </x:c>
      <x:c r="S73" s="49" t="str">
        <x:v>20260826T150309+08:00</x:v>
      </x:c>
    </x:row>
    <x:row r="74" ht="24" hidden="0" customHeight="1">
      <x:c r="A74" s="41" t="str">
        <x:v>73</x:v>
      </x:c>
      <x:c r="B74" s="41" t="str">
        <x:v>G3-R-E092-H1</x:v>
      </x:c>
      <x:c r="C74" s="41" t="str">
        <x:v>G3-E092</x:v>
      </x:c>
      <x:c r="D74" s="41" t="str">
        <x:v>002594-H1</x:v>
      </x:c>
      <x:c r="E74" s="41" t="str">
        <x:v>比亚迪</x:v>
      </x:c>
      <x:c r="F74" s="42" t="str">
        <x:v>​002594</x:v>
      </x:c>
      <x:c r="G74" s="41" t="str">
        <x:v>新能源汽车</x:v>
      </x:c>
      <x:c r="H74" s="42" t="str">
        <x:v>​2024-01-30T00:00:00+08:00</x:v>
      </x:c>
      <x:c r="I74" s="41" t="str">
        <x:v>新能源汽车销量保持增长，出口占比提升对冲国内价格压力</x:v>
      </x:c>
      <x:c r="J74" s="41" t="str">
        <x:v>2023年度业绩预告</x:v>
      </x:c>
      <x:c r="K74" s="41" t="str">
        <x:v>http://static.cninfo.com.cn/finalpage/2024-01-30/1219028933.PDF</x:v>
      </x:c>
      <x:c r="L74" s="43" t="str">
        <x:v>2-间接相关</x:v>
      </x:c>
      <x:c r="M74" s="43" t="str">
        <x:v>是</x:v>
      </x:c>
      <x:c r="N74" s="43" t="str">
        <x:v>2023年预计归母净利润同比上升74.46%-86.49%，新能源汽车销量再创历史新高。</x:v>
      </x:c>
      <x:c r="O74" s="43" t="str">
        <x:v>公告与查询假设并非同一直接指标，但可经需求、规模、产品商业化或投入产出的一层因果链建立关系。</x:v>
      </x:c>
      <x:c r="P74" s="43" t="n">
        <x:v>4</x:v>
      </x:c>
      <x:c r="Q74" s="43" t="str">
        <x:v>无</x:v>
      </x:c>
      <x:c r="R74" s="43" t="str">
        <x:v>B-CODEX-FIN-01</x:v>
      </x:c>
      <x:c r="S74" s="49" t="str">
        <x:v>20260826T150309+08:00</x:v>
      </x:c>
    </x:row>
    <x:row r="75" ht="24" hidden="0" customHeight="1">
      <x:c r="A75" s="41" t="str">
        <x:v>74</x:v>
      </x:c>
      <x:c r="B75" s="41" t="str">
        <x:v>G3-R-E029-H1</x:v>
      </x:c>
      <x:c r="C75" s="41" t="str">
        <x:v>G3-E029</x:v>
      </x:c>
      <x:c r="D75" s="41" t="str">
        <x:v>600276-H1</x:v>
      </x:c>
      <x:c r="E75" s="41" t="str">
        <x:v>恒瑞医药</x:v>
      </x:c>
      <x:c r="F75" s="42" t="str">
        <x:v>​600276</x:v>
      </x:c>
      <x:c r="G75" s="41" t="str">
        <x:v>医药</x:v>
      </x:c>
      <x:c r="H75" s="42" t="str">
        <x:v>​2026-05-12T00:00:00+08:00</x:v>
      </x:c>
      <x:c r="I75" s="41" t="str">
        <x:v>创新药放量与授权合作收入接续仿制药集采下滑，研发管线持续推进</x:v>
      </x:c>
      <x:c r="J75" s="41" t="str">
        <x:v>恒瑞医药关于与百时美施贵宝公司签署战略合作及许可协议的公告</x:v>
      </x:c>
      <x:c r="K75" s="41" t="str">
        <x:v>http://static.cninfo.com.cn/finalpage/2026-05-12/1225300018.PDF</x:v>
      </x:c>
      <x:c r="L75" s="43" t="str">
        <x:v>3-直接相关</x:v>
      </x:c>
      <x:c r="M75" s="43" t="str">
        <x:v>是</x:v>
      </x:c>
      <x:c r="N75" s="43" t="str">
        <x:v>公司与百时美施贵宝签署战略合作及许可协议，获得首付款及潜在里程碑付款。</x:v>
      </x:c>
      <x:c r="O75" s="43" t="str">
        <x:v>公告事实直接对应查询假设中的核心业务变量，时间边界内可建立可复核关系路径。</x:v>
      </x:c>
      <x:c r="P75" s="43" t="n">
        <x:v>5</x:v>
      </x:c>
      <x:c r="Q75" s="43" t="str">
        <x:v>无</x:v>
      </x:c>
      <x:c r="R75" s="43" t="str">
        <x:v>B-CODEX-FIN-01</x:v>
      </x:c>
      <x:c r="S75" s="49" t="str">
        <x:v>20260826T150309+08:00</x:v>
      </x:c>
    </x:row>
    <x:row r="76" ht="24" hidden="0" customHeight="1">
      <x:c r="A76" s="41" t="str">
        <x:v>75</x:v>
      </x:c>
      <x:c r="B76" s="41" t="str">
        <x:v>G3-R-E007-H3</x:v>
      </x:c>
      <x:c r="C76" s="41" t="str">
        <x:v>G3-E007</x:v>
      </x:c>
      <x:c r="D76" s="41" t="str">
        <x:v>603259-H3</x:v>
      </x:c>
      <x:c r="E76" s="41" t="str">
        <x:v>药明康德</x:v>
      </x:c>
      <x:c r="F76" s="42" t="str">
        <x:v>​603259</x:v>
      </x:c>
      <x:c r="G76" s="41" t="str">
        <x:v>医药</x:v>
      </x:c>
      <x:c r="H76" s="42" t="str">
        <x:v>​2024-03-19T00:00:00+08:00</x:v>
      </x:c>
      <x:c r="I76" s="41" t="str">
        <x:v>新增产能与地缘政治风险可控，海外基地建设按计划推进</x:v>
      </x:c>
      <x:c r="J76" s="41" t="str">
        <x:v>关于募集资金存放与实际使用情况的专项报告及审核报告（截至2023年12月31日止）</x:v>
      </x:c>
      <x:c r="K76" s="41" t="str">
        <x:v>http://static.cninfo.com.cn/finalpage/2024-03-19/1219331371.PDF</x:v>
      </x:c>
      <x:c r="L76" s="43" t="str">
        <x:v>3-直接相关</x:v>
      </x:c>
      <x:c r="M76" s="43" t="str">
        <x:v>是</x:v>
      </x:c>
      <x:c r="N76" s="43" t="str">
        <x:v>截至2023年末募集资金累计投入186,104.73万元及639,014.14万元，扩建项目达到预计效益。</x:v>
      </x:c>
      <x:c r="O76" s="43" t="str">
        <x:v>公告事实直接对应查询假设中的核心业务变量，时间边界内可建立可复核关系路径。</x:v>
      </x:c>
      <x:c r="P76" s="43" t="n">
        <x:v>5</x:v>
      </x:c>
      <x:c r="Q76" s="43" t="str">
        <x:v>无</x:v>
      </x:c>
      <x:c r="R76" s="43" t="str">
        <x:v>B-CODEX-FIN-01</x:v>
      </x:c>
      <x:c r="S76" s="49" t="str">
        <x:v>20260826T150309+08:00</x:v>
      </x:c>
    </x:row>
    <x:row r="77" ht="36" hidden="0" customHeight="1">
      <x:c r="A77" s="41" t="str">
        <x:v>76</x:v>
      </x:c>
      <x:c r="B77" s="41" t="str">
        <x:v>G3-R-E031-H3</x:v>
      </x:c>
      <x:c r="C77" s="41" t="str">
        <x:v>G3-E031</x:v>
      </x:c>
      <x:c r="D77" s="41" t="str">
        <x:v>603259-H3</x:v>
      </x:c>
      <x:c r="E77" s="41" t="str">
        <x:v>药明康德</x:v>
      </x:c>
      <x:c r="F77" s="42" t="str">
        <x:v>​603259</x:v>
      </x:c>
      <x:c r="G77" s="41" t="str">
        <x:v>医药</x:v>
      </x:c>
      <x:c r="H77" s="42" t="str">
        <x:v>​2024-01-03T00:00:00+08:00</x:v>
      </x:c>
      <x:c r="I77" s="41" t="str">
        <x:v>新增产能与地缘政治风险可控，海外基地建设按计划推进</x:v>
      </x:c>
      <x:c r="J77" s="41" t="str">
        <x:v>关于2019年限制性股票与股票期权激励计划首次授予股票期权2023年第四季度自主行权结果暨股份变动公告</x:v>
      </x:c>
      <x:c r="K77" s="41" t="str">
        <x:v>http://static.cninfo.com.cn/finalpage/2024-01-03/1218791594.PDF</x:v>
      </x:c>
      <x:c r="L77" s="43" t="str">
        <x:v>0-无关</x:v>
      </x:c>
      <x:c r="M77" s="43" t="str">
        <x:v>否</x:v>
      </x:c>
      <x:c r="N77" s="43" t="str"/>
      <x:c r="O77" s="43" t="str">
        <x:v>候选公告属于治理、证券变动或程序性披露，不回答该查询假设，也不提供有效业务关系证据。</x:v>
      </x:c>
      <x:c r="P77" s="43" t="n">
        <x:v>5</x:v>
      </x:c>
      <x:c r="Q77" s="43" t="str">
        <x:v>无</x:v>
      </x:c>
      <x:c r="R77" s="43" t="str">
        <x:v>B-CODEX-FIN-01</x:v>
      </x:c>
      <x:c r="S77" s="49" t="str">
        <x:v>20260826T150309+08:00</x:v>
      </x:c>
    </x:row>
    <x:row r="78" ht="24" hidden="0" customHeight="1">
      <x:c r="A78" s="41" t="str">
        <x:v>77</x:v>
      </x:c>
      <x:c r="B78" s="41" t="str">
        <x:v>G3-R-E095-H2</x:v>
      </x:c>
      <x:c r="C78" s="41" t="str">
        <x:v>G3-E095</x:v>
      </x:c>
      <x:c r="D78" s="41" t="str">
        <x:v>002371-H2</x:v>
      </x:c>
      <x:c r="E78" s="41" t="str">
        <x:v>北方华创</x:v>
      </x:c>
      <x:c r="F78" s="42" t="str">
        <x:v>​002371</x:v>
      </x:c>
      <x:c r="G78" s="41" t="str">
        <x:v>芯片半导体</x:v>
      </x:c>
      <x:c r="H78" s="42" t="str">
        <x:v>​2025-02-18T00:00:00+08:00</x:v>
      </x:c>
      <x:c r="I78" s="41" t="str">
        <x:v>规模效应与国产化推进支撑毛利率，不因竞争加剧显著下滑</x:v>
      </x:c>
      <x:c r="J78" s="41" t="str">
        <x:v>关于向全资子公司增资并参与设立北京集成电路装备产业投资并购二期基金暨关联交易的进展公告</x:v>
      </x:c>
      <x:c r="K78" s="41" t="str">
        <x:v>http://static.cninfo.com.cn/finalpage/2025-02-18/1222558599.PDF</x:v>
      </x:c>
      <x:c r="L78" s="43" t="str">
        <x:v>1-弱相关</x:v>
      </x:c>
      <x:c r="M78" s="43" t="str">
        <x:v>是</x:v>
      </x:c>
      <x:c r="N78" s="43" t="str">
        <x:v>全资子公司参与投建集成电路装备产业投资并购基金，相关交易已取得进展。</x:v>
      </x:c>
      <x:c r="O78" s="43" t="str">
        <x:v>公告与查询假设并非同一直接指标，但可经需求、规模、产品商业化或投入产出的一层因果链建立关系。</x:v>
      </x:c>
      <x:c r="P78" s="43" t="n">
        <x:v>4</x:v>
      </x:c>
      <x:c r="Q78" s="43" t="str">
        <x:v>无</x:v>
      </x:c>
      <x:c r="R78" s="43" t="str">
        <x:v>B-CODEX-FIN-01</x:v>
      </x:c>
      <x:c r="S78" s="49" t="str">
        <x:v>20260826T150309+08:00</x:v>
      </x:c>
    </x:row>
    <x:row r="79" ht="24" hidden="0" customHeight="1">
      <x:c r="A79" s="41" t="str">
        <x:v>78</x:v>
      </x:c>
      <x:c r="B79" s="41" t="str">
        <x:v>G3-R-E091-H2</x:v>
      </x:c>
      <x:c r="C79" s="41" t="str">
        <x:v>G3-E091</x:v>
      </x:c>
      <x:c r="D79" s="41" t="str">
        <x:v>603259-H2</x:v>
      </x:c>
      <x:c r="E79" s="41" t="str">
        <x:v>药明康德</x:v>
      </x:c>
      <x:c r="F79" s="42" t="str">
        <x:v>​603259</x:v>
      </x:c>
      <x:c r="G79" s="41" t="str">
        <x:v>医药</x:v>
      </x:c>
      <x:c r="H79" s="42" t="str">
        <x:v>​2026-03-24T00:00:00+08:00</x:v>
      </x:c>
      <x:c r="I79" s="41" t="str">
        <x:v>产能利用率与项目结构支撑毛利率，不因价格竞争持续走低</x:v>
      </x:c>
      <x:c r="J79" s="41" t="str">
        <x:v>关于2025年度计提资产减值准备的公告</x:v>
      </x:c>
      <x:c r="K79" s="41" t="str">
        <x:v>http://static.cninfo.com.cn/finalpage/2026-03-24/1225025227.PDF</x:v>
      </x:c>
      <x:c r="L79" s="43" t="str">
        <x:v>3-直接相关</x:v>
      </x:c>
      <x:c r="M79" s="43" t="str">
        <x:v>是</x:v>
      </x:c>
      <x:c r="N79" s="43" t="str">
        <x:v>2025年度计提各项减值损失106,951.80万元，将等额减少合并报表利润总额。</x:v>
      </x:c>
      <x:c r="O79" s="43" t="str">
        <x:v>公告事实直接对应查询假设中的核心业务变量，时间边界内可建立可复核关系路径。</x:v>
      </x:c>
      <x:c r="P79" s="43" t="n">
        <x:v>5</x:v>
      </x:c>
      <x:c r="Q79" s="43" t="str">
        <x:v>无</x:v>
      </x:c>
      <x:c r="R79" s="43" t="str">
        <x:v>B-CODEX-FIN-01</x:v>
      </x:c>
      <x:c r="S79" s="49" t="str">
        <x:v>20260826T150309+08:00</x:v>
      </x:c>
    </x:row>
    <x:row r="80" ht="24" hidden="0" customHeight="1">
      <x:c r="A80" s="41" t="str">
        <x:v>79</x:v>
      </x:c>
      <x:c r="B80" s="41" t="str">
        <x:v>G3-R-E049-H3</x:v>
      </x:c>
      <x:c r="C80" s="41" t="str">
        <x:v>G3-E049</x:v>
      </x:c>
      <x:c r="D80" s="41" t="str">
        <x:v>002594-H3</x:v>
      </x:c>
      <x:c r="E80" s="41" t="str">
        <x:v>比亚迪</x:v>
      </x:c>
      <x:c r="F80" s="42" t="str">
        <x:v>​002594</x:v>
      </x:c>
      <x:c r="G80" s="41" t="str">
        <x:v>新能源汽车</x:v>
      </x:c>
      <x:c r="H80" s="42" t="str">
        <x:v>​2024-03-02T00:00:00+08:00</x:v>
      </x:c>
      <x:c r="I80" s="41" t="str">
        <x:v>海外工厂与产能扩张按计划落地，不出现大额投资减值</x:v>
      </x:c>
      <x:c r="J80" s="41" t="str">
        <x:v>关于持股5%以上股东部分股份质押的公告</x:v>
      </x:c>
      <x:c r="K80" s="41" t="str">
        <x:v>http://static.cninfo.com.cn/finalpage/2024-03-02/1219219982.PDF</x:v>
      </x:c>
      <x:c r="L80" s="43" t="str">
        <x:v>0-无关</x:v>
      </x:c>
      <x:c r="M80" s="43" t="str">
        <x:v>否</x:v>
      </x:c>
      <x:c r="N80" s="43" t="str"/>
      <x:c r="O80" s="43" t="str">
        <x:v>候选公告属于治理、证券变动或程序性披露，不回答该查询假设，也不提供有效业务关系证据。</x:v>
      </x:c>
      <x:c r="P80" s="43" t="n">
        <x:v>5</x:v>
      </x:c>
      <x:c r="Q80" s="43" t="str">
        <x:v>无</x:v>
      </x:c>
      <x:c r="R80" s="43" t="str">
        <x:v>B-CODEX-FIN-01</x:v>
      </x:c>
      <x:c r="S80" s="49" t="str">
        <x:v>20260826T150309+08:00</x:v>
      </x:c>
    </x:row>
    <x:row r="81" ht="24" hidden="0" customHeight="1">
      <x:c r="A81" s="41" t="str">
        <x:v>80</x:v>
      </x:c>
      <x:c r="B81" s="41" t="str">
        <x:v>G3-R-E033-H1</x:v>
      </x:c>
      <x:c r="C81" s="41" t="str">
        <x:v>G3-E033</x:v>
      </x:c>
      <x:c r="D81" s="41" t="str">
        <x:v>603259-H1</x:v>
      </x:c>
      <x:c r="E81" s="41" t="str">
        <x:v>药明康德</x:v>
      </x:c>
      <x:c r="F81" s="42" t="str">
        <x:v>​603259</x:v>
      </x:c>
      <x:c r="G81" s="41" t="str">
        <x:v>医药</x:v>
      </x:c>
      <x:c r="H81" s="42" t="str">
        <x:v>​2024-03-09T00:00:00+08:00</x:v>
      </x:c>
      <x:c r="I81" s="41" t="str">
        <x:v>CXO 订单与在手订单随全球创新药研发投入回暖恢复增长</x:v>
      </x:c>
      <x:c r="J81" s="41" t="str">
        <x:v>关于回购注销部分股票通知债权人的公告</x:v>
      </x:c>
      <x:c r="K81" s="41" t="str">
        <x:v>http://static.cninfo.com.cn/finalpage/2024-03-09/1219267101.PDF</x:v>
      </x:c>
      <x:c r="L81" s="43" t="str">
        <x:v>0-无关</x:v>
      </x:c>
      <x:c r="M81" s="43" t="str">
        <x:v>否</x:v>
      </x:c>
      <x:c r="N81" s="43" t="str"/>
      <x:c r="O81" s="43" t="str">
        <x:v>候选公告属于治理、证券变动或程序性披露，不回答该查询假设，也不提供有效业务关系证据。</x:v>
      </x:c>
      <x:c r="P81" s="43" t="n">
        <x:v>5</x:v>
      </x:c>
      <x:c r="Q81" s="43" t="str">
        <x:v>无</x:v>
      </x:c>
      <x:c r="R81" s="43" t="str">
        <x:v>B-CODEX-FIN-01</x:v>
      </x:c>
      <x:c r="S81" s="49" t="str">
        <x:v>20260826T150309+08:00</x:v>
      </x:c>
    </x:row>
    <x:row r="82" ht="24" hidden="0" customHeight="1">
      <x:c r="A82" s="41" t="str">
        <x:v>81</x:v>
      </x:c>
      <x:c r="B82" s="41" t="str">
        <x:v>G3-R-E049-H1</x:v>
      </x:c>
      <x:c r="C82" s="41" t="str">
        <x:v>G3-E049</x:v>
      </x:c>
      <x:c r="D82" s="41" t="str">
        <x:v>002594-H1</x:v>
      </x:c>
      <x:c r="E82" s="41" t="str">
        <x:v>比亚迪</x:v>
      </x:c>
      <x:c r="F82" s="42" t="str">
        <x:v>​002594</x:v>
      </x:c>
      <x:c r="G82" s="41" t="str">
        <x:v>新能源汽车</x:v>
      </x:c>
      <x:c r="H82" s="42" t="str">
        <x:v>​2024-03-02T00:00:00+08:00</x:v>
      </x:c>
      <x:c r="I82" s="41" t="str">
        <x:v>新能源汽车销量保持增长，出口占比提升对冲国内价格压力</x:v>
      </x:c>
      <x:c r="J82" s="41" t="str">
        <x:v>关于持股5%以上股东部分股份质押的公告</x:v>
      </x:c>
      <x:c r="K82" s="41" t="str">
        <x:v>http://static.cninfo.com.cn/finalpage/2024-03-02/1219219982.PDF</x:v>
      </x:c>
      <x:c r="L82" s="43" t="str">
        <x:v>0-无关</x:v>
      </x:c>
      <x:c r="M82" s="43" t="str">
        <x:v>否</x:v>
      </x:c>
      <x:c r="N82" s="43" t="str"/>
      <x:c r="O82" s="43" t="str">
        <x:v>候选公告属于治理、证券变动或程序性披露，不回答该查询假设，也不提供有效业务关系证据。</x:v>
      </x:c>
      <x:c r="P82" s="43" t="n">
        <x:v>5</x:v>
      </x:c>
      <x:c r="Q82" s="43" t="str">
        <x:v>无</x:v>
      </x:c>
      <x:c r="R82" s="43" t="str">
        <x:v>B-CODEX-FIN-01</x:v>
      </x:c>
      <x:c r="S82" s="49" t="str">
        <x:v>20260826T150309+08:00</x:v>
      </x:c>
    </x:row>
    <x:row r="83" ht="24" hidden="0" customHeight="1">
      <x:c r="A83" s="41" t="str">
        <x:v>82</x:v>
      </x:c>
      <x:c r="B83" s="41" t="str">
        <x:v>G3-R-E034-H1</x:v>
      </x:c>
      <x:c r="C83" s="41" t="str">
        <x:v>G3-E034</x:v>
      </x:c>
      <x:c r="D83" s="41" t="str">
        <x:v>603986-H1</x:v>
      </x:c>
      <x:c r="E83" s="41" t="str">
        <x:v>兆易创新</x:v>
      </x:c>
      <x:c r="F83" s="42" t="str">
        <x:v>​603986</x:v>
      </x:c>
      <x:c r="G83" s="41" t="str">
        <x:v>芯片半导体</x:v>
      </x:c>
      <x:c r="H83" s="42" t="str">
        <x:v>​2024-08-21T00:00:00+08:00</x:v>
      </x:c>
      <x:c r="I83" s="41" t="str">
        <x:v>存储与 MCU 需求随消费电子与工业复苏回升，库存周期见底</x:v>
      </x:c>
      <x:c r="J83" s="41" t="str">
        <x:v>兆易创新2024年半年度募集资金存放与实际使用情况专项报告</x:v>
      </x:c>
      <x:c r="K83" s="41" t="str">
        <x:v>http://static.cninfo.com.cn/finalpage/2024-08-21/1220923954.PDF</x:v>
      </x:c>
      <x:c r="L83" s="43" t="str">
        <x:v>2-间接相关</x:v>
      </x:c>
      <x:c r="M83" s="43" t="str">
        <x:v>是</x:v>
      </x:c>
      <x:c r="N83" s="43" t="str">
        <x:v>截至2024年6月30日，募集资金累计投入150,135.03万元，用于DRAM等募投项目。</x:v>
      </x:c>
      <x:c r="O83" s="43" t="str">
        <x:v>公告与查询假设并非同一直接指标，但可经需求、规模、产品商业化或投入产出的一层因果链建立关系。</x:v>
      </x:c>
      <x:c r="P83" s="43" t="n">
        <x:v>4</x:v>
      </x:c>
      <x:c r="Q83" s="43" t="str">
        <x:v>无</x:v>
      </x:c>
      <x:c r="R83" s="43" t="str">
        <x:v>B-CODEX-FIN-01</x:v>
      </x:c>
      <x:c r="S83" s="49" t="str">
        <x:v>20260826T150309+08:00</x:v>
      </x:c>
    </x:row>
    <x:row r="84" ht="24" hidden="0" customHeight="1">
      <x:c r="A84" s="41" t="str">
        <x:v>83</x:v>
      </x:c>
      <x:c r="B84" s="41" t="str">
        <x:v>G3-R-E014-H1</x:v>
      </x:c>
      <x:c r="C84" s="41" t="str">
        <x:v>G3-E014</x:v>
      </x:c>
      <x:c r="D84" s="41" t="str">
        <x:v>09868-H1</x:v>
      </x:c>
      <x:c r="E84" s="41" t="str">
        <x:v>小鹏汽车</x:v>
      </x:c>
      <x:c r="F84" s="42" t="str">
        <x:v>​09868</x:v>
      </x:c>
      <x:c r="G84" s="41" t="str">
        <x:v>新能源汽车</x:v>
      </x:c>
      <x:c r="H84" s="42" t="str">
        <x:v>​2024-04-02T12:07:33+08:00</x:v>
      </x:c>
      <x:c r="I84" s="41" t="str">
        <x:v>智能车交付量保持增长，新车型周期带动需求回升</x:v>
      </x:c>
      <x:c r="J84" s="41" t="str">
        <x:v>自愿公告 2024年3月及第一季度智能车交付数据</x:v>
      </x:c>
      <x:c r="K84" s="41" t="str">
        <x:v>http://static.cninfo.com.cn/finalpage/2024-04-02/1219499685.PDF</x:v>
      </x:c>
      <x:c r="L84" s="43" t="str">
        <x:v>3-直接相关</x:v>
      </x:c>
      <x:c r="M84" s="43" t="str">
        <x:v>是</x:v>
      </x:c>
      <x:c r="N84" s="43" t="str">
        <x:v>2024年3月，小鹏汽车共交付智能电动汽车9,026辆，同比增长29%。</x:v>
      </x:c>
      <x:c r="O84" s="43" t="str">
        <x:v>公告事实直接对应查询假设中的核心业务变量，时间边界内可建立可复核关系路径。</x:v>
      </x:c>
      <x:c r="P84" s="43" t="n">
        <x:v>5</x:v>
      </x:c>
      <x:c r="Q84" s="43" t="str">
        <x:v>无</x:v>
      </x:c>
      <x:c r="R84" s="43" t="str">
        <x:v>B-CODEX-FIN-01</x:v>
      </x:c>
      <x:c r="S84" s="49" t="str">
        <x:v>20260826T150309+08:00</x:v>
      </x:c>
    </x:row>
    <x:row r="85" ht="24" hidden="0" customHeight="1">
      <x:c r="A85" s="41" t="str">
        <x:v>84</x:v>
      </x:c>
      <x:c r="B85" s="41" t="str">
        <x:v>G3-R-E091-H3</x:v>
      </x:c>
      <x:c r="C85" s="41" t="str">
        <x:v>G3-E091</x:v>
      </x:c>
      <x:c r="D85" s="41" t="str">
        <x:v>603259-H3</x:v>
      </x:c>
      <x:c r="E85" s="41" t="str">
        <x:v>药明康德</x:v>
      </x:c>
      <x:c r="F85" s="42" t="str">
        <x:v>​603259</x:v>
      </x:c>
      <x:c r="G85" s="41" t="str">
        <x:v>医药</x:v>
      </x:c>
      <x:c r="H85" s="42" t="str">
        <x:v>​2026-03-24T00:00:00+08:00</x:v>
      </x:c>
      <x:c r="I85" s="41" t="str">
        <x:v>新增产能与地缘政治风险可控，海外基地建设按计划推进</x:v>
      </x:c>
      <x:c r="J85" s="41" t="str">
        <x:v>关于2025年度计提资产减值准备的公告</x:v>
      </x:c>
      <x:c r="K85" s="41" t="str">
        <x:v>http://static.cninfo.com.cn/finalpage/2026-03-24/1225025227.PDF</x:v>
      </x:c>
      <x:c r="L85" s="43" t="str">
        <x:v>1-弱相关</x:v>
      </x:c>
      <x:c r="M85" s="43" t="str">
        <x:v>否</x:v>
      </x:c>
      <x:c r="N85" s="43" t="str">
        <x:v>2025年度计提各项减值损失106,951.80万元，将等额减少合并报表利润总额。</x:v>
      </x:c>
      <x:c r="O85" s="43" t="str">
        <x:v>公告反映需求或盈利表现，但未直接披露产能、研发投入或扩张执行，对查询假设仅有弱主题关联。</x:v>
      </x:c>
      <x:c r="P85" s="43" t="n">
        <x:v>4</x:v>
      </x:c>
      <x:c r="Q85" s="43" t="str">
        <x:v>无</x:v>
      </x:c>
      <x:c r="R85" s="43" t="str">
        <x:v>B-CODEX-FIN-01</x:v>
      </x:c>
      <x:c r="S85" s="49" t="str">
        <x:v>20260826T150309+08:00</x:v>
      </x:c>
    </x:row>
    <x:row r="86" ht="24" hidden="0" customHeight="1">
      <x:c r="A86" s="41" t="str">
        <x:v>85</x:v>
      </x:c>
      <x:c r="B86" s="41" t="str">
        <x:v>G3-R-E110-H3</x:v>
      </x:c>
      <x:c r="C86" s="41" t="str">
        <x:v>G3-E110</x:v>
      </x:c>
      <x:c r="D86" s="41" t="str">
        <x:v>688981-H3</x:v>
      </x:c>
      <x:c r="E86" s="41" t="str">
        <x:v>中芯国际</x:v>
      </x:c>
      <x:c r="F86" s="42" t="str">
        <x:v>​688981</x:v>
      </x:c>
      <x:c r="G86" s="41" t="str">
        <x:v>芯片半导体</x:v>
      </x:c>
      <x:c r="H86" s="42" t="str">
        <x:v>​2025-12-30T00:00:00+08:00</x:v>
      </x:c>
      <x:c r="I86" s="41" t="str">
        <x:v>资本开支与扩产节奏匹配下游需求，先进制程投入不出现大额减值</x:v>
      </x:c>
      <x:c r="J86" s="41" t="str">
        <x:v>独立董事关于发行股份购买资产暨关联交易相关事项的的独立意见</x:v>
      </x:c>
      <x:c r="K86" s="41" t="str">
        <x:v>http://static.cninfo.com.cn/finalpage/2025-12-30/1224907027.PDF</x:v>
      </x:c>
      <x:c r="L86" s="43" t="str">
        <x:v>2-间接相关</x:v>
      </x:c>
      <x:c r="M86" s="43" t="str">
        <x:v>是</x:v>
      </x:c>
      <x:c r="N86" s="43" t="str">
        <x:v>发行股份购买资产并募集配套资金的申请收到审核中心第二轮问询。</x:v>
      </x:c>
      <x:c r="O86" s="43" t="str">
        <x:v>公告通过一层清晰业务因果链影响查询假设，路径可成立但并非直接指标。</x:v>
      </x:c>
      <x:c r="P86" s="43" t="n">
        <x:v>4</x:v>
      </x:c>
      <x:c r="Q86" s="43" t="str">
        <x:v>无</x:v>
      </x:c>
      <x:c r="R86" s="43" t="str">
        <x:v>B-CODEX-FIN-01</x:v>
      </x:c>
      <x:c r="S86" s="49" t="str">
        <x:v>20260826T150309+08:00</x:v>
      </x:c>
    </x:row>
    <x:row r="87" ht="24" hidden="0" customHeight="1">
      <x:c r="A87" s="41" t="str">
        <x:v>86</x:v>
      </x:c>
      <x:c r="B87" s="41" t="str">
        <x:v>G3-R-E094-H1</x:v>
      </x:c>
      <x:c r="C87" s="41" t="str">
        <x:v>G3-E094</x:v>
      </x:c>
      <x:c r="D87" s="41" t="str">
        <x:v>603986-H1</x:v>
      </x:c>
      <x:c r="E87" s="41" t="str">
        <x:v>兆易创新</x:v>
      </x:c>
      <x:c r="F87" s="42" t="str">
        <x:v>​603986</x:v>
      </x:c>
      <x:c r="G87" s="41" t="str">
        <x:v>芯片半导体</x:v>
      </x:c>
      <x:c r="H87" s="42" t="str">
        <x:v>​2026-03-31T00:00:00+08:00</x:v>
      </x:c>
      <x:c r="I87" s="41" t="str">
        <x:v>存储与 MCU 需求随消费电子与工业复苏回升，库存周期见底</x:v>
      </x:c>
      <x:c r="J87" s="41" t="str">
        <x:v>兆易创新2025年年度报告</x:v>
      </x:c>
      <x:c r="K87" s="41" t="str">
        <x:v>http://static.cninfo.com.cn/finalpage/2026-03-31/1225061352.PDF</x:v>
      </x:c>
      <x:c r="L87" s="43" t="str">
        <x:v>3-直接相关</x:v>
      </x:c>
      <x:c r="M87" s="43" t="str">
        <x:v>是</x:v>
      </x:c>
      <x:c r="N87" s="43" t="str">
        <x:v>2025年，公司实现营业收入92.03亿元，同比增长25.12%；归母净利润16.48亿元，同比增长49.47%。</x:v>
      </x:c>
      <x:c r="O87" s="43" t="str">
        <x:v>定期报告直接披露查询假设所需的收入、订单、毛利率、研发投入、产能或减值指标，可建立完整关系路径。</x:v>
      </x:c>
      <x:c r="P87" s="43" t="n">
        <x:v>5</x:v>
      </x:c>
      <x:c r="Q87" s="43" t="str">
        <x:v>无</x:v>
      </x:c>
      <x:c r="R87" s="43" t="str">
        <x:v>B-CODEX-FIN-01</x:v>
      </x:c>
      <x:c r="S87" s="49" t="str">
        <x:v>20260826T150309+08:00</x:v>
      </x:c>
    </x:row>
    <x:row r="88" ht="24" hidden="0" customHeight="1">
      <x:c r="A88" s="41" t="str">
        <x:v>87</x:v>
      </x:c>
      <x:c r="B88" s="41" t="str">
        <x:v>G3-R-E112-H3</x:v>
      </x:c>
      <x:c r="C88" s="41" t="str">
        <x:v>G3-E112</x:v>
      </x:c>
      <x:c r="D88" s="41" t="str">
        <x:v>603259-H3</x:v>
      </x:c>
      <x:c r="E88" s="41" t="str">
        <x:v>药明康德</x:v>
      </x:c>
      <x:c r="F88" s="42" t="str">
        <x:v>​603259</x:v>
      </x:c>
      <x:c r="G88" s="41" t="str">
        <x:v>医药</x:v>
      </x:c>
      <x:c r="H88" s="42" t="str">
        <x:v>​2025-09-03T00:00:00+08:00</x:v>
      </x:c>
      <x:c r="I88" s="41" t="str">
        <x:v>新增产能与地缘政治风险可控，海外基地建设按计划推进</x:v>
      </x:c>
      <x:c r="J88" s="41" t="str">
        <x:v>关于与关联方签署框架协议暨日常关联交易的公告</x:v>
      </x:c>
      <x:c r="K88" s="41" t="str">
        <x:v>http://static.cninfo.com.cn/finalpage/2025-09-03/1224634480.PDF</x:v>
      </x:c>
      <x:c r="L88" s="43" t="str">
        <x:v>1-弱相关</x:v>
      </x:c>
      <x:c r="M88" s="43" t="str">
        <x:v>否</x:v>
      </x:c>
      <x:c r="N88" s="43" t="str">
        <x:v>因有效载荷连接子服务需求增长，2025年预计交易金额由1.68亿元提升至2.00亿元。</x:v>
      </x:c>
      <x:c r="O88" s="43" t="str">
        <x:v>公告反映需求或盈利表现，但未直接披露产能、研发投入或扩张执行，对查询假设仅有弱主题关联。</x:v>
      </x:c>
      <x:c r="P88" s="43" t="n">
        <x:v>4</x:v>
      </x:c>
      <x:c r="Q88" s="43" t="str">
        <x:v>无</x:v>
      </x:c>
      <x:c r="R88" s="43" t="str">
        <x:v>B-CODEX-FIN-01</x:v>
      </x:c>
      <x:c r="S88" s="49" t="str">
        <x:v>20260826T150309+08:00</x:v>
      </x:c>
    </x:row>
    <x:row r="89" ht="24" hidden="0" customHeight="1">
      <x:c r="A89" s="41" t="str">
        <x:v>88</x:v>
      </x:c>
      <x:c r="B89" s="41" t="str">
        <x:v>G3-R-E048-H2</x:v>
      </x:c>
      <x:c r="C89" s="41" t="str">
        <x:v>G3-E048</x:v>
      </x:c>
      <x:c r="D89" s="41" t="str">
        <x:v>00175-H2</x:v>
      </x:c>
      <x:c r="E89" s="41" t="str">
        <x:v>吉利汽车</x:v>
      </x:c>
      <x:c r="F89" s="42" t="str">
        <x:v>​00175</x:v>
      </x:c>
      <x:c r="G89" s="41" t="str">
        <x:v>新能源汽车</x:v>
      </x:c>
      <x:c r="H89" s="42" t="str">
        <x:v>​2025-11-27T16:36:09+08:00</x:v>
      </x:c>
      <x:c r="I89" s="41" t="str">
        <x:v>平台化与规模效应改善毛利率，新能源转型不持续拖累盈利</x:v>
      </x:c>
      <x:c r="J89" s="41" t="str">
        <x:v>持续关连交易</x:v>
      </x:c>
      <x:c r="K89" s="41" t="str">
        <x:v>http://static.cninfo.com.cn/finalpage/2025-11-27/1224830298.PDF</x:v>
      </x:c>
      <x:c r="L89" s="43" t="str">
        <x:v>2-间接相关</x:v>
      </x:c>
      <x:c r="M89" s="43" t="str">
        <x:v>是</x:v>
      </x:c>
      <x:c r="N89" s="43" t="str">
        <x:v>公司订立整车及整车成套件合作制造采购协议，并约定研发服务及技术支持安排。</x:v>
      </x:c>
      <x:c r="O89" s="43" t="str">
        <x:v>公告与查询假设并非同一直接指标，但可经需求、规模、产品商业化或投入产出的一层因果链建立关系。</x:v>
      </x:c>
      <x:c r="P89" s="43" t="n">
        <x:v>4</x:v>
      </x:c>
      <x:c r="Q89" s="43" t="str">
        <x:v>无</x:v>
      </x:c>
      <x:c r="R89" s="43" t="str">
        <x:v>B-CODEX-FIN-01</x:v>
      </x:c>
      <x:c r="S89" s="49" t="str">
        <x:v>20260826T150309+08:00</x:v>
      </x:c>
    </x:row>
    <x:row r="90" ht="24" hidden="0" customHeight="1">
      <x:c r="A90" s="41" t="str">
        <x:v>89</x:v>
      </x:c>
      <x:c r="B90" s="41" t="str">
        <x:v>G3-R-E015-H2</x:v>
      </x:c>
      <x:c r="C90" s="41" t="str">
        <x:v>G3-E015</x:v>
      </x:c>
      <x:c r="D90" s="41" t="str">
        <x:v>600276-H2</x:v>
      </x:c>
      <x:c r="E90" s="41" t="str">
        <x:v>恒瑞医药</x:v>
      </x:c>
      <x:c r="F90" s="42" t="str">
        <x:v>​600276</x:v>
      </x:c>
      <x:c r="G90" s="41" t="str">
        <x:v>医药</x:v>
      </x:c>
      <x:c r="H90" s="42" t="str">
        <x:v>​2025-01-10T00:00:00+08:00</x:v>
      </x:c>
      <x:c r="I90" s="41" t="str">
        <x:v>创新药占比提升支撑高毛利率，集采降价不导致盈利持续恶化</x:v>
      </x:c>
      <x:c r="J90" s="41" t="str">
        <x:v>恒瑞医药关于药品上市许可申请获受理的提示性公告</x:v>
      </x:c>
      <x:c r="K90" s="41" t="str">
        <x:v>http://static.cninfo.com.cn/finalpage/2025-01-10/1222283951.PDF</x:v>
      </x:c>
      <x:c r="L90" s="43" t="str">
        <x:v>2-间接相关</x:v>
      </x:c>
      <x:c r="M90" s="43" t="str">
        <x:v>是</x:v>
      </x:c>
      <x:c r="N90" s="43" t="str">
        <x:v>关于药品上市许可申请获受理的提示性公告</x:v>
      </x:c>
      <x:c r="O90" s="43" t="str">
        <x:v>管线进展可经创新药占比和产品结构影响盈利质量，但尚未直接披露毛利率或集采影响。</x:v>
      </x:c>
      <x:c r="P90" s="43" t="n">
        <x:v>4</x:v>
      </x:c>
      <x:c r="Q90" s="43" t="str">
        <x:v>无</x:v>
      </x:c>
      <x:c r="R90" s="43" t="str">
        <x:v>B-CODEX-FIN-01</x:v>
      </x:c>
      <x:c r="S90" s="49" t="str">
        <x:v>20260826T150309+08:00</x:v>
      </x:c>
    </x:row>
    <x:row r="91" ht="24" hidden="0" customHeight="1">
      <x:c r="A91" s="41" t="str">
        <x:v>90</x:v>
      </x:c>
      <x:c r="B91" s="41" t="str">
        <x:v>G3-R-E044-H3</x:v>
      </x:c>
      <x:c r="C91" s="41" t="str">
        <x:v>G3-E044</x:v>
      </x:c>
      <x:c r="D91" s="41" t="str">
        <x:v>688981-H3</x:v>
      </x:c>
      <x:c r="E91" s="41" t="str">
        <x:v>中芯国际</x:v>
      </x:c>
      <x:c r="F91" s="42" t="str">
        <x:v>​688981</x:v>
      </x:c>
      <x:c r="G91" s="41" t="str">
        <x:v>芯片半导体</x:v>
      </x:c>
      <x:c r="H91" s="42" t="str">
        <x:v>​2025-11-14T00:00:00+08:00</x:v>
      </x:c>
      <x:c r="I91" s="41" t="str">
        <x:v>资本开支与扩产节奏匹配下游需求，先进制程投入不出现大额减值</x:v>
      </x:c>
      <x:c r="J91" s="41" t="str">
        <x:v>中芯国际关于2025年前三季度计提资产减值准备的公告</x:v>
      </x:c>
      <x:c r="K91" s="41" t="str">
        <x:v>http://static.cninfo.com.cn/finalpage/2025-11-14/1224804088.PDF</x:v>
      </x:c>
      <x:c r="L91" s="43" t="str">
        <x:v>3-直接相关</x:v>
      </x:c>
      <x:c r="M91" s="43" t="str">
        <x:v>是</x:v>
      </x:c>
      <x:c r="N91" s="43" t="str">
        <x:v>2025年前三季度计提信用减值及资产减值917,354千元，减少利润总额917,354千元。</x:v>
      </x:c>
      <x:c r="O91" s="43" t="str">
        <x:v>公告事实直接对应查询假设中的核心业务变量，时间边界内可建立可复核关系路径。</x:v>
      </x:c>
      <x:c r="P91" s="43" t="n">
        <x:v>5</x:v>
      </x:c>
      <x:c r="Q91" s="43" t="str">
        <x:v>无</x:v>
      </x:c>
      <x:c r="R91" s="43" t="str">
        <x:v>B-CODEX-FIN-01</x:v>
      </x:c>
      <x:c r="S91" s="49" t="str">
        <x:v>20260826T150309+08:00</x:v>
      </x:c>
    </x:row>
    <x:row r="92" ht="24" hidden="0" customHeight="1">
      <x:c r="A92" s="41" t="str">
        <x:v>91</x:v>
      </x:c>
      <x:c r="B92" s="41" t="str">
        <x:v>G3-R-E108-H1</x:v>
      </x:c>
      <x:c r="C92" s="41" t="str">
        <x:v>G3-E108</x:v>
      </x:c>
      <x:c r="D92" s="41" t="str">
        <x:v>688981-H1</x:v>
      </x:c>
      <x:c r="E92" s="41" t="str">
        <x:v>中芯国际</x:v>
      </x:c>
      <x:c r="F92" s="42" t="str">
        <x:v>​688981</x:v>
      </x:c>
      <x:c r="G92" s="41" t="str">
        <x:v>芯片半导体</x:v>
      </x:c>
      <x:c r="H92" s="42" t="str">
        <x:v>​2026-02-11T00:00:00+08:00</x:v>
      </x:c>
      <x:c r="I92" s="41" t="str">
        <x:v>成熟制程产能利用率与晶圆出货保持增长，国产替代需求是主要驱动</x:v>
      </x:c>
      <x:c r="J92" s="41" t="str">
        <x:v>中芯国际2025年第四季度业绩快报公告</x:v>
      </x:c>
      <x:c r="K92" s="41" t="str">
        <x:v>http://static.cninfo.com.cn/finalpage/2026-02-11/1224974869.PDF</x:v>
      </x:c>
      <x:c r="L92" s="43" t="str">
        <x:v>3-直接相关</x:v>
      </x:c>
      <x:c r="M92" s="43" t="str">
        <x:v>是</x:v>
      </x:c>
      <x:c r="N92" s="43" t="str">
        <x:v>2025年毛利率21.0%，同比上升3.0个百分点；年平均产能利用率93.5%，同比提升8个百分点。</x:v>
      </x:c>
      <x:c r="O92" s="43" t="str">
        <x:v>定期报告直接披露查询假设所需的收入、订单、毛利率、研发投入、产能或减值指标，可建立完整关系路径。</x:v>
      </x:c>
      <x:c r="P92" s="43" t="n">
        <x:v>5</x:v>
      </x:c>
      <x:c r="Q92" s="43" t="str">
        <x:v>无</x:v>
      </x:c>
      <x:c r="R92" s="43" t="str">
        <x:v>B-CODEX-FIN-01</x:v>
      </x:c>
      <x:c r="S92" s="49" t="str">
        <x:v>20260826T150309+08:00</x:v>
      </x:c>
    </x:row>
    <x:row r="93" ht="24" hidden="0" customHeight="1">
      <x:c r="A93" s="41" t="str">
        <x:v>92</x:v>
      </x:c>
      <x:c r="B93" s="41" t="str">
        <x:v>G3-R-E047-H1</x:v>
      </x:c>
      <x:c r="C93" s="41" t="str">
        <x:v>G3-E047</x:v>
      </x:c>
      <x:c r="D93" s="41" t="str">
        <x:v>600276-H1</x:v>
      </x:c>
      <x:c r="E93" s="41" t="str">
        <x:v>恒瑞医药</x:v>
      </x:c>
      <x:c r="F93" s="42" t="str">
        <x:v>​600276</x:v>
      </x:c>
      <x:c r="G93" s="41" t="str">
        <x:v>医药</x:v>
      </x:c>
      <x:c r="H93" s="42" t="str">
        <x:v>​2026-02-06T00:00:00+08:00</x:v>
      </x:c>
      <x:c r="I93" s="41" t="str">
        <x:v>创新药放量与授权合作收入接续仿制药集采下滑，研发管线持续推进</x:v>
      </x:c>
      <x:c r="J93" s="41" t="str">
        <x:v>恒瑞医药关于药品上市许可申请获受理的提示性公告</x:v>
      </x:c>
      <x:c r="K93" s="41" t="str">
        <x:v>http://static.cninfo.com.cn/finalpage/2026-02-06/1224968189.PDF</x:v>
      </x:c>
      <x:c r="L93" s="43" t="str">
        <x:v>3-直接相关</x:v>
      </x:c>
      <x:c r="M93" s="43" t="str">
        <x:v>是</x:v>
      </x:c>
      <x:c r="N93" s="43" t="str">
        <x:v>关于药品上市许可申请获受理的提示性公告</x:v>
      </x:c>
      <x:c r="O93" s="43" t="str">
        <x:v>药品受理、临床批准或注册获批直接证明研发管线推进，并对创新药商业化假设提供可观察事实。</x:v>
      </x:c>
      <x:c r="P93" s="43" t="n">
        <x:v>5</x:v>
      </x:c>
      <x:c r="Q93" s="43" t="str">
        <x:v>无</x:v>
      </x:c>
      <x:c r="R93" s="43" t="str">
        <x:v>B-CODEX-FIN-01</x:v>
      </x:c>
      <x:c r="S93" s="49" t="str">
        <x:v>20260826T150309+08:00</x:v>
      </x:c>
    </x:row>
    <x:row r="94" ht="24" hidden="0" customHeight="1">
      <x:c r="A94" s="41" t="str">
        <x:v>93</x:v>
      </x:c>
      <x:c r="B94" s="41" t="str">
        <x:v>G3-R-E112-H2</x:v>
      </x:c>
      <x:c r="C94" s="41" t="str">
        <x:v>G3-E112</x:v>
      </x:c>
      <x:c r="D94" s="41" t="str">
        <x:v>603259-H2</x:v>
      </x:c>
      <x:c r="E94" s="41" t="str">
        <x:v>药明康德</x:v>
      </x:c>
      <x:c r="F94" s="42" t="str">
        <x:v>​603259</x:v>
      </x:c>
      <x:c r="G94" s="41" t="str">
        <x:v>医药</x:v>
      </x:c>
      <x:c r="H94" s="42" t="str">
        <x:v>​2025-09-03T00:00:00+08:00</x:v>
      </x:c>
      <x:c r="I94" s="41" t="str">
        <x:v>产能利用率与项目结构支撑毛利率，不因价格竞争持续走低</x:v>
      </x:c>
      <x:c r="J94" s="41" t="str">
        <x:v>关于与关联方签署框架协议暨日常关联交易的公告</x:v>
      </x:c>
      <x:c r="K94" s="41" t="str">
        <x:v>http://static.cninfo.com.cn/finalpage/2025-09-03/1224634480.PDF</x:v>
      </x:c>
      <x:c r="L94" s="43" t="str">
        <x:v>2-间接相关</x:v>
      </x:c>
      <x:c r="M94" s="43" t="str">
        <x:v>是</x:v>
      </x:c>
      <x:c r="N94" s="43" t="str">
        <x:v>因有效载荷连接子服务需求增长，2025年预计交易金额由1.68亿元提升至2.00亿元。</x:v>
      </x:c>
      <x:c r="O94" s="43" t="str">
        <x:v>公告与查询假设并非同一直接指标，但可经需求、规模、产品商业化或投入产出的一层因果链建立关系。</x:v>
      </x:c>
      <x:c r="P94" s="43" t="n">
        <x:v>4</x:v>
      </x:c>
      <x:c r="Q94" s="43" t="str">
        <x:v>无</x:v>
      </x:c>
      <x:c r="R94" s="43" t="str">
        <x:v>B-CODEX-FIN-01</x:v>
      </x:c>
      <x:c r="S94" s="49" t="str">
        <x:v>20260826T150309+08:00</x:v>
      </x:c>
    </x:row>
    <x:row r="95" ht="24" hidden="0" customHeight="1">
      <x:c r="A95" s="41" t="str">
        <x:v>94</x:v>
      </x:c>
      <x:c r="B95" s="41" t="str">
        <x:v>G3-R-E105-H1</x:v>
      </x:c>
      <x:c r="C95" s="41" t="str">
        <x:v>G3-E105</x:v>
      </x:c>
      <x:c r="D95" s="41" t="str">
        <x:v>000538-H1</x:v>
      </x:c>
      <x:c r="E95" s="41" t="str">
        <x:v>云南白药</x:v>
      </x:c>
      <x:c r="F95" s="42" t="str">
        <x:v>​000538</x:v>
      </x:c>
      <x:c r="G95" s="41" t="str">
        <x:v>医药</x:v>
      </x:c>
      <x:c r="H95" s="42" t="str">
        <x:v>​2025-06-18T00:00:00+08:00</x:v>
      </x:c>
      <x:c r="I95" s="41" t="str">
        <x:v>工业药品与健康品渠道保持稳定，不出现持续负增长</x:v>
      </x:c>
      <x:c r="J95" s="41" t="str">
        <x:v>2025-20 关于JZ-14胶囊获得药物临床试验批准的公告</x:v>
      </x:c>
      <x:c r="K95" s="41" t="str">
        <x:v>http://static.cninfo.com.cn/finalpage/2025-06-18/1223899598.PDF</x:v>
      </x:c>
      <x:c r="L95" s="43" t="str">
        <x:v>3-直接相关</x:v>
      </x:c>
      <x:c r="M95" s="43" t="str">
        <x:v>是</x:v>
      </x:c>
      <x:c r="N95" s="43" t="str">
        <x:v>年 3 月 25 日受理的 JZ-14 胶囊临床试验申请符合药品注册的有关要求，同意</x:v>
      </x:c>
      <x:c r="O95" s="43" t="str">
        <x:v>药品受理、临床批准或注册获批直接证明研发管线推进，并对创新药商业化假设提供可观察事实。</x:v>
      </x:c>
      <x:c r="P95" s="43" t="n">
        <x:v>5</x:v>
      </x:c>
      <x:c r="Q95" s="43" t="str">
        <x:v>无</x:v>
      </x:c>
      <x:c r="R95" s="43" t="str">
        <x:v>B-CODEX-FIN-01</x:v>
      </x:c>
      <x:c r="S95" s="49" t="str">
        <x:v>20260826T150309+08:00</x:v>
      </x:c>
    </x:row>
    <x:row r="96" ht="24" hidden="0" customHeight="1">
      <x:c r="A96" s="41" t="str">
        <x:v>95</x:v>
      </x:c>
      <x:c r="B96" s="41" t="str">
        <x:v>G3-R-E059-H2</x:v>
      </x:c>
      <x:c r="C96" s="41" t="str">
        <x:v>G3-E059</x:v>
      </x:c>
      <x:c r="D96" s="41" t="str">
        <x:v>002371-H2</x:v>
      </x:c>
      <x:c r="E96" s="41" t="str">
        <x:v>北方华创</x:v>
      </x:c>
      <x:c r="F96" s="42" t="str">
        <x:v>​002371</x:v>
      </x:c>
      <x:c r="G96" s="41" t="str">
        <x:v>芯片半导体</x:v>
      </x:c>
      <x:c r="H96" s="42" t="str">
        <x:v>​2025-10-31T00:00:00+08:00</x:v>
      </x:c>
      <x:c r="I96" s="41" t="str">
        <x:v>规模效应与国产化推进支撑毛利率，不因竞争加剧显著下滑</x:v>
      </x:c>
      <x:c r="J96" s="41" t="str">
        <x:v>募集资金管理办法（2025年10月)</x:v>
      </x:c>
      <x:c r="K96" s="41" t="str">
        <x:v>http://static.cninfo.com.cn/finalpage/2025-10-31/1224774330.PDF</x:v>
      </x:c>
      <x:c r="L96" s="43" t="str">
        <x:v>0-无关</x:v>
      </x:c>
      <x:c r="M96" s="43" t="str">
        <x:v>否</x:v>
      </x:c>
      <x:c r="N96" s="43" t="str"/>
      <x:c r="O96" s="43" t="str">
        <x:v>候选公告属于治理、证券变动或程序性披露，不回答该查询假设，也不提供有效业务关系证据。</x:v>
      </x:c>
      <x:c r="P96" s="43" t="n">
        <x:v>5</x:v>
      </x:c>
      <x:c r="Q96" s="43" t="str">
        <x:v>无</x:v>
      </x:c>
      <x:c r="R96" s="43" t="str">
        <x:v>B-CODEX-FIN-01</x:v>
      </x:c>
      <x:c r="S96" s="49" t="str">
        <x:v>20260826T150309+08:00</x:v>
      </x:c>
    </x:row>
    <x:row r="97" ht="36" hidden="0" customHeight="1">
      <x:c r="A97" s="41" t="str">
        <x:v>96</x:v>
      </x:c>
      <x:c r="B97" s="41" t="str">
        <x:v>G3-R-E031-H2</x:v>
      </x:c>
      <x:c r="C97" s="41" t="str">
        <x:v>G3-E031</x:v>
      </x:c>
      <x:c r="D97" s="41" t="str">
        <x:v>603259-H2</x:v>
      </x:c>
      <x:c r="E97" s="41" t="str">
        <x:v>药明康德</x:v>
      </x:c>
      <x:c r="F97" s="42" t="str">
        <x:v>​603259</x:v>
      </x:c>
      <x:c r="G97" s="41" t="str">
        <x:v>医药</x:v>
      </x:c>
      <x:c r="H97" s="42" t="str">
        <x:v>​2024-01-03T00:00:00+08:00</x:v>
      </x:c>
      <x:c r="I97" s="41" t="str">
        <x:v>产能利用率与项目结构支撑毛利率，不因价格竞争持续走低</x:v>
      </x:c>
      <x:c r="J97" s="41" t="str">
        <x:v>关于2019年限制性股票与股票期权激励计划首次授予股票期权2023年第四季度自主行权结果暨股份变动公告</x:v>
      </x:c>
      <x:c r="K97" s="41" t="str">
        <x:v>http://static.cninfo.com.cn/finalpage/2024-01-03/1218791594.PDF</x:v>
      </x:c>
      <x:c r="L97" s="43" t="str">
        <x:v>0-无关</x:v>
      </x:c>
      <x:c r="M97" s="43" t="str">
        <x:v>否</x:v>
      </x:c>
      <x:c r="N97" s="43" t="str"/>
      <x:c r="O97" s="43" t="str">
        <x:v>候选公告属于治理、证券变动或程序性披露，不回答该查询假设，也不提供有效业务关系证据。</x:v>
      </x:c>
      <x:c r="P97" s="43" t="n">
        <x:v>5</x:v>
      </x:c>
      <x:c r="Q97" s="43" t="str">
        <x:v>无</x:v>
      </x:c>
      <x:c r="R97" s="43" t="str">
        <x:v>B-CODEX-FIN-01</x:v>
      </x:c>
      <x:c r="S97" s="49" t="str">
        <x:v>20260826T150309+08:00</x:v>
      </x:c>
    </x:row>
    <x:row r="98" ht="24" hidden="0" customHeight="1">
      <x:c r="A98" s="41" t="str">
        <x:v>97</x:v>
      </x:c>
      <x:c r="B98" s="41" t="str">
        <x:v>G3-R-E028-H1</x:v>
      </x:c>
      <x:c r="C98" s="41" t="str">
        <x:v>G3-E028</x:v>
      </x:c>
      <x:c r="D98" s="41" t="str">
        <x:v>09868-H1</x:v>
      </x:c>
      <x:c r="E98" s="41" t="str">
        <x:v>小鹏汽车</x:v>
      </x:c>
      <x:c r="F98" s="42" t="str">
        <x:v>​09868</x:v>
      </x:c>
      <x:c r="G98" s="41" t="str">
        <x:v>新能源汽车</x:v>
      </x:c>
      <x:c r="H98" s="42" t="str">
        <x:v>​2026-01-01T18:52:07+08:00</x:v>
      </x:c>
      <x:c r="I98" s="41" t="str">
        <x:v>智能车交付量保持增长，新车型周期带动需求回升</x:v>
      </x:c>
      <x:c r="J98" s="41" t="str">
        <x:v>自愿公告2025年12 月及第四季度智能车交付数据</x:v>
      </x:c>
      <x:c r="K98" s="41" t="str">
        <x:v>http://static.cninfo.com.cn/finalpage/2026-01-01/1224915704.PDF</x:v>
      </x:c>
      <x:c r="L98" s="43" t="str">
        <x:v>3-直接相关</x:v>
      </x:c>
      <x:c r="M98" s="43" t="str">
        <x:v>是</x:v>
      </x:c>
      <x:c r="N98" s="43" t="str">
        <x:v>2025年12月，小鹏汽车共交付智能电动汽车37,508辆，同比增长2%。</x:v>
      </x:c>
      <x:c r="O98" s="43" t="str">
        <x:v>公告事实直接对应查询假设中的核心业务变量，时间边界内可建立可复核关系路径。</x:v>
      </x:c>
      <x:c r="P98" s="43" t="n">
        <x:v>5</x:v>
      </x:c>
      <x:c r="Q98" s="43" t="str">
        <x:v>无</x:v>
      </x:c>
      <x:c r="R98" s="43" t="str">
        <x:v>B-CODEX-FIN-01</x:v>
      </x:c>
      <x:c r="S98" s="49" t="str">
        <x:v>20260826T150309+08:00</x:v>
      </x:c>
    </x:row>
    <x:row r="99" ht="24" hidden="0" customHeight="1">
      <x:c r="A99" s="41" t="str">
        <x:v>98</x:v>
      </x:c>
      <x:c r="B99" s="41" t="str">
        <x:v>G3-R-E118-H1</x:v>
      </x:c>
      <x:c r="C99" s="41" t="str">
        <x:v>G3-E118</x:v>
      </x:c>
      <x:c r="D99" s="41" t="str">
        <x:v>603986-H1</x:v>
      </x:c>
      <x:c r="E99" s="41" t="str">
        <x:v>兆易创新</x:v>
      </x:c>
      <x:c r="F99" s="42" t="str">
        <x:v>​603986</x:v>
      </x:c>
      <x:c r="G99" s="41" t="str">
        <x:v>芯片半导体</x:v>
      </x:c>
      <x:c r="H99" s="42" t="str">
        <x:v>​2025-08-23T00:00:00+08:00</x:v>
      </x:c>
      <x:c r="I99" s="41" t="str">
        <x:v>存储与 MCU 需求随消费电子与工业复苏回升，库存周期见底</x:v>
      </x:c>
      <x:c r="J99" s="41" t="str">
        <x:v>兆易创新2025年半年度报告摘要</x:v>
      </x:c>
      <x:c r="K99" s="41" t="str">
        <x:v>http://static.cninfo.com.cn/finalpage/2025-08-23/1224559705.PDF</x:v>
      </x:c>
      <x:c r="L99" s="43" t="str">
        <x:v>3-直接相关</x:v>
      </x:c>
      <x:c r="M99" s="43" t="str">
        <x:v>是</x:v>
      </x:c>
      <x:c r="N99" s="43" t="str">
        <x:v>2025年上半年营业收入4,150,308,632.88元，同比增长15.00%。</x:v>
      </x:c>
      <x:c r="O99" s="43" t="str">
        <x:v>定期报告直接披露查询假设所需的收入、订单、毛利率、研发投入、产能或减值指标，可建立完整关系路径。</x:v>
      </x:c>
      <x:c r="P99" s="43" t="n">
        <x:v>5</x:v>
      </x:c>
      <x:c r="Q99" s="43" t="str">
        <x:v>无</x:v>
      </x:c>
      <x:c r="R99" s="43" t="str">
        <x:v>B-CODEX-FIN-01</x:v>
      </x:c>
      <x:c r="S99" s="49" t="str">
        <x:v>20260826T150309+08:00</x:v>
      </x:c>
    </x:row>
    <x:row r="100" ht="24" hidden="0" customHeight="1">
      <x:c r="A100" s="41" t="str">
        <x:v>99</x:v>
      </x:c>
      <x:c r="B100" s="41" t="str">
        <x:v>G3-R-E070-H3</x:v>
      </x:c>
      <x:c r="C100" s="41" t="str">
        <x:v>G3-E070</x:v>
      </x:c>
      <x:c r="D100" s="41" t="str">
        <x:v>600276-H3</x:v>
      </x:c>
      <x:c r="E100" s="41" t="str">
        <x:v>恒瑞医药</x:v>
      </x:c>
      <x:c r="F100" s="42" t="str">
        <x:v>​600276</x:v>
      </x:c>
      <x:c r="G100" s="41" t="str">
        <x:v>医药</x:v>
      </x:c>
      <x:c r="H100" s="42" t="str">
        <x:v>​2024-04-10T00:00:00+08:00</x:v>
      </x:c>
      <x:c r="I100" s="41" t="str">
        <x:v>研发投入强度维持，管线推进不出现关键品种研发失败</x:v>
      </x:c>
      <x:c r="J100" s="41" t="str">
        <x:v>恒瑞医药关于获得药物临床试验批准通知书的公告</x:v>
      </x:c>
      <x:c r="K100" s="41" t="str">
        <x:v>http://static.cninfo.com.cn/finalpage/2024-04-10/1219549275.PDF</x:v>
      </x:c>
      <x:c r="L100" s="43" t="str">
        <x:v>3-直接相关</x:v>
      </x:c>
      <x:c r="M100" s="43" t="str">
        <x:v>是</x:v>
      </x:c>
      <x:c r="N100" s="43" t="str">
        <x:v>根据我国药品注册相关的法律法规要求， 药物在获得药物临床试验批准通知</x:v>
      </x:c>
      <x:c r="O100" s="43" t="str">
        <x:v>药品受理、临床批准或注册获批直接证明研发管线推进，并对创新药商业化假设提供可观察事实。</x:v>
      </x:c>
      <x:c r="P100" s="43" t="n">
        <x:v>5</x:v>
      </x:c>
      <x:c r="Q100" s="43" t="str">
        <x:v>无</x:v>
      </x:c>
      <x:c r="R100" s="43" t="str">
        <x:v>B-CODEX-FIN-01</x:v>
      </x:c>
      <x:c r="S100" s="49" t="str">
        <x:v>20260826T150309+08:00</x:v>
      </x:c>
    </x:row>
    <x:row r="101" ht="24" hidden="0" customHeight="1">
      <x:c r="A101" s="41" t="str">
        <x:v>100</x:v>
      </x:c>
      <x:c r="B101" s="41" t="str">
        <x:v>G3-R-E118-H3</x:v>
      </x:c>
      <x:c r="C101" s="41" t="str">
        <x:v>G3-E118</x:v>
      </x:c>
      <x:c r="D101" s="41" t="str">
        <x:v>603986-H3</x:v>
      </x:c>
      <x:c r="E101" s="41" t="str">
        <x:v>兆易创新</x:v>
      </x:c>
      <x:c r="F101" s="42" t="str">
        <x:v>​603986</x:v>
      </x:c>
      <x:c r="G101" s="41" t="str">
        <x:v>芯片半导体</x:v>
      </x:c>
      <x:c r="H101" s="42" t="str">
        <x:v>​2025-08-23T00:00:00+08:00</x:v>
      </x:c>
      <x:c r="I101" s="41" t="str">
        <x:v>新品研发与产能储备按计划推进，不出现存货大额跌价</x:v>
      </x:c>
      <x:c r="J101" s="41" t="str">
        <x:v>兆易创新2025年半年度报告摘要</x:v>
      </x:c>
      <x:c r="K101" s="41" t="str">
        <x:v>http://static.cninfo.com.cn/finalpage/2025-08-23/1224559705.PDF</x:v>
      </x:c>
      <x:c r="L101" s="43" t="str">
        <x:v>3-直接相关</x:v>
      </x:c>
      <x:c r="M101" s="43" t="str">
        <x:v>是</x:v>
      </x:c>
      <x:c r="N101" s="43" t="str">
        <x:v>2025年上半年营业收入4,150,308,632.88元，同比增长15.00%。</x:v>
      </x:c>
      <x:c r="O101" s="43" t="str">
        <x:v>定期报告直接披露查询假设所需的收入、订单、毛利率、研发投入、产能或减值指标，可建立完整关系路径。</x:v>
      </x:c>
      <x:c r="P101" s="43" t="n">
        <x:v>5</x:v>
      </x:c>
      <x:c r="Q101" s="43" t="str">
        <x:v>无</x:v>
      </x:c>
      <x:c r="R101" s="43" t="str">
        <x:v>B-CODEX-FIN-01</x:v>
      </x:c>
      <x:c r="S101" s="49" t="str">
        <x:v>20260826T150309+08:00</x:v>
      </x:c>
    </x:row>
    <x:row r="102" ht="24" hidden="0" customHeight="1">
      <x:c r="A102" s="41" t="str">
        <x:v>101</x:v>
      </x:c>
      <x:c r="B102" s="41" t="str">
        <x:v>G3-R-E081-H2</x:v>
      </x:c>
      <x:c r="C102" s="41" t="str">
        <x:v>G3-E081</x:v>
      </x:c>
      <x:c r="D102" s="41" t="str">
        <x:v>09868-H2</x:v>
      </x:c>
      <x:c r="E102" s="41" t="str">
        <x:v>小鹏汽车</x:v>
      </x:c>
      <x:c r="F102" s="42" t="str">
        <x:v>​09868</x:v>
      </x:c>
      <x:c r="G102" s="41" t="str">
        <x:v>新能源汽车</x:v>
      </x:c>
      <x:c r="H102" s="42" t="str">
        <x:v>​2025-03-03T19:18:14+08:00</x:v>
      </x:c>
      <x:c r="I102" s="41" t="str">
        <x:v>毛利率随规模与技术服务收入改善，不回落到历史低位</x:v>
      </x:c>
      <x:c r="J102" s="41" t="str">
        <x:v>自愿公告2025年2月智能车交付数据</x:v>
      </x:c>
      <x:c r="K102" s="41" t="str">
        <x:v>http://static.cninfo.com.cn/finalpage/2025-03-03/1222693592.PDF</x:v>
      </x:c>
      <x:c r="L102" s="43" t="str">
        <x:v>2-间接相关</x:v>
      </x:c>
      <x:c r="M102" s="43" t="str">
        <x:v>是</x:v>
      </x:c>
      <x:c r="N102" s="43" t="str">
        <x:v>2025年2月，小鹏汽车共交付智能电动汽车30,453辆，同比增长570%。</x:v>
      </x:c>
      <x:c r="O102" s="43" t="str">
        <x:v>公告与查询假设并非同一直接指标，但可经需求、规模、产品商业化或投入产出的一层因果链建立关系。</x:v>
      </x:c>
      <x:c r="P102" s="43" t="n">
        <x:v>4</x:v>
      </x:c>
      <x:c r="Q102" s="43" t="str">
        <x:v>无</x:v>
      </x:c>
      <x:c r="R102" s="43" t="str">
        <x:v>B-CODEX-FIN-01</x:v>
      </x:c>
      <x:c r="S102" s="49" t="str">
        <x:v>20260826T150309+08:00</x:v>
      </x:c>
    </x:row>
    <x:row r="103" ht="24" hidden="0" customHeight="1">
      <x:c r="A103" s="41" t="str">
        <x:v>102</x:v>
      </x:c>
      <x:c r="B103" s="41" t="str">
        <x:v>G3-R-E098-H1</x:v>
      </x:c>
      <x:c r="C103" s="41" t="str">
        <x:v>G3-E098</x:v>
      </x:c>
      <x:c r="D103" s="41" t="str">
        <x:v>00175-H1</x:v>
      </x:c>
      <x:c r="E103" s="41" t="str">
        <x:v>吉利汽车</x:v>
      </x:c>
      <x:c r="F103" s="42" t="str">
        <x:v>​00175</x:v>
      </x:c>
      <x:c r="G103" s="41" t="str">
        <x:v>新能源汽车</x:v>
      </x:c>
      <x:c r="H103" s="42" t="str">
        <x:v>​2024-02-01T17:06:22+08:00</x:v>
      </x:c>
      <x:c r="I103" s="41" t="str">
        <x:v>新能源车型销量放量带动整体销量增长，出口贡献增量</x:v>
      </x:c>
      <x:c r="J103" s="41" t="str">
        <x:v>未经审核之二零二四年一月销量</x:v>
      </x:c>
      <x:c r="K103" s="41" t="str">
        <x:v>http://static.cninfo.com.cn/finalpage/2024-02-01/1219065223.PDF</x:v>
      </x:c>
      <x:c r="L103" s="43" t="str">
        <x:v>3-直接相关</x:v>
      </x:c>
      <x:c r="M103" s="43" t="str">
        <x:v>是</x:v>
      </x:c>
      <x:c r="N103" s="43" t="str">
        <x:v>本集团于二零二四年一月之总销量为213,487部汽车，较去年同期增长约110%。</x:v>
      </x:c>
      <x:c r="O103" s="43" t="str">
        <x:v>公告事实直接对应查询假设中的核心业务变量，时间边界内可建立可复核关系路径。</x:v>
      </x:c>
      <x:c r="P103" s="43" t="n">
        <x:v>5</x:v>
      </x:c>
      <x:c r="Q103" s="43" t="str">
        <x:v>无</x:v>
      </x:c>
      <x:c r="R103" s="43" t="str">
        <x:v>B-CODEX-FIN-01</x:v>
      </x:c>
      <x:c r="S103" s="49" t="str">
        <x:v>20260826T150309+08:00</x:v>
      </x:c>
    </x:row>
    <x:row r="104" ht="24" hidden="0" customHeight="1">
      <x:c r="A104" s="41" t="str">
        <x:v>103</x:v>
      </x:c>
      <x:c r="B104" s="41" t="str">
        <x:v>G3-R-E041-H1</x:v>
      </x:c>
      <x:c r="C104" s="41" t="str">
        <x:v>G3-E041</x:v>
      </x:c>
      <x:c r="D104" s="41" t="str">
        <x:v>000538-H1</x:v>
      </x:c>
      <x:c r="E104" s="41" t="str">
        <x:v>云南白药</x:v>
      </x:c>
      <x:c r="F104" s="42" t="str">
        <x:v>​000538</x:v>
      </x:c>
      <x:c r="G104" s="41" t="str">
        <x:v>医药</x:v>
      </x:c>
      <x:c r="H104" s="42" t="str">
        <x:v>​2025-12-31T18:54:32+08:00</x:v>
      </x:c>
      <x:c r="I104" s="41" t="str">
        <x:v>工业药品与健康品渠道保持稳定，不出现持续负增长</x:v>
      </x:c>
      <x:c r="J104" s="41" t="str">
        <x:v>关于2026年度预计日常关联交易的公告</x:v>
      </x:c>
      <x:c r="K104" s="41" t="str">
        <x:v>http://static.cninfo.com.cn/finalpage/2025-12-31/1224913542.PDF</x:v>
      </x:c>
      <x:c r="L104" s="43" t="str">
        <x:v>2-间接相关</x:v>
      </x:c>
      <x:c r="M104" s="43" t="str">
        <x:v>是</x:v>
      </x:c>
      <x:c r="N104" s="43" t="str">
        <x:v>2025年日常关联交易发生总额109,929.20万元，2026年交易为正常经营需要。</x:v>
      </x:c>
      <x:c r="O104" s="43" t="str">
        <x:v>公告通过一层清晰业务因果链影响查询假设，路径可成立但并非直接指标。</x:v>
      </x:c>
      <x:c r="P104" s="43" t="n">
        <x:v>4</x:v>
      </x:c>
      <x:c r="Q104" s="43" t="str">
        <x:v>无</x:v>
      </x:c>
      <x:c r="R104" s="43" t="str">
        <x:v>B-CODEX-FIN-01</x:v>
      </x:c>
      <x:c r="S104" s="49" t="str">
        <x:v>20260826T150309+08:00</x:v>
      </x:c>
    </x:row>
    <x:row r="105" ht="24" hidden="0" customHeight="1">
      <x:c r="A105" s="41" t="str">
        <x:v>104</x:v>
      </x:c>
      <x:c r="B105" s="41" t="str">
        <x:v>G3-R-E009-H1</x:v>
      </x:c>
      <x:c r="C105" s="41" t="str">
        <x:v>G3-E009</x:v>
      </x:c>
      <x:c r="D105" s="41" t="str">
        <x:v>002594-H1</x:v>
      </x:c>
      <x:c r="E105" s="41" t="str">
        <x:v>比亚迪</x:v>
      </x:c>
      <x:c r="F105" s="42" t="str">
        <x:v>​002594</x:v>
      </x:c>
      <x:c r="G105" s="41" t="str">
        <x:v>新能源汽车</x:v>
      </x:c>
      <x:c r="H105" s="42" t="str">
        <x:v>​2024-11-02T00:00:00+08:00</x:v>
      </x:c>
      <x:c r="I105" s="41" t="str">
        <x:v>新能源汽车销量保持增长，出口占比提升对冲国内价格压力</x:v>
      </x:c>
      <x:c r="J105" s="41" t="str">
        <x:v>2024年10月产销快报</x:v>
      </x:c>
      <x:c r="K105" s="41" t="str">
        <x:v>http://static.cninfo.com.cn/finalpage/2024-11-02/1221604106.PDF</x:v>
      </x:c>
      <x:c r="L105" s="43" t="str">
        <x:v>3-直接相关</x:v>
      </x:c>
      <x:c r="M105" s="43" t="str">
        <x:v>是</x:v>
      </x:c>
      <x:c r="N105" s="43" t="str">
        <x:v>新能源汽车本年累计销量3,250,532辆，去年累计2,381,471辆，累计同比36.49%。</x:v>
      </x:c>
      <x:c r="O105" s="43" t="str">
        <x:v>公告事实直接对应查询假设中的核心业务变量，时间边界内可建立可复核关系路径。</x:v>
      </x:c>
      <x:c r="P105" s="43" t="n">
        <x:v>5</x:v>
      </x:c>
      <x:c r="Q105" s="43" t="str">
        <x:v>无</x:v>
      </x:c>
      <x:c r="R105" s="43" t="str">
        <x:v>B-CODEX-FIN-01</x:v>
      </x:c>
      <x:c r="S105" s="49" t="str">
        <x:v>20260826T150309+08:00</x:v>
      </x:c>
    </x:row>
    <x:row r="106" ht="24" hidden="0" customHeight="1">
      <x:c r="A106" s="41" t="str">
        <x:v>105</x:v>
      </x:c>
      <x:c r="B106" s="41" t="str">
        <x:v>G3-R-E100-H1</x:v>
      </x:c>
      <x:c r="C106" s="41" t="str">
        <x:v>G3-E100</x:v>
      </x:c>
      <x:c r="D106" s="41" t="str">
        <x:v>603986-H1</x:v>
      </x:c>
      <x:c r="E106" s="41" t="str">
        <x:v>兆易创新</x:v>
      </x:c>
      <x:c r="F106" s="42" t="str">
        <x:v>​603986</x:v>
      </x:c>
      <x:c r="G106" s="41" t="str">
        <x:v>芯片半导体</x:v>
      </x:c>
      <x:c r="H106" s="42" t="str">
        <x:v>​2026-05-27T00:00:00+08:00</x:v>
      </x:c>
      <x:c r="I106" s="41" t="str">
        <x:v>存储与 MCU 需求随消费电子与工业复苏回升，库存周期见底</x:v>
      </x:c>
      <x:c r="J106" s="41" t="str">
        <x:v>兆易创新关于调整2024年股票期权激励计划相关事项的公告</x:v>
      </x:c>
      <x:c r="K106" s="41" t="str">
        <x:v>http://static.cninfo.com.cn/finalpage/2026-05-27/1225331853.PDF</x:v>
      </x:c>
      <x:c r="L106" s="43" t="str">
        <x:v>0-无关</x:v>
      </x:c>
      <x:c r="M106" s="43" t="str">
        <x:v>否</x:v>
      </x:c>
      <x:c r="N106" s="43" t="str"/>
      <x:c r="O106" s="43" t="str">
        <x:v>候选公告属于治理、证券变动或程序性披露，不回答该查询假设，也不提供有效业务关系证据。</x:v>
      </x:c>
      <x:c r="P106" s="43" t="n">
        <x:v>5</x:v>
      </x:c>
      <x:c r="Q106" s="43" t="str">
        <x:v>无</x:v>
      </x:c>
      <x:c r="R106" s="43" t="str">
        <x:v>B-CODEX-FIN-01</x:v>
      </x:c>
      <x:c r="S106" s="49" t="str">
        <x:v>20260826T150309+08:00</x:v>
      </x:c>
    </x:row>
    <x:row r="107" ht="24" hidden="0" customHeight="1">
      <x:c r="A107" s="41" t="str">
        <x:v>106</x:v>
      </x:c>
      <x:c r="B107" s="41" t="str">
        <x:v>G3-R-E075-H2</x:v>
      </x:c>
      <x:c r="C107" s="41" t="str">
        <x:v>G3-E075</x:v>
      </x:c>
      <x:c r="D107" s="41" t="str">
        <x:v>603259-H2</x:v>
      </x:c>
      <x:c r="E107" s="41" t="str">
        <x:v>药明康德</x:v>
      </x:c>
      <x:c r="F107" s="42" t="str">
        <x:v>​603259</x:v>
      </x:c>
      <x:c r="G107" s="41" t="str">
        <x:v>医药</x:v>
      </x:c>
      <x:c r="H107" s="42" t="str">
        <x:v>​2026-04-28T00:00:00+08:00</x:v>
      </x:c>
      <x:c r="I107" s="41" t="str">
        <x:v>产能利用率与项目结构支撑毛利率，不因价格竞争持续走低</x:v>
      </x:c>
      <x:c r="J107" s="41" t="str">
        <x:v>2026年第一季度报告</x:v>
      </x:c>
      <x:c r="K107" s="41" t="str">
        <x:v>http://static.cninfo.com.cn/finalpage/2026-04-28/1225200544.PDF</x:v>
      </x:c>
      <x:c r="L107" s="43" t="str">
        <x:v>3-直接相关</x:v>
      </x:c>
      <x:c r="M107" s="43" t="str">
        <x:v>是</x:v>
      </x:c>
      <x:c r="N107" s="43" t="str">
        <x:v>2026年第一季度营业收入同比增长28.8%，持续经营业务在手订单同比增长23.6%。</x:v>
      </x:c>
      <x:c r="O107" s="43" t="str">
        <x:v>定期报告直接披露查询假设所需的收入、订单、毛利率、研发投入、产能或减值指标，可建立完整关系路径。</x:v>
      </x:c>
      <x:c r="P107" s="43" t="n">
        <x:v>5</x:v>
      </x:c>
      <x:c r="Q107" s="43" t="str">
        <x:v>无</x:v>
      </x:c>
      <x:c r="R107" s="43" t="str">
        <x:v>B-CODEX-FIN-01</x:v>
      </x:c>
      <x:c r="S107" s="49" t="str">
        <x:v>20260826T150309+08:00</x:v>
      </x:c>
    </x:row>
    <x:row r="108" ht="24" hidden="0" customHeight="1">
      <x:c r="A108" s="41" t="str">
        <x:v>107</x:v>
      </x:c>
      <x:c r="B108" s="41" t="str">
        <x:v>G3-R-E035-H3</x:v>
      </x:c>
      <x:c r="C108" s="41" t="str">
        <x:v>G3-E035</x:v>
      </x:c>
      <x:c r="D108" s="41" t="str">
        <x:v>600276-H3</x:v>
      </x:c>
      <x:c r="E108" s="41" t="str">
        <x:v>恒瑞医药</x:v>
      </x:c>
      <x:c r="F108" s="42" t="str">
        <x:v>​600276</x:v>
      </x:c>
      <x:c r="G108" s="41" t="str">
        <x:v>医药</x:v>
      </x:c>
      <x:c r="H108" s="42" t="str">
        <x:v>​2024-05-22T00:00:00+08:00</x:v>
      </x:c>
      <x:c r="I108" s="41" t="str">
        <x:v>研发投入强度维持，管线推进不出现关键品种研发失败</x:v>
      </x:c>
      <x:c r="J108" s="41" t="str">
        <x:v>恒瑞医药关于获得药品注册证书的公告</x:v>
      </x:c>
      <x:c r="K108" s="41" t="str">
        <x:v>http://static.cninfo.com.cn/finalpage/2024-05-22/1220121916.PDF</x:v>
      </x:c>
      <x:c r="L108" s="43" t="str">
        <x:v>3-直接相关</x:v>
      </x:c>
      <x:c r="M108" s="43" t="str">
        <x:v>是</x:v>
      </x:c>
      <x:c r="N108" s="43" t="str">
        <x:v>批准公司研发的1 类新药、PARP 抑制剂氟唑帕利胶囊新适应症上市,这是氟唑帕</x:v>
      </x:c>
      <x:c r="O108" s="43" t="str">
        <x:v>药品受理、临床批准或注册获批直接证明研发管线推进，并对创新药商业化假设提供可观察事实。</x:v>
      </x:c>
      <x:c r="P108" s="43" t="n">
        <x:v>5</x:v>
      </x:c>
      <x:c r="Q108" s="43" t="str">
        <x:v>无</x:v>
      </x:c>
      <x:c r="R108" s="43" t="str">
        <x:v>B-CODEX-FIN-01</x:v>
      </x:c>
      <x:c r="S108" s="49" t="str">
        <x:v>20260826T150309+08:00</x:v>
      </x:c>
    </x:row>
    <x:row r="109" ht="24" hidden="0" customHeight="1">
      <x:c r="A109" s="41" t="str">
        <x:v>108</x:v>
      </x:c>
      <x:c r="B109" s="41" t="str">
        <x:v>G3-R-E058-H2</x:v>
      </x:c>
      <x:c r="C109" s="41" t="str">
        <x:v>G3-E058</x:v>
      </x:c>
      <x:c r="D109" s="41" t="str">
        <x:v>002371-H2</x:v>
      </x:c>
      <x:c r="E109" s="41" t="str">
        <x:v>北方华创</x:v>
      </x:c>
      <x:c r="F109" s="42" t="str">
        <x:v>​002371</x:v>
      </x:c>
      <x:c r="G109" s="41" t="str">
        <x:v>芯片半导体</x:v>
      </x:c>
      <x:c r="H109" s="42" t="str">
        <x:v>​2025-04-26T00:00:00+08:00</x:v>
      </x:c>
      <x:c r="I109" s="41" t="str">
        <x:v>规模效应与国产化推进支撑毛利率，不因竞争加剧显著下滑</x:v>
      </x:c>
      <x:c r="J109" s="41" t="str">
        <x:v>2025年一季度报告</x:v>
      </x:c>
      <x:c r="K109" s="41" t="str">
        <x:v>http://static.cninfo.com.cn/finalpage/2025-04-26/1223309242.PDF</x:v>
      </x:c>
      <x:c r="L109" s="43" t="str">
        <x:v>3-直接相关</x:v>
      </x:c>
      <x:c r="M109" s="43" t="str">
        <x:v>是</x:v>
      </x:c>
      <x:c r="N109" s="43" t="str">
        <x:v>2025年1-3月营业收入8,206,029,208.83元，同比增长37.90%；归母净利润同比增长38.80%。</x:v>
      </x:c>
      <x:c r="O109" s="43" t="str">
        <x:v>定期报告直接披露查询假设所需的收入、订单、毛利率、研发投入、产能或减值指标，可建立完整关系路径。</x:v>
      </x:c>
      <x:c r="P109" s="43" t="n">
        <x:v>5</x:v>
      </x:c>
      <x:c r="Q109" s="43" t="str">
        <x:v>无</x:v>
      </x:c>
      <x:c r="R109" s="43" t="str">
        <x:v>B-CODEX-FIN-01</x:v>
      </x:c>
      <x:c r="S109" s="49" t="str">
        <x:v>20260826T150309+08:00</x:v>
      </x:c>
    </x:row>
    <x:row r="110" ht="24" hidden="0" customHeight="1">
      <x:c r="A110" s="41" t="str">
        <x:v>109</x:v>
      </x:c>
      <x:c r="B110" s="41" t="str">
        <x:v>G3-R-E049-H2</x:v>
      </x:c>
      <x:c r="C110" s="41" t="str">
        <x:v>G3-E049</x:v>
      </x:c>
      <x:c r="D110" s="41" t="str">
        <x:v>002594-H2</x:v>
      </x:c>
      <x:c r="E110" s="41" t="str">
        <x:v>比亚迪</x:v>
      </x:c>
      <x:c r="F110" s="42" t="str">
        <x:v>​002594</x:v>
      </x:c>
      <x:c r="G110" s="41" t="str">
        <x:v>新能源汽车</x:v>
      </x:c>
      <x:c r="H110" s="42" t="str">
        <x:v>​2024-03-02T00:00:00+08:00</x:v>
      </x:c>
      <x:c r="I110" s="41" t="str">
        <x:v>规模效应与垂直一体化维持毛利率，价格战不导致盈利持续恶化</x:v>
      </x:c>
      <x:c r="J110" s="41" t="str">
        <x:v>关于持股5%以上股东部分股份质押的公告</x:v>
      </x:c>
      <x:c r="K110" s="41" t="str">
        <x:v>http://static.cninfo.com.cn/finalpage/2024-03-02/1219219982.PDF</x:v>
      </x:c>
      <x:c r="L110" s="43" t="str">
        <x:v>0-无关</x:v>
      </x:c>
      <x:c r="M110" s="43" t="str">
        <x:v>否</x:v>
      </x:c>
      <x:c r="N110" s="43" t="str"/>
      <x:c r="O110" s="43" t="str">
        <x:v>候选公告属于治理、证券变动或程序性披露，不回答该查询假设，也不提供有效业务关系证据。</x:v>
      </x:c>
      <x:c r="P110" s="43" t="n">
        <x:v>5</x:v>
      </x:c>
      <x:c r="Q110" s="43" t="str">
        <x:v>无</x:v>
      </x:c>
      <x:c r="R110" s="43" t="str">
        <x:v>B-CODEX-FIN-01</x:v>
      </x:c>
      <x:c r="S110" s="49" t="str">
        <x:v>20260826T150309+08:00</x:v>
      </x:c>
    </x:row>
    <x:row r="111" ht="24" hidden="0" customHeight="1">
      <x:c r="A111" s="41" t="str">
        <x:v>110</x:v>
      </x:c>
      <x:c r="B111" s="41" t="str">
        <x:v>G3-R-E080-H3</x:v>
      </x:c>
      <x:c r="C111" s="41" t="str">
        <x:v>G3-E080</x:v>
      </x:c>
      <x:c r="D111" s="41" t="str">
        <x:v>600276-H3</x:v>
      </x:c>
      <x:c r="E111" s="41" t="str">
        <x:v>恒瑞医药</x:v>
      </x:c>
      <x:c r="F111" s="42" t="str">
        <x:v>​600276</x:v>
      </x:c>
      <x:c r="G111" s="41" t="str">
        <x:v>医药</x:v>
      </x:c>
      <x:c r="H111" s="42" t="str">
        <x:v>​2025-12-03T00:00:00+08:00</x:v>
      </x:c>
      <x:c r="I111" s="41" t="str">
        <x:v>研发投入强度维持，管线推进不出现关键品种研发失败</x:v>
      </x:c>
      <x:c r="J111" s="41" t="str">
        <x:v>恒瑞医药关于药品上市许可申请获受理的提示性公告</x:v>
      </x:c>
      <x:c r="K111" s="41" t="str">
        <x:v>http://static.cninfo.com.cn/finalpage/2025-12-03/1224843478.PDF</x:v>
      </x:c>
      <x:c r="L111" s="43" t="str">
        <x:v>3-直接相关</x:v>
      </x:c>
      <x:c r="M111" s="43" t="str">
        <x:v>是</x:v>
      </x:c>
      <x:c r="N111" s="43" t="str">
        <x:v>关于药品上市许可申请获受理的提示性公告</x:v>
      </x:c>
      <x:c r="O111" s="43" t="str">
        <x:v>药品受理、临床批准或注册获批直接证明研发管线推进，并对创新药商业化假设提供可观察事实。</x:v>
      </x:c>
      <x:c r="P111" s="43" t="n">
        <x:v>5</x:v>
      </x:c>
      <x:c r="Q111" s="43" t="str">
        <x:v>无</x:v>
      </x:c>
      <x:c r="R111" s="43" t="str">
        <x:v>B-CODEX-FIN-01</x:v>
      </x:c>
      <x:c r="S111" s="49" t="str">
        <x:v>20260826T150309+08:00</x:v>
      </x:c>
    </x:row>
    <x:row r="112" ht="24" hidden="0" customHeight="1">
      <x:c r="A112" s="41" t="str">
        <x:v>111</x:v>
      </x:c>
      <x:c r="B112" s="41" t="str">
        <x:v>G3-R-E047-H2</x:v>
      </x:c>
      <x:c r="C112" s="41" t="str">
        <x:v>G3-E047</x:v>
      </x:c>
      <x:c r="D112" s="41" t="str">
        <x:v>600276-H2</x:v>
      </x:c>
      <x:c r="E112" s="41" t="str">
        <x:v>恒瑞医药</x:v>
      </x:c>
      <x:c r="F112" s="42" t="str">
        <x:v>​600276</x:v>
      </x:c>
      <x:c r="G112" s="41" t="str">
        <x:v>医药</x:v>
      </x:c>
      <x:c r="H112" s="42" t="str">
        <x:v>​2026-02-06T00:00:00+08:00</x:v>
      </x:c>
      <x:c r="I112" s="41" t="str">
        <x:v>创新药占比提升支撑高毛利率，集采降价不导致盈利持续恶化</x:v>
      </x:c>
      <x:c r="J112" s="41" t="str">
        <x:v>恒瑞医药关于药品上市许可申请获受理的提示性公告</x:v>
      </x:c>
      <x:c r="K112" s="41" t="str">
        <x:v>http://static.cninfo.com.cn/finalpage/2026-02-06/1224968189.PDF</x:v>
      </x:c>
      <x:c r="L112" s="43" t="str">
        <x:v>2-间接相关</x:v>
      </x:c>
      <x:c r="M112" s="43" t="str">
        <x:v>是</x:v>
      </x:c>
      <x:c r="N112" s="43" t="str">
        <x:v>关于药品上市许可申请获受理的提示性公告</x:v>
      </x:c>
      <x:c r="O112" s="43" t="str">
        <x:v>管线进展可经创新药占比和产品结构影响盈利质量，但尚未直接披露毛利率或集采影响。</x:v>
      </x:c>
      <x:c r="P112" s="43" t="n">
        <x:v>4</x:v>
      </x:c>
      <x:c r="Q112" s="43" t="str">
        <x:v>无</x:v>
      </x:c>
      <x:c r="R112" s="43" t="str">
        <x:v>B-CODEX-FIN-01</x:v>
      </x:c>
      <x:c r="S112" s="49" t="str">
        <x:v>20260826T150309+08:00</x:v>
      </x:c>
    </x:row>
    <x:row r="113" ht="24" hidden="0" customHeight="1">
      <x:c r="A113" s="41" t="str">
        <x:v>112</x:v>
      </x:c>
      <x:c r="B113" s="41" t="str">
        <x:v>G3-R-E095-H1</x:v>
      </x:c>
      <x:c r="C113" s="41" t="str">
        <x:v>G3-E095</x:v>
      </x:c>
      <x:c r="D113" s="41" t="str">
        <x:v>002371-H1</x:v>
      </x:c>
      <x:c r="E113" s="41" t="str">
        <x:v>北方华创</x:v>
      </x:c>
      <x:c r="F113" s="42" t="str">
        <x:v>​002371</x:v>
      </x:c>
      <x:c r="G113" s="41" t="str">
        <x:v>芯片半导体</x:v>
      </x:c>
      <x:c r="H113" s="42" t="str">
        <x:v>​2025-02-18T00:00:00+08:00</x:v>
      </x:c>
      <x:c r="I113" s="41" t="str">
        <x:v>半导体设备订单随晶圆厂扩产与国产化率提升保持增长</x:v>
      </x:c>
      <x:c r="J113" s="41" t="str">
        <x:v>关于向全资子公司增资并参与设立北京集成电路装备产业投资并购二期基金暨关联交易的进展公告</x:v>
      </x:c>
      <x:c r="K113" s="41" t="str">
        <x:v>http://static.cninfo.com.cn/finalpage/2025-02-18/1222558599.PDF</x:v>
      </x:c>
      <x:c r="L113" s="43" t="str">
        <x:v>1-弱相关</x:v>
      </x:c>
      <x:c r="M113" s="43" t="str">
        <x:v>是</x:v>
      </x:c>
      <x:c r="N113" s="43" t="str">
        <x:v>全资子公司参与投建集成电路装备产业投资并购基金，相关交易已取得进展。</x:v>
      </x:c>
      <x:c r="O113" s="43" t="str">
        <x:v>公告与查询假设并非同一直接指标，但可经需求、规模、产品商业化或投入产出的一层因果链建立关系。</x:v>
      </x:c>
      <x:c r="P113" s="43" t="n">
        <x:v>4</x:v>
      </x:c>
      <x:c r="Q113" s="43" t="str">
        <x:v>无</x:v>
      </x:c>
      <x:c r="R113" s="43" t="str">
        <x:v>B-CODEX-FIN-01</x:v>
      </x:c>
      <x:c r="S113" s="49" t="str">
        <x:v>20260826T150309+08:00</x:v>
      </x:c>
    </x:row>
    <x:row r="114" ht="24" hidden="0" customHeight="1">
      <x:c r="A114" s="41" t="str">
        <x:v>113</x:v>
      </x:c>
      <x:c r="B114" s="41" t="str">
        <x:v>G3-R-E045-H2</x:v>
      </x:c>
      <x:c r="C114" s="41" t="str">
        <x:v>G3-E045</x:v>
      </x:c>
      <x:c r="D114" s="41" t="str">
        <x:v>600276-H2</x:v>
      </x:c>
      <x:c r="E114" s="41" t="str">
        <x:v>恒瑞医药</x:v>
      </x:c>
      <x:c r="F114" s="42" t="str">
        <x:v>​600276</x:v>
      </x:c>
      <x:c r="G114" s="41" t="str">
        <x:v>医药</x:v>
      </x:c>
      <x:c r="H114" s="42" t="str">
        <x:v>​2026-01-08T00:00:00+08:00</x:v>
      </x:c>
      <x:c r="I114" s="41" t="str">
        <x:v>创新药占比提升支撑高毛利率，集采降价不导致盈利持续恶化</x:v>
      </x:c>
      <x:c r="J114" s="41" t="str">
        <x:v>恒瑞医药关于获得药品注册批准的公告</x:v>
      </x:c>
      <x:c r="K114" s="41" t="str">
        <x:v>http://static.cninfo.com.cn/finalpage/2026-01-08/1224923160.PDF</x:v>
      </x:c>
      <x:c r="L114" s="43" t="str">
        <x:v>2-间接相关</x:v>
      </x:c>
      <x:c r="M114" s="43" t="str">
        <x:v>是</x:v>
      </x:c>
      <x:c r="N114" s="43" t="str">
        <x:v>批准公司自主研发的 1 类创新药瑞拉芙普α注射液上市。现将相关情况公告如下：</x:v>
      </x:c>
      <x:c r="O114" s="43" t="str">
        <x:v>管线进展可经创新药占比和产品结构影响盈利质量，但尚未直接披露毛利率或集采影响。</x:v>
      </x:c>
      <x:c r="P114" s="43" t="n">
        <x:v>4</x:v>
      </x:c>
      <x:c r="Q114" s="43" t="str">
        <x:v>无</x:v>
      </x:c>
      <x:c r="R114" s="43" t="str">
        <x:v>B-CODEX-FIN-01</x:v>
      </x:c>
      <x:c r="S114" s="49" t="str">
        <x:v>20260826T150309+08:00</x:v>
      </x:c>
    </x:row>
    <x:row r="115" ht="36" hidden="0" customHeight="1">
      <x:c r="A115" s="41" t="str">
        <x:v>114</x:v>
      </x:c>
      <x:c r="B115" s="41" t="str">
        <x:v>G3-R-E055-H2</x:v>
      </x:c>
      <x:c r="C115" s="41" t="str">
        <x:v>G3-E055</x:v>
      </x:c>
      <x:c r="D115" s="41" t="str">
        <x:v>09868-H2</x:v>
      </x:c>
      <x:c r="E115" s="41" t="str">
        <x:v>小鹏汽车</x:v>
      </x:c>
      <x:c r="F115" s="42" t="str">
        <x:v>​09868</x:v>
      </x:c>
      <x:c r="G115" s="41" t="str">
        <x:v>新能源汽车</x:v>
      </x:c>
      <x:c r="H115" s="42" t="str">
        <x:v>​2024-08-13T20:06:10+08:00</x:v>
      </x:c>
      <x:c r="I115" s="41" t="str">
        <x:v>毛利率随规模与技术服务收入改善，不回落到历史低位</x:v>
      </x:c>
      <x:c r="J115" s="41" t="str">
        <x:v>自愿公告 – 收购滴滴智能汽车开发业务资产的SOP交割及发行SOP对价股份</x:v>
      </x:c>
      <x:c r="K115" s="41" t="str">
        <x:v>http://static.cninfo.com.cn/finalpage/2024-08-13/1220863060.PDF</x:v>
      </x:c>
      <x:c r="L115" s="43" t="str">
        <x:v>2-间接相关</x:v>
      </x:c>
      <x:c r="M115" s="43" t="str">
        <x:v>是</x:v>
      </x:c>
      <x:c r="N115" s="43" t="str">
        <x:v>收购滴滴智能汽车开发业务资产的SOP交割已完成，并发行SOP对价股份。</x:v>
      </x:c>
      <x:c r="O115" s="43" t="str">
        <x:v>公告与查询假设并非同一直接指标，但可经需求、规模、产品商业化或投入产出的一层因果链建立关系。</x:v>
      </x:c>
      <x:c r="P115" s="43" t="n">
        <x:v>4</x:v>
      </x:c>
      <x:c r="Q115" s="43" t="str">
        <x:v>无</x:v>
      </x:c>
      <x:c r="R115" s="43" t="str">
        <x:v>B-CODEX-FIN-01</x:v>
      </x:c>
      <x:c r="S115" s="49" t="str">
        <x:v>20260826T150309+08:00</x:v>
      </x:c>
    </x:row>
    <x:row r="116" ht="24" hidden="0" customHeight="1">
      <x:c r="A116" s="41" t="str">
        <x:v>115</x:v>
      </x:c>
      <x:c r="B116" s="41" t="str">
        <x:v>G3-R-E073-H2</x:v>
      </x:c>
      <x:c r="C116" s="41" t="str">
        <x:v>G3-E073</x:v>
      </x:c>
      <x:c r="D116" s="41" t="str">
        <x:v>002594-H2</x:v>
      </x:c>
      <x:c r="E116" s="41" t="str">
        <x:v>比亚迪</x:v>
      </x:c>
      <x:c r="F116" s="42" t="str">
        <x:v>​002594</x:v>
      </x:c>
      <x:c r="G116" s="41" t="str">
        <x:v>新能源汽车</x:v>
      </x:c>
      <x:c r="H116" s="42" t="str">
        <x:v>​2025-10-09T00:00:00+08:00</x:v>
      </x:c>
      <x:c r="I116" s="41" t="str">
        <x:v>规模效应与垂直一体化维持毛利率，价格战不导致盈利持续恶化</x:v>
      </x:c>
      <x:c r="J116" s="41" t="str">
        <x:v>2025年9月产销快报</x:v>
      </x:c>
      <x:c r="K116" s="41" t="str">
        <x:v>http://static.cninfo.com.cn/finalpage/2025-10-09/1224697528.PDF</x:v>
      </x:c>
      <x:c r="L116" s="43" t="str">
        <x:v>2-间接相关</x:v>
      </x:c>
      <x:c r="M116" s="43" t="str">
        <x:v>是</x:v>
      </x:c>
      <x:c r="N116" s="43" t="str">
        <x:v>新能源汽车本年累计销量3,260,146辆，去年累计2,747,875辆，累计同比18.64%。</x:v>
      </x:c>
      <x:c r="O116" s="43" t="str">
        <x:v>公告与查询假设并非同一直接指标，但可经需求、规模、产品商业化或投入产出的一层因果链建立关系。</x:v>
      </x:c>
      <x:c r="P116" s="43" t="n">
        <x:v>4</x:v>
      </x:c>
      <x:c r="Q116" s="43" t="str">
        <x:v>无</x:v>
      </x:c>
      <x:c r="R116" s="43" t="str">
        <x:v>B-CODEX-FIN-01</x:v>
      </x:c>
      <x:c r="S116" s="49" t="str">
        <x:v>20260826T150309+08:00</x:v>
      </x:c>
    </x:row>
    <x:row r="117" ht="24" hidden="0" customHeight="1">
      <x:c r="A117" s="41" t="str">
        <x:v>116</x:v>
      </x:c>
      <x:c r="B117" s="41" t="str">
        <x:v>G3-R-E007-H2</x:v>
      </x:c>
      <x:c r="C117" s="41" t="str">
        <x:v>G3-E007</x:v>
      </x:c>
      <x:c r="D117" s="41" t="str">
        <x:v>603259-H2</x:v>
      </x:c>
      <x:c r="E117" s="41" t="str">
        <x:v>药明康德</x:v>
      </x:c>
      <x:c r="F117" s="42" t="str">
        <x:v>​603259</x:v>
      </x:c>
      <x:c r="G117" s="41" t="str">
        <x:v>医药</x:v>
      </x:c>
      <x:c r="H117" s="42" t="str">
        <x:v>​2024-03-19T00:00:00+08:00</x:v>
      </x:c>
      <x:c r="I117" s="41" t="str">
        <x:v>产能利用率与项目结构支撑毛利率，不因价格竞争持续走低</x:v>
      </x:c>
      <x:c r="J117" s="41" t="str">
        <x:v>关于募集资金存放与实际使用情况的专项报告及审核报告（截至2023年12月31日止）</x:v>
      </x:c>
      <x:c r="K117" s="41" t="str">
        <x:v>http://static.cninfo.com.cn/finalpage/2024-03-19/1219331371.PDF</x:v>
      </x:c>
      <x:c r="L117" s="43" t="str">
        <x:v>2-间接相关</x:v>
      </x:c>
      <x:c r="M117" s="43" t="str">
        <x:v>是</x:v>
      </x:c>
      <x:c r="N117" s="43" t="str">
        <x:v>截至2023年末募集资金累计投入186,104.73万元及639,014.14万元，扩建项目达到预计效益。</x:v>
      </x:c>
      <x:c r="O117" s="43" t="str">
        <x:v>公告与查询假设并非同一直接指标，但可经需求、规模、产品商业化或投入产出的一层因果链建立关系。</x:v>
      </x:c>
      <x:c r="P117" s="43" t="n">
        <x:v>4</x:v>
      </x:c>
      <x:c r="Q117" s="43" t="str">
        <x:v>无</x:v>
      </x:c>
      <x:c r="R117" s="43" t="str">
        <x:v>B-CODEX-FIN-01</x:v>
      </x:c>
      <x:c r="S117" s="49" t="str">
        <x:v>20260826T150309+08:00</x:v>
      </x:c>
    </x:row>
    <x:row r="118" ht="24" hidden="0" customHeight="1">
      <x:c r="A118" s="41" t="str">
        <x:v>117</x:v>
      </x:c>
      <x:c r="B118" s="41" t="str">
        <x:v>G3-R-E064-H1</x:v>
      </x:c>
      <x:c r="C118" s="41" t="str">
        <x:v>G3-E064</x:v>
      </x:c>
      <x:c r="D118" s="41" t="str">
        <x:v>00175-H1</x:v>
      </x:c>
      <x:c r="E118" s="41" t="str">
        <x:v>吉利汽车</x:v>
      </x:c>
      <x:c r="F118" s="42" t="str">
        <x:v>​00175</x:v>
      </x:c>
      <x:c r="G118" s="41" t="str">
        <x:v>新能源汽车</x:v>
      </x:c>
      <x:c r="H118" s="42" t="str">
        <x:v>​2025-02-14T16:36:12+08:00</x:v>
      </x:c>
      <x:c r="I118" s="41" t="str">
        <x:v>新能源车型销量放量带动整体销量增长，出口贡献增量</x:v>
      </x:c>
      <x:c r="J118" s="41" t="str">
        <x:v>完成须予披露及关连交易(1)极氪收购领克销售股份；及(2)极氪认购领克新增资本</x:v>
      </x:c>
      <x:c r="K118" s="41" t="str">
        <x:v>http://static.cninfo.com.cn/finalpage/2025-02-14/1222544267.PDF</x:v>
      </x:c>
      <x:c r="L118" s="43" t="str">
        <x:v>2-间接相关</x:v>
      </x:c>
      <x:c r="M118" s="43" t="str">
        <x:v>是</x:v>
      </x:c>
      <x:c r="N118" s="43" t="str">
        <x:v>极氪收购领克销售股份及认购新增资本已完成，预计集团录得未经审核收益约64.7亿元。</x:v>
      </x:c>
      <x:c r="O118" s="43" t="str">
        <x:v>公告与查询假设并非同一直接指标，但可经需求、规模、产品商业化或投入产出的一层因果链建立关系。</x:v>
      </x:c>
      <x:c r="P118" s="43" t="n">
        <x:v>4</x:v>
      </x:c>
      <x:c r="Q118" s="43" t="str">
        <x:v>无</x:v>
      </x:c>
      <x:c r="R118" s="43" t="str">
        <x:v>B-CODEX-FIN-01</x:v>
      </x:c>
      <x:c r="S118" s="49" t="str">
        <x:v>20260826T150309+08:00</x:v>
      </x:c>
    </x:row>
    <x:row r="119" ht="24" hidden="0" customHeight="1">
      <x:c r="A119" s="41" t="str">
        <x:v>118</x:v>
      </x:c>
      <x:c r="B119" s="41" t="str">
        <x:v>G3-R-E017-H2</x:v>
      </x:c>
      <x:c r="C119" s="41" t="str">
        <x:v>G3-E017</x:v>
      </x:c>
      <x:c r="D119" s="41" t="str">
        <x:v>002371-H2</x:v>
      </x:c>
      <x:c r="E119" s="41" t="str">
        <x:v>北方华创</x:v>
      </x:c>
      <x:c r="F119" s="42" t="str">
        <x:v>​002371</x:v>
      </x:c>
      <x:c r="G119" s="41" t="str">
        <x:v>芯片半导体</x:v>
      </x:c>
      <x:c r="H119" s="42" t="str">
        <x:v>​2024-04-30T00:00:00+08:00</x:v>
      </x:c>
      <x:c r="I119" s="41" t="str">
        <x:v>规模效应与国产化推进支撑毛利率，不因竞争加剧显著下滑</x:v>
      </x:c>
      <x:c r="J119" s="41" t="str">
        <x:v>关于公司2024年度日常关联交易预计的公告</x:v>
      </x:c>
      <x:c r="K119" s="41" t="str">
        <x:v>http://static.cninfo.com.cn/finalpage/2024-04-30/1219908871.PDF</x:v>
      </x:c>
      <x:c r="L119" s="43" t="str">
        <x:v>1-弱相关</x:v>
      </x:c>
      <x:c r="M119" s="43" t="str">
        <x:v>是</x:v>
      </x:c>
      <x:c r="N119" s="43" t="str">
        <x:v>租赁、综合服务以及产品销售、采购等有关业务上发生日常关联交易，合计金额</x:v>
      </x:c>
      <x:c r="O119" s="43" t="str">
        <x:v>公告与查询假设并非同一直接指标，但可经需求、规模、产品商业化或投入产出的一层因果链建立关系。</x:v>
      </x:c>
      <x:c r="P119" s="43" t="n">
        <x:v>4</x:v>
      </x:c>
      <x:c r="Q119" s="43" t="str">
        <x:v>无</x:v>
      </x:c>
      <x:c r="R119" s="43" t="str">
        <x:v>B-CODEX-FIN-01</x:v>
      </x:c>
      <x:c r="S119" s="49" t="str">
        <x:v>20260826T150309+08:00</x:v>
      </x:c>
    </x:row>
    <x:row r="120" ht="24" hidden="0" customHeight="1">
      <x:c r="A120" s="41" t="str">
        <x:v>119</x:v>
      </x:c>
      <x:c r="B120" s="41" t="str">
        <x:v>G3-R-E082-H1</x:v>
      </x:c>
      <x:c r="C120" s="41" t="str">
        <x:v>G3-E082</x:v>
      </x:c>
      <x:c r="D120" s="41" t="str">
        <x:v>688981-H1</x:v>
      </x:c>
      <x:c r="E120" s="41" t="str">
        <x:v>中芯国际</x:v>
      </x:c>
      <x:c r="F120" s="42" t="str">
        <x:v>​688981</x:v>
      </x:c>
      <x:c r="G120" s="41" t="str">
        <x:v>芯片半导体</x:v>
      </x:c>
      <x:c r="H120" s="42" t="str">
        <x:v>​2024-03-29T00:00:00+08:00</x:v>
      </x:c>
      <x:c r="I120" s="41" t="str">
        <x:v>成熟制程产能利用率与晶圆出货保持增长，国产替代需求是主要驱动</x:v>
      </x:c>
      <x:c r="J120" s="41" t="str">
        <x:v>中芯国际2023年年度报告摘要</x:v>
      </x:c>
      <x:c r="K120" s="41" t="str">
        <x:v>http://static.cninfo.com.cn/finalpage/2024-03-29/1219447110.PDF</x:v>
      </x:c>
      <x:c r="L120" s="43" t="str">
        <x:v>3-直接相关</x:v>
      </x:c>
      <x:c r="M120" s="43" t="str">
        <x:v>是</x:v>
      </x:c>
      <x:c r="N120" s="43" t="str">
        <x:v>2023年营业收入45,250.4百万元，同比减少8.6%；归母净利润同比减少60.3%。</x:v>
      </x:c>
      <x:c r="O120" s="43" t="str">
        <x:v>定期报告直接披露查询假设所需的收入、订单、毛利率、研发投入、产能或减值指标，可建立完整关系路径。</x:v>
      </x:c>
      <x:c r="P120" s="43" t="n">
        <x:v>5</x:v>
      </x:c>
      <x:c r="Q120" s="43" t="str">
        <x:v>无</x:v>
      </x:c>
      <x:c r="R120" s="43" t="str">
        <x:v>B-CODEX-FIN-01</x:v>
      </x:c>
      <x:c r="S120" s="49" t="str">
        <x:v>20260826T150309+08:00</x:v>
      </x:c>
    </x:row>
    <x:row r="121" ht="24" hidden="0" customHeight="1">
      <x:c r="A121" s="41" t="str">
        <x:v>120</x:v>
      </x:c>
      <x:c r="B121" s="41" t="str">
        <x:v>G3-R-E047-H3</x:v>
      </x:c>
      <x:c r="C121" s="41" t="str">
        <x:v>G3-E047</x:v>
      </x:c>
      <x:c r="D121" s="41" t="str">
        <x:v>600276-H3</x:v>
      </x:c>
      <x:c r="E121" s="41" t="str">
        <x:v>恒瑞医药</x:v>
      </x:c>
      <x:c r="F121" s="42" t="str">
        <x:v>​600276</x:v>
      </x:c>
      <x:c r="G121" s="41" t="str">
        <x:v>医药</x:v>
      </x:c>
      <x:c r="H121" s="42" t="str">
        <x:v>​2026-02-06T00:00:00+08:00</x:v>
      </x:c>
      <x:c r="I121" s="41" t="str">
        <x:v>研发投入强度维持，管线推进不出现关键品种研发失败</x:v>
      </x:c>
      <x:c r="J121" s="41" t="str">
        <x:v>恒瑞医药关于药品上市许可申请获受理的提示性公告</x:v>
      </x:c>
      <x:c r="K121" s="41" t="str">
        <x:v>http://static.cninfo.com.cn/finalpage/2026-02-06/1224968189.PDF</x:v>
      </x:c>
      <x:c r="L121" s="43" t="str">
        <x:v>3-直接相关</x:v>
      </x:c>
      <x:c r="M121" s="43" t="str">
        <x:v>是</x:v>
      </x:c>
      <x:c r="N121" s="43" t="str">
        <x:v>关于药品上市许可申请获受理的提示性公告</x:v>
      </x:c>
      <x:c r="O121" s="43" t="str">
        <x:v>药品受理、临床批准或注册获批直接证明研发管线推进，并对创新药商业化假设提供可观察事实。</x:v>
      </x:c>
      <x:c r="P121" s="43" t="n">
        <x:v>5</x:v>
      </x:c>
      <x:c r="Q121" s="43" t="str">
        <x:v>无</x:v>
      </x:c>
      <x:c r="R121" s="43" t="str">
        <x:v>B-CODEX-FIN-01</x:v>
      </x:c>
      <x:c r="S121" s="49" t="str">
        <x:v>20260826T150309+08:00</x:v>
      </x:c>
    </x:row>
    <x:row r="122" ht="24" hidden="0" customHeight="1">
      <x:c r="A122" s="41" t="str">
        <x:v>121</x:v>
      </x:c>
      <x:c r="B122" s="41" t="str">
        <x:v>G3-R-E058-H3</x:v>
      </x:c>
      <x:c r="C122" s="41" t="str">
        <x:v>G3-E058</x:v>
      </x:c>
      <x:c r="D122" s="41" t="str">
        <x:v>002371-H3</x:v>
      </x:c>
      <x:c r="E122" s="41" t="str">
        <x:v>北方华创</x:v>
      </x:c>
      <x:c r="F122" s="42" t="str">
        <x:v>​002371</x:v>
      </x:c>
      <x:c r="G122" s="41" t="str">
        <x:v>芯片半导体</x:v>
      </x:c>
      <x:c r="H122" s="42" t="str">
        <x:v>​2025-04-26T00:00:00+08:00</x:v>
      </x:c>
      <x:c r="I122" s="41" t="str">
        <x:v>产能与交付能力跟上订单增长，合同负债转化不出现明显滞后</x:v>
      </x:c>
      <x:c r="J122" s="41" t="str">
        <x:v>2025年一季度报告</x:v>
      </x:c>
      <x:c r="K122" s="41" t="str">
        <x:v>http://static.cninfo.com.cn/finalpage/2025-04-26/1223309242.PDF</x:v>
      </x:c>
      <x:c r="L122" s="43" t="str">
        <x:v>3-直接相关</x:v>
      </x:c>
      <x:c r="M122" s="43" t="str">
        <x:v>是</x:v>
      </x:c>
      <x:c r="N122" s="43" t="str">
        <x:v>2025年1-3月营业收入8,206,029,208.83元，同比增长37.90%；归母净利润同比增长38.80%。</x:v>
      </x:c>
      <x:c r="O122" s="43" t="str">
        <x:v>定期报告直接披露查询假设所需的收入、订单、毛利率、研发投入、产能或减值指标，可建立完整关系路径。</x:v>
      </x:c>
      <x:c r="P122" s="43" t="n">
        <x:v>5</x:v>
      </x:c>
      <x:c r="Q122" s="43" t="str">
        <x:v>无</x:v>
      </x:c>
      <x:c r="R122" s="43" t="str">
        <x:v>B-CODEX-FIN-01</x:v>
      </x:c>
      <x:c r="S122" s="49" t="str">
        <x:v>20260826T150309+08:00</x:v>
      </x:c>
    </x:row>
    <x:row r="123" ht="24" hidden="0" customHeight="1">
      <x:c r="A123" s="41" t="str">
        <x:v>122</x:v>
      </x:c>
      <x:c r="B123" s="41" t="str">
        <x:v>G3-R-E059-H3</x:v>
      </x:c>
      <x:c r="C123" s="41" t="str">
        <x:v>G3-E059</x:v>
      </x:c>
      <x:c r="D123" s="41" t="str">
        <x:v>002371-H3</x:v>
      </x:c>
      <x:c r="E123" s="41" t="str">
        <x:v>北方华创</x:v>
      </x:c>
      <x:c r="F123" s="42" t="str">
        <x:v>​002371</x:v>
      </x:c>
      <x:c r="G123" s="41" t="str">
        <x:v>芯片半导体</x:v>
      </x:c>
      <x:c r="H123" s="42" t="str">
        <x:v>​2025-10-31T00:00:00+08:00</x:v>
      </x:c>
      <x:c r="I123" s="41" t="str">
        <x:v>产能与交付能力跟上订单增长，合同负债转化不出现明显滞后</x:v>
      </x:c>
      <x:c r="J123" s="41" t="str">
        <x:v>募集资金管理办法（2025年10月)</x:v>
      </x:c>
      <x:c r="K123" s="41" t="str">
        <x:v>http://static.cninfo.com.cn/finalpage/2025-10-31/1224774330.PDF</x:v>
      </x:c>
      <x:c r="L123" s="43" t="str">
        <x:v>0-无关</x:v>
      </x:c>
      <x:c r="M123" s="43" t="str">
        <x:v>否</x:v>
      </x:c>
      <x:c r="N123" s="43" t="str"/>
      <x:c r="O123" s="43" t="str">
        <x:v>候选公告属于治理、证券变动或程序性披露，不回答该查询假设，也不提供有效业务关系证据。</x:v>
      </x:c>
      <x:c r="P123" s="43" t="n">
        <x:v>5</x:v>
      </x:c>
      <x:c r="Q123" s="43" t="str">
        <x:v>无</x:v>
      </x:c>
      <x:c r="R123" s="43" t="str">
        <x:v>B-CODEX-FIN-01</x:v>
      </x:c>
      <x:c r="S123" s="49" t="str">
        <x:v>20260826T150309+08:00</x:v>
      </x:c>
    </x:row>
    <x:row r="124" ht="24" hidden="0" customHeight="1">
      <x:c r="A124" s="41" t="str">
        <x:v>123</x:v>
      </x:c>
      <x:c r="B124" s="41" t="str">
        <x:v>G3-R-E064-H3</x:v>
      </x:c>
      <x:c r="C124" s="41" t="str">
        <x:v>G3-E064</x:v>
      </x:c>
      <x:c r="D124" s="41" t="str">
        <x:v>00175-H3</x:v>
      </x:c>
      <x:c r="E124" s="41" t="str">
        <x:v>吉利汽车</x:v>
      </x:c>
      <x:c r="F124" s="42" t="str">
        <x:v>​00175</x:v>
      </x:c>
      <x:c r="G124" s="41" t="str">
        <x:v>新能源汽车</x:v>
      </x:c>
      <x:c r="H124" s="42" t="str">
        <x:v>​2025-02-14T16:36:12+08:00</x:v>
      </x:c>
      <x:c r="I124" s="41" t="str">
        <x:v>品牌与平台整合按计划推进，不出现大额整合损失</x:v>
      </x:c>
      <x:c r="J124" s="41" t="str">
        <x:v>完成须予披露及关连交易(1)极氪收购领克销售股份；及(2)极氪认购领克新增资本</x:v>
      </x:c>
      <x:c r="K124" s="41" t="str">
        <x:v>http://static.cninfo.com.cn/finalpage/2025-02-14/1222544267.PDF</x:v>
      </x:c>
      <x:c r="L124" s="43" t="str">
        <x:v>3-直接相关</x:v>
      </x:c>
      <x:c r="M124" s="43" t="str">
        <x:v>是</x:v>
      </x:c>
      <x:c r="N124" s="43" t="str">
        <x:v>极氪收购领克销售股份及认购新增资本已完成，预计集团录得未经审核收益约64.7亿元。</x:v>
      </x:c>
      <x:c r="O124" s="43" t="str">
        <x:v>公告事实直接对应查询假设中的核心业务变量，时间边界内可建立可复核关系路径。</x:v>
      </x:c>
      <x:c r="P124" s="43" t="n">
        <x:v>5</x:v>
      </x:c>
      <x:c r="Q124" s="43" t="str">
        <x:v>无</x:v>
      </x:c>
      <x:c r="R124" s="43" t="str">
        <x:v>B-CODEX-FIN-01</x:v>
      </x:c>
      <x:c r="S124" s="49" t="str">
        <x:v>20260826T150309+08:00</x:v>
      </x:c>
    </x:row>
    <x:row r="125" ht="24" hidden="0" customHeight="1">
      <x:c r="A125" s="41" t="str">
        <x:v>124</x:v>
      </x:c>
      <x:c r="B125" s="41" t="str">
        <x:v>G3-R-E005-H2</x:v>
      </x:c>
      <x:c r="C125" s="41" t="str">
        <x:v>G3-E005</x:v>
      </x:c>
      <x:c r="D125" s="41" t="str">
        <x:v>00175-H2</x:v>
      </x:c>
      <x:c r="E125" s="41" t="str">
        <x:v>吉利汽车</x:v>
      </x:c>
      <x:c r="F125" s="42" t="str">
        <x:v>​00175</x:v>
      </x:c>
      <x:c r="G125" s="41" t="str">
        <x:v>新能源汽车</x:v>
      </x:c>
      <x:c r="H125" s="42" t="str">
        <x:v>​2026-07-01T18:12:27+08:00</x:v>
      </x:c>
      <x:c r="I125" s="41" t="str">
        <x:v>平台化与规模效应改善毛利率，新能源转型不持续拖累盈利</x:v>
      </x:c>
      <x:c r="J125" s="41" t="str">
        <x:v>未经审核之二零二六年六月销量</x:v>
      </x:c>
      <x:c r="K125" s="41" t="str">
        <x:v>http://static.cninfo.com.cn/finalpage/2026-07-01/1225403705.PDF</x:v>
      </x:c>
      <x:c r="L125" s="43" t="str">
        <x:v>2-间接相关</x:v>
      </x:c>
      <x:c r="M125" s="43" t="str">
        <x:v>是</x:v>
      </x:c>
      <x:c r="N125" s="43" t="str">
        <x:v>本集团于二零二六年六月的汽车总销量为240,799部，较去年同期增长约2%。</x:v>
      </x:c>
      <x:c r="O125" s="43" t="str">
        <x:v>公告与查询假设并非同一直接指标，但可经需求、规模、产品商业化或投入产出的一层因果链建立关系。</x:v>
      </x:c>
      <x:c r="P125" s="43" t="n">
        <x:v>4</x:v>
      </x:c>
      <x:c r="Q125" s="43" t="str">
        <x:v>无</x:v>
      </x:c>
      <x:c r="R125" s="43" t="str">
        <x:v>B-CODEX-FIN-01</x:v>
      </x:c>
      <x:c r="S125" s="49" t="str">
        <x:v>20260826T150309+08:00</x:v>
      </x:c>
    </x:row>
    <x:row r="126" ht="24" hidden="0" customHeight="1">
      <x:c r="A126" s="41" t="str">
        <x:v>125</x:v>
      </x:c>
      <x:c r="B126" s="41" t="str">
        <x:v>G3-R-E041-H2</x:v>
      </x:c>
      <x:c r="C126" s="41" t="str">
        <x:v>G3-E041</x:v>
      </x:c>
      <x:c r="D126" s="41" t="str">
        <x:v>000538-H2</x:v>
      </x:c>
      <x:c r="E126" s="41" t="str">
        <x:v>云南白药</x:v>
      </x:c>
      <x:c r="F126" s="42" t="str">
        <x:v>​000538</x:v>
      </x:c>
      <x:c r="G126" s="41" t="str">
        <x:v>医药</x:v>
      </x:c>
      <x:c r="H126" s="42" t="str">
        <x:v>​2025-12-31T18:54:32+08:00</x:v>
      </x:c>
      <x:c r="I126" s="41" t="str">
        <x:v>毛利率随产品结构与原料成本波动，不持续低于历史区间</x:v>
      </x:c>
      <x:c r="J126" s="41" t="str">
        <x:v>关于2026年度预计日常关联交易的公告</x:v>
      </x:c>
      <x:c r="K126" s="41" t="str">
        <x:v>http://static.cninfo.com.cn/finalpage/2025-12-31/1224913542.PDF</x:v>
      </x:c>
      <x:c r="L126" s="43" t="str">
        <x:v>1-弱相关</x:v>
      </x:c>
      <x:c r="M126" s="43" t="str">
        <x:v>是</x:v>
      </x:c>
      <x:c r="N126" s="43" t="str">
        <x:v>2025年日常关联交易发生总额109,929.20万元，2026年交易为正常经营需要。</x:v>
      </x:c>
      <x:c r="O126" s="43" t="str">
        <x:v>公告与查询假设并非同一直接指标，但可经需求、规模、产品商业化或投入产出的一层因果链建立关系。</x:v>
      </x:c>
      <x:c r="P126" s="43" t="n">
        <x:v>4</x:v>
      </x:c>
      <x:c r="Q126" s="43" t="str">
        <x:v>无</x:v>
      </x:c>
      <x:c r="R126" s="43" t="str">
        <x:v>B-CODEX-FIN-01</x:v>
      </x:c>
      <x:c r="S126" s="49" t="str">
        <x:v>20260826T150309+08:00</x:v>
      </x:c>
    </x:row>
    <x:row r="127" ht="24" hidden="0" customHeight="1">
      <x:c r="A127" s="41" t="str">
        <x:v>126</x:v>
      </x:c>
      <x:c r="B127" s="41" t="str">
        <x:v>G3-R-E108-H3</x:v>
      </x:c>
      <x:c r="C127" s="41" t="str">
        <x:v>G3-E108</x:v>
      </x:c>
      <x:c r="D127" s="41" t="str">
        <x:v>688981-H3</x:v>
      </x:c>
      <x:c r="E127" s="41" t="str">
        <x:v>中芯国际</x:v>
      </x:c>
      <x:c r="F127" s="42" t="str">
        <x:v>​688981</x:v>
      </x:c>
      <x:c r="G127" s="41" t="str">
        <x:v>芯片半导体</x:v>
      </x:c>
      <x:c r="H127" s="42" t="str">
        <x:v>​2026-02-11T00:00:00+08:00</x:v>
      </x:c>
      <x:c r="I127" s="41" t="str">
        <x:v>资本开支与扩产节奏匹配下游需求，先进制程投入不出现大额减值</x:v>
      </x:c>
      <x:c r="J127" s="41" t="str">
        <x:v>中芯国际2025年第四季度业绩快报公告</x:v>
      </x:c>
      <x:c r="K127" s="41" t="str">
        <x:v>http://static.cninfo.com.cn/finalpage/2026-02-11/1224974869.PDF</x:v>
      </x:c>
      <x:c r="L127" s="43" t="str">
        <x:v>3-直接相关</x:v>
      </x:c>
      <x:c r="M127" s="43" t="str">
        <x:v>是</x:v>
      </x:c>
      <x:c r="N127" s="43" t="str">
        <x:v>2025年毛利率21.0%，同比上升3.0个百分点；年平均产能利用率93.5%，同比提升8个百分点。</x:v>
      </x:c>
      <x:c r="O127" s="43" t="str">
        <x:v>定期报告直接披露查询假设所需的收入、订单、毛利率、研发投入、产能或减值指标，可建立完整关系路径。</x:v>
      </x:c>
      <x:c r="P127" s="43" t="n">
        <x:v>5</x:v>
      </x:c>
      <x:c r="Q127" s="43" t="str">
        <x:v>无</x:v>
      </x:c>
      <x:c r="R127" s="43" t="str">
        <x:v>B-CODEX-FIN-01</x:v>
      </x:c>
      <x:c r="S127" s="49" t="str">
        <x:v>20260826T150309+08:00</x:v>
      </x:c>
    </x:row>
    <x:row r="128" ht="24" hidden="0" customHeight="1">
      <x:c r="A128" s="41" t="str">
        <x:v>127</x:v>
      </x:c>
      <x:c r="B128" s="41" t="str">
        <x:v>G3-R-E005-H1</x:v>
      </x:c>
      <x:c r="C128" s="41" t="str">
        <x:v>G3-E005</x:v>
      </x:c>
      <x:c r="D128" s="41" t="str">
        <x:v>00175-H1</x:v>
      </x:c>
      <x:c r="E128" s="41" t="str">
        <x:v>吉利汽车</x:v>
      </x:c>
      <x:c r="F128" s="42" t="str">
        <x:v>​00175</x:v>
      </x:c>
      <x:c r="G128" s="41" t="str">
        <x:v>新能源汽车</x:v>
      </x:c>
      <x:c r="H128" s="42" t="str">
        <x:v>​2026-07-01T18:12:27+08:00</x:v>
      </x:c>
      <x:c r="I128" s="41" t="str">
        <x:v>新能源车型销量放量带动整体销量增长，出口贡献增量</x:v>
      </x:c>
      <x:c r="J128" s="41" t="str">
        <x:v>未经审核之二零二六年六月销量</x:v>
      </x:c>
      <x:c r="K128" s="41" t="str">
        <x:v>http://static.cninfo.com.cn/finalpage/2026-07-01/1225403705.PDF</x:v>
      </x:c>
      <x:c r="L128" s="43" t="str">
        <x:v>3-直接相关</x:v>
      </x:c>
      <x:c r="M128" s="43" t="str">
        <x:v>是</x:v>
      </x:c>
      <x:c r="N128" s="43" t="str">
        <x:v>本集团于二零二六年六月的汽车总销量为240,799部，较去年同期增长约2%。</x:v>
      </x:c>
      <x:c r="O128" s="43" t="str">
        <x:v>公告事实直接对应查询假设中的核心业务变量，时间边界内可建立可复核关系路径。</x:v>
      </x:c>
      <x:c r="P128" s="43" t="n">
        <x:v>5</x:v>
      </x:c>
      <x:c r="Q128" s="43" t="str">
        <x:v>无</x:v>
      </x:c>
      <x:c r="R128" s="43" t="str">
        <x:v>B-CODEX-FIN-01</x:v>
      </x:c>
      <x:c r="S128" s="49" t="str">
        <x:v>20260826T150309+08:00</x:v>
      </x:c>
    </x:row>
    <x:row r="129" ht="36" hidden="0" customHeight="1">
      <x:c r="A129" s="41" t="str">
        <x:v>128</x:v>
      </x:c>
      <x:c r="B129" s="41" t="str">
        <x:v>G3-R-E120-H1</x:v>
      </x:c>
      <x:c r="C129" s="41" t="str">
        <x:v>G3-E120</x:v>
      </x:c>
      <x:c r="D129" s="41" t="str">
        <x:v>09868-H1</x:v>
      </x:c>
      <x:c r="E129" s="41" t="str">
        <x:v>小鹏汽车</x:v>
      </x:c>
      <x:c r="F129" s="42" t="str">
        <x:v>​09868</x:v>
      </x:c>
      <x:c r="G129" s="41" t="str">
        <x:v>新能源汽车</x:v>
      </x:c>
      <x:c r="H129" s="42" t="str">
        <x:v>​2024-04-17T17:18:27+08:00</x:v>
      </x:c>
      <x:c r="I129" s="41" t="str">
        <x:v>智能车交付量保持增长，新车型周期带动需求回升</x:v>
      </x:c>
      <x:c r="J129" s="41" t="str">
        <x:v>自愿公告 与大众汽车集团签订电子电气架构技术战略合作框架协议</x:v>
      </x:c>
      <x:c r="K129" s="41" t="str">
        <x:v>http://static.cninfo.com.cn/finalpage/2024-04-17/1219647424.PDF</x:v>
      </x:c>
      <x:c r="L129" s="43" t="str">
        <x:v>2-间接相关</x:v>
      </x:c>
      <x:c r="M129" s="43" t="str">
        <x:v>是</x:v>
      </x:c>
      <x:c r="N129" s="43" t="str">
        <x:v>公司与大众汽车集团签署扩展电子电气架构战略技术合作联合开发协议。</x:v>
      </x:c>
      <x:c r="O129" s="43" t="str">
        <x:v>公告通过一层清晰业务因果链影响查询假设，路径可成立但并非直接指标。</x:v>
      </x:c>
      <x:c r="P129" s="43" t="n">
        <x:v>4</x:v>
      </x:c>
      <x:c r="Q129" s="43" t="str">
        <x:v>无</x:v>
      </x:c>
      <x:c r="R129" s="43" t="str">
        <x:v>B-CODEX-FIN-01</x:v>
      </x:c>
      <x:c r="S129" s="49" t="str">
        <x:v>20260826T150309+08:00</x:v>
      </x:c>
    </x:row>
    <x:row r="130" ht="24" hidden="0" customHeight="1">
      <x:c r="A130" s="41" t="str">
        <x:v>129</x:v>
      </x:c>
      <x:c r="B130" s="41" t="str">
        <x:v>G3-R-E101-H1</x:v>
      </x:c>
      <x:c r="C130" s="41" t="str">
        <x:v>G3-E101</x:v>
      </x:c>
      <x:c r="D130" s="41" t="str">
        <x:v>00175-H1</x:v>
      </x:c>
      <x:c r="E130" s="41" t="str">
        <x:v>吉利汽车</x:v>
      </x:c>
      <x:c r="F130" s="42" t="str">
        <x:v>​00175</x:v>
      </x:c>
      <x:c r="G130" s="41" t="str">
        <x:v>新能源汽车</x:v>
      </x:c>
      <x:c r="H130" s="42" t="str">
        <x:v>​2026-02-01T21:20:12+08:00</x:v>
      </x:c>
      <x:c r="I130" s="41" t="str">
        <x:v>新能源车型销量放量带动整体销量增长，出口贡献增量</x:v>
      </x:c>
      <x:c r="J130" s="41" t="str">
        <x:v>未经审核之二零二六年一月销量</x:v>
      </x:c>
      <x:c r="K130" s="41" t="str">
        <x:v>http://static.cninfo.com.cn/finalpage/2026-02-01/1224961027.PDF</x:v>
      </x:c>
      <x:c r="L130" s="43" t="str">
        <x:v>3-直接相关</x:v>
      </x:c>
      <x:c r="M130" s="43" t="str">
        <x:v>是</x:v>
      </x:c>
      <x:c r="N130" s="43" t="str">
        <x:v>本集团于二零二六年一月的汽车总销量为270,167部，较去年同期增长约1%。</x:v>
      </x:c>
      <x:c r="O130" s="43" t="str">
        <x:v>公告事实直接对应查询假设中的核心业务变量，时间边界内可建立可复核关系路径。</x:v>
      </x:c>
      <x:c r="P130" s="43" t="n">
        <x:v>5</x:v>
      </x:c>
      <x:c r="Q130" s="43" t="str">
        <x:v>无</x:v>
      </x:c>
      <x:c r="R130" s="43" t="str">
        <x:v>B-CODEX-FIN-01</x:v>
      </x:c>
      <x:c r="S130" s="49" t="str">
        <x:v>20260826T150309+08:00</x:v>
      </x:c>
    </x:row>
    <x:row r="131" ht="24" hidden="0" customHeight="1">
      <x:c r="A131" s="41" t="str">
        <x:v>130</x:v>
      </x:c>
      <x:c r="B131" s="41" t="str">
        <x:v>G3-R-E068-H2</x:v>
      </x:c>
      <x:c r="C131" s="41" t="str">
        <x:v>G3-E068</x:v>
      </x:c>
      <x:c r="D131" s="41" t="str">
        <x:v>002594-H2</x:v>
      </x:c>
      <x:c r="E131" s="41" t="str">
        <x:v>比亚迪</x:v>
      </x:c>
      <x:c r="F131" s="42" t="str">
        <x:v>​002594</x:v>
      </x:c>
      <x:c r="G131" s="41" t="str">
        <x:v>新能源汽车</x:v>
      </x:c>
      <x:c r="H131" s="42" t="str">
        <x:v>​2026-04-02T00:00:00+08:00</x:v>
      </x:c>
      <x:c r="I131" s="41" t="str">
        <x:v>规模效应与垂直一体化维持毛利率，价格战不导致盈利持续恶化</x:v>
      </x:c>
      <x:c r="J131" s="41" t="str">
        <x:v>2026年3月产销快报</x:v>
      </x:c>
      <x:c r="K131" s="41" t="str">
        <x:v>http://static.cninfo.com.cn/finalpage/2026-04-02/1225072597.PDF</x:v>
      </x:c>
      <x:c r="L131" s="43" t="str">
        <x:v>2-间接相关</x:v>
      </x:c>
      <x:c r="M131" s="43" t="str">
        <x:v>是</x:v>
      </x:c>
      <x:c r="N131" s="43" t="str">
        <x:v>新能源汽车本年累计销量700,463辆，去年累计1,000,804辆，累计同比-30.01%。</x:v>
      </x:c>
      <x:c r="O131" s="43" t="str">
        <x:v>公告与查询假设并非同一直接指标，但可经需求、规模、产品商业化或投入产出的一层因果链建立关系。</x:v>
      </x:c>
      <x:c r="P131" s="43" t="n">
        <x:v>4</x:v>
      </x:c>
      <x:c r="Q131" s="43" t="str">
        <x:v>无</x:v>
      </x:c>
      <x:c r="R131" s="43" t="str">
        <x:v>B-CODEX-FIN-01</x:v>
      </x:c>
      <x:c r="S131" s="49" t="str">
        <x:v>20260826T150309+08:00</x:v>
      </x:c>
    </x:row>
    <x:row r="132" ht="24" hidden="0" customHeight="1">
      <x:c r="A132" s="41" t="str">
        <x:v>131</x:v>
      </x:c>
      <x:c r="B132" s="41" t="str">
        <x:v>G3-R-E067-H1</x:v>
      </x:c>
      <x:c r="C132" s="41" t="str">
        <x:v>G3-E067</x:v>
      </x:c>
      <x:c r="D132" s="41" t="str">
        <x:v>002371-H1</x:v>
      </x:c>
      <x:c r="E132" s="41" t="str">
        <x:v>北方华创</x:v>
      </x:c>
      <x:c r="F132" s="42" t="str">
        <x:v>​002371</x:v>
      </x:c>
      <x:c r="G132" s="41" t="str">
        <x:v>芯片半导体</x:v>
      </x:c>
      <x:c r="H132" s="42" t="str">
        <x:v>​2026-06-23T00:00:00+08:00</x:v>
      </x:c>
      <x:c r="I132" s="41" t="str">
        <x:v>半导体设备订单随晶圆厂扩产与国产化率提升保持增长</x:v>
      </x:c>
      <x:c r="J132" s="41" t="str">
        <x:v>关于放弃参股公司增资优先认购权暨关联交易的公告</x:v>
      </x:c>
      <x:c r="K132" s="41" t="str">
        <x:v>http://static.cninfo.com.cn/finalpage/2026-06-23/1225381704.PDF</x:v>
      </x:c>
      <x:c r="L132" s="43" t="str">
        <x:v>0-无关</x:v>
      </x:c>
      <x:c r="M132" s="43" t="str">
        <x:v>否</x:v>
      </x:c>
      <x:c r="N132" s="43" t="str"/>
      <x:c r="O132" s="43" t="str">
        <x:v>候选公告属于治理、证券变动或程序性披露，不回答该查询假设，也不提供有效业务关系证据。</x:v>
      </x:c>
      <x:c r="P132" s="43" t="n">
        <x:v>5</x:v>
      </x:c>
      <x:c r="Q132" s="43" t="str">
        <x:v>无</x:v>
      </x:c>
      <x:c r="R132" s="43" t="str">
        <x:v>B-CODEX-FIN-01</x:v>
      </x:c>
      <x:c r="S132" s="49" t="str">
        <x:v>20260826T150309+08:00</x:v>
      </x:c>
    </x:row>
    <x:row r="133" ht="24" hidden="0" customHeight="1">
      <x:c r="A133" s="41" t="str">
        <x:v>132</x:v>
      </x:c>
      <x:c r="B133" s="41" t="str">
        <x:v>G3-R-E101-H2</x:v>
      </x:c>
      <x:c r="C133" s="41" t="str">
        <x:v>G3-E101</x:v>
      </x:c>
      <x:c r="D133" s="41" t="str">
        <x:v>00175-H2</x:v>
      </x:c>
      <x:c r="E133" s="41" t="str">
        <x:v>吉利汽车</x:v>
      </x:c>
      <x:c r="F133" s="42" t="str">
        <x:v>​00175</x:v>
      </x:c>
      <x:c r="G133" s="41" t="str">
        <x:v>新能源汽车</x:v>
      </x:c>
      <x:c r="H133" s="42" t="str">
        <x:v>​2026-02-01T21:20:12+08:00</x:v>
      </x:c>
      <x:c r="I133" s="41" t="str">
        <x:v>平台化与规模效应改善毛利率，新能源转型不持续拖累盈利</x:v>
      </x:c>
      <x:c r="J133" s="41" t="str">
        <x:v>未经审核之二零二六年一月销量</x:v>
      </x:c>
      <x:c r="K133" s="41" t="str">
        <x:v>http://static.cninfo.com.cn/finalpage/2026-02-01/1224961027.PDF</x:v>
      </x:c>
      <x:c r="L133" s="43" t="str">
        <x:v>2-间接相关</x:v>
      </x:c>
      <x:c r="M133" s="43" t="str">
        <x:v>是</x:v>
      </x:c>
      <x:c r="N133" s="43" t="str">
        <x:v>本集团于二零二六年一月的汽车总销量为270,167部，较去年同期增长约1%。</x:v>
      </x:c>
      <x:c r="O133" s="43" t="str">
        <x:v>公告与查询假设并非同一直接指标，但可经需求、规模、产品商业化或投入产出的一层因果链建立关系。</x:v>
      </x:c>
      <x:c r="P133" s="43" t="n">
        <x:v>4</x:v>
      </x:c>
      <x:c r="Q133" s="43" t="str">
        <x:v>无</x:v>
      </x:c>
      <x:c r="R133" s="43" t="str">
        <x:v>B-CODEX-FIN-01</x:v>
      </x:c>
      <x:c r="S133" s="49" t="str">
        <x:v>20260826T150309+08:00</x:v>
      </x:c>
    </x:row>
    <x:row r="134" ht="24" hidden="0" customHeight="1">
      <x:c r="A134" s="41" t="str">
        <x:v>133</x:v>
      </x:c>
      <x:c r="B134" s="41" t="str">
        <x:v>G3-R-E094-H3</x:v>
      </x:c>
      <x:c r="C134" s="41" t="str">
        <x:v>G3-E094</x:v>
      </x:c>
      <x:c r="D134" s="41" t="str">
        <x:v>603986-H3</x:v>
      </x:c>
      <x:c r="E134" s="41" t="str">
        <x:v>兆易创新</x:v>
      </x:c>
      <x:c r="F134" s="42" t="str">
        <x:v>​603986</x:v>
      </x:c>
      <x:c r="G134" s="41" t="str">
        <x:v>芯片半导体</x:v>
      </x:c>
      <x:c r="H134" s="42" t="str">
        <x:v>​2026-03-31T00:00:00+08:00</x:v>
      </x:c>
      <x:c r="I134" s="41" t="str">
        <x:v>新品研发与产能储备按计划推进，不出现存货大额跌价</x:v>
      </x:c>
      <x:c r="J134" s="41" t="str">
        <x:v>兆易创新2025年年度报告</x:v>
      </x:c>
      <x:c r="K134" s="41" t="str">
        <x:v>http://static.cninfo.com.cn/finalpage/2026-03-31/1225061352.PDF</x:v>
      </x:c>
      <x:c r="L134" s="43" t="str">
        <x:v>3-直接相关</x:v>
      </x:c>
      <x:c r="M134" s="43" t="str">
        <x:v>是</x:v>
      </x:c>
      <x:c r="N134" s="43" t="str">
        <x:v>2025年，公司实现营业收入92.03亿元，同比增长25.12%；归母净利润16.48亿元，同比增长49.47%。</x:v>
      </x:c>
      <x:c r="O134" s="43" t="str">
        <x:v>定期报告直接披露查询假设所需的收入、订单、毛利率、研发投入、产能或减值指标，可建立完整关系路径。</x:v>
      </x:c>
      <x:c r="P134" s="43" t="n">
        <x:v>5</x:v>
      </x:c>
      <x:c r="Q134" s="43" t="str">
        <x:v>无</x:v>
      </x:c>
      <x:c r="R134" s="43" t="str">
        <x:v>B-CODEX-FIN-01</x:v>
      </x:c>
      <x:c r="S134" s="49" t="str">
        <x:v>20260826T150309+08:00</x:v>
      </x:c>
    </x:row>
    <x:row r="135" ht="24" hidden="0" customHeight="1">
      <x:c r="A135" s="41" t="str">
        <x:v>134</x:v>
      </x:c>
      <x:c r="B135" s="41" t="str">
        <x:v>G3-R-E015-H3</x:v>
      </x:c>
      <x:c r="C135" s="41" t="str">
        <x:v>G3-E015</x:v>
      </x:c>
      <x:c r="D135" s="41" t="str">
        <x:v>600276-H3</x:v>
      </x:c>
      <x:c r="E135" s="41" t="str">
        <x:v>恒瑞医药</x:v>
      </x:c>
      <x:c r="F135" s="42" t="str">
        <x:v>​600276</x:v>
      </x:c>
      <x:c r="G135" s="41" t="str">
        <x:v>医药</x:v>
      </x:c>
      <x:c r="H135" s="42" t="str">
        <x:v>​2025-01-10T00:00:00+08:00</x:v>
      </x:c>
      <x:c r="I135" s="41" t="str">
        <x:v>研发投入强度维持，管线推进不出现关键品种研发失败</x:v>
      </x:c>
      <x:c r="J135" s="41" t="str">
        <x:v>恒瑞医药关于药品上市许可申请获受理的提示性公告</x:v>
      </x:c>
      <x:c r="K135" s="41" t="str">
        <x:v>http://static.cninfo.com.cn/finalpage/2025-01-10/1222283951.PDF</x:v>
      </x:c>
      <x:c r="L135" s="43" t="str">
        <x:v>3-直接相关</x:v>
      </x:c>
      <x:c r="M135" s="43" t="str">
        <x:v>是</x:v>
      </x:c>
      <x:c r="N135" s="43" t="str">
        <x:v>关于药品上市许可申请获受理的提示性公告</x:v>
      </x:c>
      <x:c r="O135" s="43" t="str">
        <x:v>药品受理、临床批准或注册获批直接证明研发管线推进，并对创新药商业化假设提供可观察事实。</x:v>
      </x:c>
      <x:c r="P135" s="43" t="n">
        <x:v>5</x:v>
      </x:c>
      <x:c r="Q135" s="43" t="str">
        <x:v>无</x:v>
      </x:c>
      <x:c r="R135" s="43" t="str">
        <x:v>B-CODEX-FIN-01</x:v>
      </x:c>
      <x:c r="S135" s="49" t="str">
        <x:v>20260826T150309+08:00</x:v>
      </x:c>
    </x:row>
    <x:row r="136" ht="24" hidden="0" customHeight="1">
      <x:c r="A136" s="41" t="str">
        <x:v>135</x:v>
      </x:c>
      <x:c r="B136" s="41" t="str">
        <x:v>G3-R-E041-H3</x:v>
      </x:c>
      <x:c r="C136" s="41" t="str">
        <x:v>G3-E041</x:v>
      </x:c>
      <x:c r="D136" s="41" t="str">
        <x:v>000538-H3</x:v>
      </x:c>
      <x:c r="E136" s="41" t="str">
        <x:v>云南白药</x:v>
      </x:c>
      <x:c r="F136" s="42" t="str">
        <x:v>​000538</x:v>
      </x:c>
      <x:c r="G136" s="41" t="str">
        <x:v>医药</x:v>
      </x:c>
      <x:c r="H136" s="42" t="str">
        <x:v>​2025-12-31T18:54:32+08:00</x:v>
      </x:c>
      <x:c r="I136" s="41" t="str">
        <x:v>渠道与品牌投入保持，不出现商誉或投资大额减值</x:v>
      </x:c>
      <x:c r="J136" s="41" t="str">
        <x:v>关于2026年度预计日常关联交易的公告</x:v>
      </x:c>
      <x:c r="K136" s="41" t="str">
        <x:v>http://static.cninfo.com.cn/finalpage/2025-12-31/1224913542.PDF</x:v>
      </x:c>
      <x:c r="L136" s="43" t="str">
        <x:v>1-弱相关</x:v>
      </x:c>
      <x:c r="M136" s="43" t="str">
        <x:v>否</x:v>
      </x:c>
      <x:c r="N136" s="43" t="str">
        <x:v>2025年日常关联交易发生总额109,929.20万元，2026年交易为正常经营需要。</x:v>
      </x:c>
      <x:c r="O136" s="43" t="str">
        <x:v>公告反映需求或盈利表现，但未直接披露产能、研发投入或扩张执行，对查询假设仅有弱主题关联。</x:v>
      </x:c>
      <x:c r="P136" s="43" t="n">
        <x:v>4</x:v>
      </x:c>
      <x:c r="Q136" s="43" t="str">
        <x:v>无</x:v>
      </x:c>
      <x:c r="R136" s="43" t="str">
        <x:v>B-CODEX-FIN-01</x:v>
      </x:c>
      <x:c r="S136" s="49" t="str">
        <x:v>20260826T150309+08:00</x:v>
      </x:c>
    </x:row>
    <x:row r="137" ht="24" hidden="0" customHeight="1">
      <x:c r="A137" s="41" t="str">
        <x:v>136</x:v>
      </x:c>
      <x:c r="B137" s="41" t="str">
        <x:v>G3-R-E103-H1</x:v>
      </x:c>
      <x:c r="C137" s="41" t="str">
        <x:v>G3-E103</x:v>
      </x:c>
      <x:c r="D137" s="41" t="str">
        <x:v>600276-H1</x:v>
      </x:c>
      <x:c r="E137" s="41" t="str">
        <x:v>恒瑞医药</x:v>
      </x:c>
      <x:c r="F137" s="42" t="str">
        <x:v>​600276</x:v>
      </x:c>
      <x:c r="G137" s="41" t="str">
        <x:v>医药</x:v>
      </x:c>
      <x:c r="H137" s="42" t="str">
        <x:v>​2025-07-18T00:00:00+08:00</x:v>
      </x:c>
      <x:c r="I137" s="41" t="str">
        <x:v>创新药放量与授权合作收入接续仿制药集采下滑，研发管线持续推进</x:v>
      </x:c>
      <x:c r="J137" s="41" t="str">
        <x:v>恒瑞医药关于获得药物临床试验批准通知书的公告</x:v>
      </x:c>
      <x:c r="K137" s="41" t="str">
        <x:v>http://static.cninfo.com.cn/finalpage/2025-07-18/1224202262.PDF</x:v>
      </x:c>
      <x:c r="L137" s="43" t="str">
        <x:v>3-直接相关</x:v>
      </x:c>
      <x:c r="M137" s="43" t="str">
        <x:v>是</x:v>
      </x:c>
      <x:c r="N137" s="43" t="str">
        <x:v>根据我国药品注册相关的法律法规要求，药物在获得药物临床试验批准通知</x:v>
      </x:c>
      <x:c r="O137" s="43" t="str">
        <x:v>药品受理、临床批准或注册获批直接证明研发管线推进，并对创新药商业化假设提供可观察事实。</x:v>
      </x:c>
      <x:c r="P137" s="43" t="n">
        <x:v>5</x:v>
      </x:c>
      <x:c r="Q137" s="43" t="str">
        <x:v>无</x:v>
      </x:c>
      <x:c r="R137" s="43" t="str">
        <x:v>B-CODEX-FIN-01</x:v>
      </x:c>
      <x:c r="S137" s="49" t="str">
        <x:v>20260826T150309+08:00</x:v>
      </x:c>
    </x:row>
    <x:row r="138" ht="24" hidden="0" customHeight="1">
      <x:c r="A138" s="41" t="str">
        <x:v>137</x:v>
      </x:c>
      <x:c r="B138" s="41" t="str">
        <x:v>G3-R-E098-H3</x:v>
      </x:c>
      <x:c r="C138" s="41" t="str">
        <x:v>G3-E098</x:v>
      </x:c>
      <x:c r="D138" s="41" t="str">
        <x:v>00175-H3</x:v>
      </x:c>
      <x:c r="E138" s="41" t="str">
        <x:v>吉利汽车</x:v>
      </x:c>
      <x:c r="F138" s="42" t="str">
        <x:v>​00175</x:v>
      </x:c>
      <x:c r="G138" s="41" t="str">
        <x:v>新能源汽车</x:v>
      </x:c>
      <x:c r="H138" s="42" t="str">
        <x:v>​2024-02-01T17:06:22+08:00</x:v>
      </x:c>
      <x:c r="I138" s="41" t="str">
        <x:v>品牌与平台整合按计划推进，不出现大额整合损失</x:v>
      </x:c>
      <x:c r="J138" s="41" t="str">
        <x:v>未经审核之二零二四年一月销量</x:v>
      </x:c>
      <x:c r="K138" s="41" t="str">
        <x:v>http://static.cninfo.com.cn/finalpage/2024-02-01/1219065223.PDF</x:v>
      </x:c>
      <x:c r="L138" s="43" t="str">
        <x:v>1-弱相关</x:v>
      </x:c>
      <x:c r="M138" s="43" t="str">
        <x:v>否</x:v>
      </x:c>
      <x:c r="N138" s="43" t="str">
        <x:v>本集团于二零二四年一月之总销量为213,487部汽车，较去年同期增长约110%。</x:v>
      </x:c>
      <x:c r="O138" s="43" t="str">
        <x:v>公告反映需求或盈利表现，但未直接披露产能、研发投入或扩张执行，对查询假设仅有弱主题关联。</x:v>
      </x:c>
      <x:c r="P138" s="43" t="n">
        <x:v>4</x:v>
      </x:c>
      <x:c r="Q138" s="43" t="str">
        <x:v>无</x:v>
      </x:c>
      <x:c r="R138" s="43" t="str">
        <x:v>B-CODEX-FIN-01</x:v>
      </x:c>
      <x:c r="S138" s="49" t="str">
        <x:v>20260826T150309+08:00</x:v>
      </x:c>
    </x:row>
    <x:row r="139" ht="24" hidden="0" customHeight="1">
      <x:c r="A139" s="41" t="str">
        <x:v>138</x:v>
      </x:c>
      <x:c r="B139" s="41" t="str">
        <x:v>G3-R-E081-H3</x:v>
      </x:c>
      <x:c r="C139" s="41" t="str">
        <x:v>G3-E081</x:v>
      </x:c>
      <x:c r="D139" s="41" t="str">
        <x:v>09868-H3</x:v>
      </x:c>
      <x:c r="E139" s="41" t="str">
        <x:v>小鹏汽车</x:v>
      </x:c>
      <x:c r="F139" s="42" t="str">
        <x:v>​09868</x:v>
      </x:c>
      <x:c r="G139" s="41" t="str">
        <x:v>新能源汽车</x:v>
      </x:c>
      <x:c r="H139" s="42" t="str">
        <x:v>​2025-03-03T19:18:14+08:00</x:v>
      </x:c>
      <x:c r="I139" s="41" t="str">
        <x:v>研发与产能投入可持续，现金流不出现明显恶化</x:v>
      </x:c>
      <x:c r="J139" s="41" t="str">
        <x:v>自愿公告2025年2月智能车交付数据</x:v>
      </x:c>
      <x:c r="K139" s="41" t="str">
        <x:v>http://static.cninfo.com.cn/finalpage/2025-03-03/1222693592.PDF</x:v>
      </x:c>
      <x:c r="L139" s="43" t="str">
        <x:v>1-弱相关</x:v>
      </x:c>
      <x:c r="M139" s="43" t="str">
        <x:v>否</x:v>
      </x:c>
      <x:c r="N139" s="43" t="str">
        <x:v>2025年2月，小鹏汽车共交付智能电动汽车30,453辆，同比增长570%。</x:v>
      </x:c>
      <x:c r="O139" s="43" t="str">
        <x:v>公告反映需求或盈利表现，但未直接披露产能、研发投入或扩张执行，对查询假设仅有弱主题关联。</x:v>
      </x:c>
      <x:c r="P139" s="43" t="n">
        <x:v>4</x:v>
      </x:c>
      <x:c r="Q139" s="43" t="str">
        <x:v>无</x:v>
      </x:c>
      <x:c r="R139" s="43" t="str">
        <x:v>B-CODEX-FIN-01</x:v>
      </x:c>
      <x:c r="S139" s="49" t="str">
        <x:v>20260826T150309+08:00</x:v>
      </x:c>
    </x:row>
    <x:row r="140" ht="24" hidden="0" customHeight="1">
      <x:c r="A140" s="41" t="str">
        <x:v>139</x:v>
      </x:c>
      <x:c r="B140" s="41" t="str">
        <x:v>G3-R-E051-H3</x:v>
      </x:c>
      <x:c r="C140" s="41" t="str">
        <x:v>G3-E051</x:v>
      </x:c>
      <x:c r="D140" s="41" t="str">
        <x:v>688981-H3</x:v>
      </x:c>
      <x:c r="E140" s="41" t="str">
        <x:v>中芯国际</x:v>
      </x:c>
      <x:c r="F140" s="42" t="str">
        <x:v>​688981</x:v>
      </x:c>
      <x:c r="G140" s="41" t="str">
        <x:v>芯片半导体</x:v>
      </x:c>
      <x:c r="H140" s="42" t="str">
        <x:v>​2026-05-13T00:00:00+08:00</x:v>
      </x:c>
      <x:c r="I140" s="41" t="str">
        <x:v>资本开支与扩产节奏匹配下游需求，先进制程投入不出现大额减值</x:v>
      </x:c>
      <x:c r="J140" s="41" t="str">
        <x:v>中芯国际集成电路制造有限公司关于发行股份购买资产暨关联交易报告书修订说明的公告</x:v>
      </x:c>
      <x:c r="K140" s="41" t="str">
        <x:v>http://static.cninfo.com.cn/finalpage/2026-05-13/1225300706.PDF</x:v>
      </x:c>
      <x:c r="L140" s="43" t="str">
        <x:v>0-无关</x:v>
      </x:c>
      <x:c r="M140" s="43" t="str">
        <x:v>否</x:v>
      </x:c>
      <x:c r="N140" s="43" t="str"/>
      <x:c r="O140" s="43" t="str">
        <x:v>候选公告属于治理、证券变动或程序性披露，不回答该查询假设，也不提供有效业务关系证据。</x:v>
      </x:c>
      <x:c r="P140" s="43" t="n">
        <x:v>5</x:v>
      </x:c>
      <x:c r="Q140" s="43" t="str">
        <x:v>无</x:v>
      </x:c>
      <x:c r="R140" s="43" t="str">
        <x:v>B-CODEX-FIN-01</x:v>
      </x:c>
      <x:c r="S140" s="49" t="str">
        <x:v>20260826T150309+08:00</x:v>
      </x:c>
    </x:row>
    <x:row r="141" ht="24" hidden="0" customHeight="1">
      <x:c r="A141" s="41" t="str">
        <x:v>140</x:v>
      </x:c>
      <x:c r="B141" s="41" t="str">
        <x:v>G3-R-E012-H3</x:v>
      </x:c>
      <x:c r="C141" s="41" t="str">
        <x:v>G3-E012</x:v>
      </x:c>
      <x:c r="D141" s="41" t="str">
        <x:v>00175-H3</x:v>
      </x:c>
      <x:c r="E141" s="41" t="str">
        <x:v>吉利汽车</x:v>
      </x:c>
      <x:c r="F141" s="42" t="str">
        <x:v>​00175</x:v>
      </x:c>
      <x:c r="G141" s="41" t="str">
        <x:v>新能源汽车</x:v>
      </x:c>
      <x:c r="H141" s="42" t="str">
        <x:v>​2025-06-01T18:06:28+08:00</x:v>
      </x:c>
      <x:c r="I141" s="41" t="str">
        <x:v>品牌与平台整合按计划推进，不出现大额整合损失</x:v>
      </x:c>
      <x:c r="J141" s="41" t="str">
        <x:v>未经审核之二零二五年五月销量</x:v>
      </x:c>
      <x:c r="K141" s="41" t="str">
        <x:v>http://static.cninfo.com.cn/finalpage/2025-06-01/1223738489.PDF</x:v>
      </x:c>
      <x:c r="L141" s="43" t="str">
        <x:v>1-弱相关</x:v>
      </x:c>
      <x:c r="M141" s="43" t="str">
        <x:v>否</x:v>
      </x:c>
      <x:c r="N141" s="43" t="str">
        <x:v>汽车总销量235,208部，去年同期160,658部，同比增加46%。</x:v>
      </x:c>
      <x:c r="O141" s="43" t="str">
        <x:v>公告反映需求或盈利表现，但未直接披露产能、研发投入或扩张执行，对查询假设仅有弱主题关联。</x:v>
      </x:c>
      <x:c r="P141" s="43" t="n">
        <x:v>4</x:v>
      </x:c>
      <x:c r="Q141" s="43" t="str">
        <x:v>无</x:v>
      </x:c>
      <x:c r="R141" s="43" t="str">
        <x:v>B-CODEX-FIN-01</x:v>
      </x:c>
      <x:c r="S141" s="49" t="str">
        <x:v>20260826T150309+08:00</x:v>
      </x:c>
    </x:row>
    <x:row r="142" ht="24" hidden="0" customHeight="1">
      <x:c r="A142" s="41" t="str">
        <x:v>141</x:v>
      </x:c>
      <x:c r="B142" s="41" t="str">
        <x:v>G3-R-E103-H2</x:v>
      </x:c>
      <x:c r="C142" s="41" t="str">
        <x:v>G3-E103</x:v>
      </x:c>
      <x:c r="D142" s="41" t="str">
        <x:v>600276-H2</x:v>
      </x:c>
      <x:c r="E142" s="41" t="str">
        <x:v>恒瑞医药</x:v>
      </x:c>
      <x:c r="F142" s="42" t="str">
        <x:v>​600276</x:v>
      </x:c>
      <x:c r="G142" s="41" t="str">
        <x:v>医药</x:v>
      </x:c>
      <x:c r="H142" s="42" t="str">
        <x:v>​2025-07-18T00:00:00+08:00</x:v>
      </x:c>
      <x:c r="I142" s="41" t="str">
        <x:v>创新药占比提升支撑高毛利率，集采降价不导致盈利持续恶化</x:v>
      </x:c>
      <x:c r="J142" s="41" t="str">
        <x:v>恒瑞医药关于获得药物临床试验批准通知书的公告</x:v>
      </x:c>
      <x:c r="K142" s="41" t="str">
        <x:v>http://static.cninfo.com.cn/finalpage/2025-07-18/1224202262.PDF</x:v>
      </x:c>
      <x:c r="L142" s="43" t="str">
        <x:v>2-间接相关</x:v>
      </x:c>
      <x:c r="M142" s="43" t="str">
        <x:v>是</x:v>
      </x:c>
      <x:c r="N142" s="43" t="str">
        <x:v>根据我国药品注册相关的法律法规要求，药物在获得药物临床试验批准通知</x:v>
      </x:c>
      <x:c r="O142" s="43" t="str">
        <x:v>管线进展可经创新药占比和产品结构影响盈利质量，但尚未直接披露毛利率或集采影响。</x:v>
      </x:c>
      <x:c r="P142" s="43" t="n">
        <x:v>4</x:v>
      </x:c>
      <x:c r="Q142" s="43" t="str">
        <x:v>无</x:v>
      </x:c>
      <x:c r="R142" s="43" t="str">
        <x:v>B-CODEX-FIN-01</x:v>
      </x:c>
      <x:c r="S142" s="49" t="str">
        <x:v>20260826T150309+08:00</x:v>
      </x:c>
    </x:row>
    <x:row r="143" ht="24" hidden="0" customHeight="1">
      <x:c r="A143" s="41" t="str">
        <x:v>142</x:v>
      </x:c>
      <x:c r="B143" s="41" t="str">
        <x:v>G3-R-E016-H1</x:v>
      </x:c>
      <x:c r="C143" s="41" t="str">
        <x:v>G3-E016</x:v>
      </x:c>
      <x:c r="D143" s="41" t="str">
        <x:v>00175-H1</x:v>
      </x:c>
      <x:c r="E143" s="41" t="str">
        <x:v>吉利汽车</x:v>
      </x:c>
      <x:c r="F143" s="42" t="str">
        <x:v>​00175</x:v>
      </x:c>
      <x:c r="G143" s="41" t="str">
        <x:v>新能源汽车</x:v>
      </x:c>
      <x:c r="H143" s="42" t="str">
        <x:v>​2025-10-01T23:59:59+08:00</x:v>
      </x:c>
      <x:c r="I143" s="41" t="str">
        <x:v>新能源车型销量放量带动整体销量增长，出口贡献增量</x:v>
      </x:c>
      <x:c r="J143" s="41" t="str">
        <x:v>未经审核之二零二五年九月销量</x:v>
      </x:c>
      <x:c r="K143" s="41" t="str">
        <x:v>http://static.cninfo.com.cn/finalpage/2025-10-01/1224697779.PDF</x:v>
      </x:c>
      <x:c r="L143" s="43" t="str">
        <x:v>3-直接相关</x:v>
      </x:c>
      <x:c r="M143" s="43" t="str">
        <x:v>是</x:v>
      </x:c>
      <x:c r="N143" s="43" t="str">
        <x:v>汽车总销量273,125部，去年同期201,949部，同比增加35%。</x:v>
      </x:c>
      <x:c r="O143" s="43" t="str">
        <x:v>公告事实直接对应查询假设中的核心业务变量，时间边界内可建立可复核关系路径。</x:v>
      </x:c>
      <x:c r="P143" s="43" t="n">
        <x:v>5</x:v>
      </x:c>
      <x:c r="Q143" s="43" t="str">
        <x:v>无</x:v>
      </x:c>
      <x:c r="R143" s="43" t="str">
        <x:v>B-CODEX-FIN-01</x:v>
      </x:c>
      <x:c r="S143" s="49" t="str">
        <x:v>20260826T150309+08:00</x:v>
      </x:c>
    </x:row>
    <x:row r="144" ht="24" hidden="0" customHeight="1">
      <x:c r="A144" s="41" t="str">
        <x:v>143</x:v>
      </x:c>
      <x:c r="B144" s="41" t="str">
        <x:v>G3-R-E092-H3</x:v>
      </x:c>
      <x:c r="C144" s="41" t="str">
        <x:v>G3-E092</x:v>
      </x:c>
      <x:c r="D144" s="41" t="str">
        <x:v>002594-H3</x:v>
      </x:c>
      <x:c r="E144" s="41" t="str">
        <x:v>比亚迪</x:v>
      </x:c>
      <x:c r="F144" s="42" t="str">
        <x:v>​002594</x:v>
      </x:c>
      <x:c r="G144" s="41" t="str">
        <x:v>新能源汽车</x:v>
      </x:c>
      <x:c r="H144" s="42" t="str">
        <x:v>​2024-01-30T00:00:00+08:00</x:v>
      </x:c>
      <x:c r="I144" s="41" t="str">
        <x:v>海外工厂与产能扩张按计划落地，不出现大额投资减值</x:v>
      </x:c>
      <x:c r="J144" s="41" t="str">
        <x:v>2023年度业绩预告</x:v>
      </x:c>
      <x:c r="K144" s="41" t="str">
        <x:v>http://static.cninfo.com.cn/finalpage/2024-01-30/1219028933.PDF</x:v>
      </x:c>
      <x:c r="L144" s="43" t="str">
        <x:v>1-弱相关</x:v>
      </x:c>
      <x:c r="M144" s="43" t="str">
        <x:v>否</x:v>
      </x:c>
      <x:c r="N144" s="43" t="str">
        <x:v>2023年预计归母净利润同比上升74.46%-86.49%，新能源汽车销量再创历史新高。</x:v>
      </x:c>
      <x:c r="O144" s="43" t="str">
        <x:v>公告反映需求或盈利表现，但未直接披露产能、研发投入或扩张执行，对查询假设仅有弱主题关联。</x:v>
      </x:c>
      <x:c r="P144" s="43" t="n">
        <x:v>4</x:v>
      </x:c>
      <x:c r="Q144" s="43" t="str">
        <x:v>无</x:v>
      </x:c>
      <x:c r="R144" s="43" t="str">
        <x:v>B-CODEX-FIN-01</x:v>
      </x:c>
      <x:c r="S144" s="49" t="str">
        <x:v>20260826T150309+08:00</x:v>
      </x:c>
    </x:row>
    <x:row r="145" ht="24" hidden="0" customHeight="1">
      <x:c r="A145" s="41" t="str">
        <x:v>144</x:v>
      </x:c>
      <x:c r="B145" s="41" t="str">
        <x:v>G3-R-E107-H2</x:v>
      </x:c>
      <x:c r="C145" s="41" t="str">
        <x:v>G3-E107</x:v>
      </x:c>
      <x:c r="D145" s="41" t="str">
        <x:v>09868-H2</x:v>
      </x:c>
      <x:c r="E145" s="41" t="str">
        <x:v>小鹏汽车</x:v>
      </x:c>
      <x:c r="F145" s="42" t="str">
        <x:v>​09868</x:v>
      </x:c>
      <x:c r="G145" s="41" t="str">
        <x:v>新能源汽车</x:v>
      </x:c>
      <x:c r="H145" s="42" t="str">
        <x:v>​2025-08-22T21:24:11+08:00</x:v>
      </x:c>
      <x:c r="I145" s="41" t="str">
        <x:v>毛利率随规模与技术服务收入改善，不回落到历史低位</x:v>
      </x:c>
      <x:c r="J145" s="41" t="str">
        <x:v>重续持续关连交易 与广东汇天签订2026年合作框架协议</x:v>
      </x:c>
      <x:c r="K145" s="41" t="str">
        <x:v>http://static.cninfo.com.cn/finalpage/2025-08-22/1224561663.PDF</x:v>
      </x:c>
      <x:c r="L145" s="43" t="str">
        <x:v>2-间接相关</x:v>
      </x:c>
      <x:c r="M145" s="43" t="str">
        <x:v>是</x:v>
      </x:c>
      <x:c r="N145" s="43" t="str">
        <x:v>2026年合作框架协议年度交易上限为人民币900百万元，合作需求不断增加。</x:v>
      </x:c>
      <x:c r="O145" s="43" t="str">
        <x:v>公告与查询假设并非同一直接指标，但可经需求、规模、产品商业化或投入产出的一层因果链建立关系。</x:v>
      </x:c>
      <x:c r="P145" s="43" t="n">
        <x:v>4</x:v>
      </x:c>
      <x:c r="Q145" s="43" t="str">
        <x:v>无</x:v>
      </x:c>
      <x:c r="R145" s="43" t="str">
        <x:v>B-CODEX-FIN-01</x:v>
      </x:c>
      <x:c r="S145" s="49" t="str">
        <x:v>20260826T150309+08:00</x:v>
      </x:c>
    </x:row>
    <x:row r="146" ht="24" hidden="0" customHeight="1">
      <x:c r="A146" s="41" t="str">
        <x:v>145</x:v>
      </x:c>
      <x:c r="B146" s="41" t="str">
        <x:v>G3-R-E067-H2</x:v>
      </x:c>
      <x:c r="C146" s="41" t="str">
        <x:v>G3-E067</x:v>
      </x:c>
      <x:c r="D146" s="41" t="str">
        <x:v>002371-H2</x:v>
      </x:c>
      <x:c r="E146" s="41" t="str">
        <x:v>北方华创</x:v>
      </x:c>
      <x:c r="F146" s="42" t="str">
        <x:v>​002371</x:v>
      </x:c>
      <x:c r="G146" s="41" t="str">
        <x:v>芯片半导体</x:v>
      </x:c>
      <x:c r="H146" s="42" t="str">
        <x:v>​2026-06-23T00:00:00+08:00</x:v>
      </x:c>
      <x:c r="I146" s="41" t="str">
        <x:v>规模效应与国产化推进支撑毛利率，不因竞争加剧显著下滑</x:v>
      </x:c>
      <x:c r="J146" s="41" t="str">
        <x:v>关于放弃参股公司增资优先认购权暨关联交易的公告</x:v>
      </x:c>
      <x:c r="K146" s="41" t="str">
        <x:v>http://static.cninfo.com.cn/finalpage/2026-06-23/1225381704.PDF</x:v>
      </x:c>
      <x:c r="L146" s="43" t="str">
        <x:v>0-无关</x:v>
      </x:c>
      <x:c r="M146" s="43" t="str">
        <x:v>否</x:v>
      </x:c>
      <x:c r="N146" s="43" t="str"/>
      <x:c r="O146" s="43" t="str">
        <x:v>候选公告属于治理、证券变动或程序性披露，不回答该查询假设，也不提供有效业务关系证据。</x:v>
      </x:c>
      <x:c r="P146" s="43" t="n">
        <x:v>5</x:v>
      </x:c>
      <x:c r="Q146" s="43" t="str">
        <x:v>无</x:v>
      </x:c>
      <x:c r="R146" s="43" t="str">
        <x:v>B-CODEX-FIN-01</x:v>
      </x:c>
      <x:c r="S146" s="49" t="str">
        <x:v>20260826T150309+08:00</x:v>
      </x:c>
    </x:row>
    <x:row r="147" ht="24" hidden="0" customHeight="1">
      <x:c r="A147" s="41" t="str">
        <x:v>146</x:v>
      </x:c>
      <x:c r="B147" s="41" t="str">
        <x:v>G3-R-E052-H3</x:v>
      </x:c>
      <x:c r="C147" s="41" t="str">
        <x:v>G3-E052</x:v>
      </x:c>
      <x:c r="D147" s="41" t="str">
        <x:v>600276-H3</x:v>
      </x:c>
      <x:c r="E147" s="41" t="str">
        <x:v>恒瑞医药</x:v>
      </x:c>
      <x:c r="F147" s="42" t="str">
        <x:v>​600276</x:v>
      </x:c>
      <x:c r="G147" s="41" t="str">
        <x:v>医药</x:v>
      </x:c>
      <x:c r="H147" s="42" t="str">
        <x:v>​2025-03-17T00:00:00+08:00</x:v>
      </x:c>
      <x:c r="I147" s="41" t="str">
        <x:v>研发投入强度维持，管线推进不出现关键品种研发失败</x:v>
      </x:c>
      <x:c r="J147" s="41" t="str">
        <x:v>恒瑞医药关于获得药品注册证书的公告</x:v>
      </x:c>
      <x:c r="K147" s="41" t="str">
        <x:v>http://static.cninfo.com.cn/finalpage/2025-03-17/1222816001.PDF</x:v>
      </x:c>
      <x:c r="L147" s="43" t="str">
        <x:v>3-直接相关</x:v>
      </x:c>
      <x:c r="M147" s="43" t="str">
        <x:v>是</x:v>
      </x:c>
      <x:c r="N147" s="43" t="str">
        <x:v>册证书》，批准公司自主研发的 1 类创新药富马酸泰吉利定注射液新增适应症，</x:v>
      </x:c>
      <x:c r="O147" s="43" t="str">
        <x:v>药品受理、临床批准或注册获批直接证明研发管线推进，并对创新药商业化假设提供可观察事实。</x:v>
      </x:c>
      <x:c r="P147" s="43" t="n">
        <x:v>5</x:v>
      </x:c>
      <x:c r="Q147" s="43" t="str">
        <x:v>无</x:v>
      </x:c>
      <x:c r="R147" s="43" t="str">
        <x:v>B-CODEX-FIN-01</x:v>
      </x:c>
      <x:c r="S147" s="49" t="str">
        <x:v>20260826T150309+08:00</x:v>
      </x:c>
    </x:row>
    <x:row r="148" ht="24" hidden="0" customHeight="1">
      <x:c r="A148" s="41" t="str">
        <x:v>147</x:v>
      </x:c>
      <x:c r="B148" s="41" t="str">
        <x:v>G3-R-E045-H1</x:v>
      </x:c>
      <x:c r="C148" s="41" t="str">
        <x:v>G3-E045</x:v>
      </x:c>
      <x:c r="D148" s="41" t="str">
        <x:v>600276-H1</x:v>
      </x:c>
      <x:c r="E148" s="41" t="str">
        <x:v>恒瑞医药</x:v>
      </x:c>
      <x:c r="F148" s="42" t="str">
        <x:v>​600276</x:v>
      </x:c>
      <x:c r="G148" s="41" t="str">
        <x:v>医药</x:v>
      </x:c>
      <x:c r="H148" s="42" t="str">
        <x:v>​2026-01-08T00:00:00+08:00</x:v>
      </x:c>
      <x:c r="I148" s="41" t="str">
        <x:v>创新药放量与授权合作收入接续仿制药集采下滑，研发管线持续推进</x:v>
      </x:c>
      <x:c r="J148" s="41" t="str">
        <x:v>恒瑞医药关于获得药品注册批准的公告</x:v>
      </x:c>
      <x:c r="K148" s="41" t="str">
        <x:v>http://static.cninfo.com.cn/finalpage/2026-01-08/1224923160.PDF</x:v>
      </x:c>
      <x:c r="L148" s="43" t="str">
        <x:v>3-直接相关</x:v>
      </x:c>
      <x:c r="M148" s="43" t="str">
        <x:v>是</x:v>
      </x:c>
      <x:c r="N148" s="43" t="str">
        <x:v>批准公司自主研发的 1 类创新药瑞拉芙普α注射液上市。现将相关情况公告如下：</x:v>
      </x:c>
      <x:c r="O148" s="43" t="str">
        <x:v>药品受理、临床批准或注册获批直接证明研发管线推进，并对创新药商业化假设提供可观察事实。</x:v>
      </x:c>
      <x:c r="P148" s="43" t="n">
        <x:v>5</x:v>
      </x:c>
      <x:c r="Q148" s="43" t="str">
        <x:v>无</x:v>
      </x:c>
      <x:c r="R148" s="43" t="str">
        <x:v>B-CODEX-FIN-01</x:v>
      </x:c>
      <x:c r="S148" s="49" t="str">
        <x:v>20260826T150309+08:00</x:v>
      </x:c>
    </x:row>
    <x:row r="149" ht="24" hidden="0" customHeight="1">
      <x:c r="A149" s="41" t="str">
        <x:v>148</x:v>
      </x:c>
      <x:c r="B149" s="41" t="str">
        <x:v>G3-R-E073-H3</x:v>
      </x:c>
      <x:c r="C149" s="41" t="str">
        <x:v>G3-E073</x:v>
      </x:c>
      <x:c r="D149" s="41" t="str">
        <x:v>002594-H3</x:v>
      </x:c>
      <x:c r="E149" s="41" t="str">
        <x:v>比亚迪</x:v>
      </x:c>
      <x:c r="F149" s="42" t="str">
        <x:v>​002594</x:v>
      </x:c>
      <x:c r="G149" s="41" t="str">
        <x:v>新能源汽车</x:v>
      </x:c>
      <x:c r="H149" s="42" t="str">
        <x:v>​2025-10-09T00:00:00+08:00</x:v>
      </x:c>
      <x:c r="I149" s="41" t="str">
        <x:v>海外工厂与产能扩张按计划落地，不出现大额投资减值</x:v>
      </x:c>
      <x:c r="J149" s="41" t="str">
        <x:v>2025年9月产销快报</x:v>
      </x:c>
      <x:c r="K149" s="41" t="str">
        <x:v>http://static.cninfo.com.cn/finalpage/2025-10-09/1224697528.PDF</x:v>
      </x:c>
      <x:c r="L149" s="43" t="str">
        <x:v>1-弱相关</x:v>
      </x:c>
      <x:c r="M149" s="43" t="str">
        <x:v>否</x:v>
      </x:c>
      <x:c r="N149" s="43" t="str">
        <x:v>新能源汽车本年累计销量3,260,146辆，去年累计2,747,875辆，累计同比18.64%。</x:v>
      </x:c>
      <x:c r="O149" s="43" t="str">
        <x:v>公告反映需求或盈利表现，但未直接披露产能、研发投入或扩张执行，对查询假设仅有弱主题关联。</x:v>
      </x:c>
      <x:c r="P149" s="43" t="n">
        <x:v>4</x:v>
      </x:c>
      <x:c r="Q149" s="43" t="str">
        <x:v>无</x:v>
      </x:c>
      <x:c r="R149" s="43" t="str">
        <x:v>B-CODEX-FIN-01</x:v>
      </x:c>
      <x:c r="S149" s="49" t="str">
        <x:v>20260826T150309+08:00</x:v>
      </x:c>
    </x:row>
    <x:row r="150" ht="24" hidden="0" customHeight="1">
      <x:c r="A150" s="41" t="str">
        <x:v>149</x:v>
      </x:c>
      <x:c r="B150" s="41" t="str">
        <x:v>G3-R-E043-H1</x:v>
      </x:c>
      <x:c r="C150" s="41" t="str">
        <x:v>G3-E043</x:v>
      </x:c>
      <x:c r="D150" s="41" t="str">
        <x:v>688981-H1</x:v>
      </x:c>
      <x:c r="E150" s="41" t="str">
        <x:v>中芯国际</x:v>
      </x:c>
      <x:c r="F150" s="42" t="str">
        <x:v>​688981</x:v>
      </x:c>
      <x:c r="G150" s="41" t="str">
        <x:v>芯片半导体</x:v>
      </x:c>
      <x:c r="H150" s="42" t="str">
        <x:v>​2026-05-15T00:00:00+08:00</x:v>
      </x:c>
      <x:c r="I150" s="41" t="str">
        <x:v>成熟制程产能利用率与晶圆出货保持增长，国产替代需求是主要驱动</x:v>
      </x:c>
      <x:c r="J150" s="41" t="str">
        <x:v>中芯国际2026年第一季度报告</x:v>
      </x:c>
      <x:c r="K150" s="41" t="str">
        <x:v>http://static.cninfo.com.cn/finalpage/2026-05-15/1225307101.PDF</x:v>
      </x:c>
      <x:c r="L150" s="43" t="str">
        <x:v>3-直接相关</x:v>
      </x:c>
      <x:c r="M150" s="43" t="str">
        <x:v>是</x:v>
      </x:c>
      <x:c r="N150" s="43" t="str">
        <x:v>2026年第一季度销售收入25.05亿美元，环比增长0.7%；毛利率20.1%，环比增加0.9个百分点。</x:v>
      </x:c>
      <x:c r="O150" s="43" t="str">
        <x:v>定期报告直接披露查询假设所需的收入、订单、毛利率、研发投入、产能或减值指标，可建立完整关系路径。</x:v>
      </x:c>
      <x:c r="P150" s="43" t="n">
        <x:v>5</x:v>
      </x:c>
      <x:c r="Q150" s="43" t="str">
        <x:v>无</x:v>
      </x:c>
      <x:c r="R150" s="43" t="str">
        <x:v>B-CODEX-FIN-01</x:v>
      </x:c>
      <x:c r="S150" s="49" t="str">
        <x:v>20260826T150309+08:00</x:v>
      </x:c>
    </x:row>
    <x:row r="151" ht="24" hidden="0" customHeight="1">
      <x:c r="A151" s="41" t="str">
        <x:v>150</x:v>
      </x:c>
      <x:c r="B151" s="41" t="str">
        <x:v>G3-R-E107-H3</x:v>
      </x:c>
      <x:c r="C151" s="41" t="str">
        <x:v>G3-E107</x:v>
      </x:c>
      <x:c r="D151" s="41" t="str">
        <x:v>09868-H3</x:v>
      </x:c>
      <x:c r="E151" s="41" t="str">
        <x:v>小鹏汽车</x:v>
      </x:c>
      <x:c r="F151" s="42" t="str">
        <x:v>​09868</x:v>
      </x:c>
      <x:c r="G151" s="41" t="str">
        <x:v>新能源汽车</x:v>
      </x:c>
      <x:c r="H151" s="42" t="str">
        <x:v>​2025-08-22T21:24:11+08:00</x:v>
      </x:c>
      <x:c r="I151" s="41" t="str">
        <x:v>研发与产能投入可持续，现金流不出现明显恶化</x:v>
      </x:c>
      <x:c r="J151" s="41" t="str">
        <x:v>重续持续关连交易 与广东汇天签订2026年合作框架协议</x:v>
      </x:c>
      <x:c r="K151" s="41" t="str">
        <x:v>http://static.cninfo.com.cn/finalpage/2025-08-22/1224561663.PDF</x:v>
      </x:c>
      <x:c r="L151" s="43" t="str">
        <x:v>1-弱相关</x:v>
      </x:c>
      <x:c r="M151" s="43" t="str">
        <x:v>否</x:v>
      </x:c>
      <x:c r="N151" s="43" t="str">
        <x:v>2026年合作框架协议年度交易上限为人民币900百万元，合作需求不断增加。</x:v>
      </x:c>
      <x:c r="O151" s="43" t="str">
        <x:v>公告反映需求或盈利表现，但未直接披露产能、研发投入或扩张执行，对查询假设仅有弱主题关联。</x:v>
      </x:c>
      <x:c r="P151" s="43" t="n">
        <x:v>4</x:v>
      </x:c>
      <x:c r="Q151" s="43" t="str">
        <x:v>无</x:v>
      </x:c>
      <x:c r="R151" s="43" t="str">
        <x:v>B-CODEX-FIN-01</x:v>
      </x:c>
      <x:c r="S151" s="49" t="str">
        <x:v>20260826T150309+08:00</x:v>
      </x:c>
    </x:row>
    <x:row r="152" ht="24" hidden="0" customHeight="1">
      <x:c r="A152" s="41" t="str">
        <x:v>151</x:v>
      </x:c>
      <x:c r="B152" s="41" t="str">
        <x:v>G3-R-E092-H2</x:v>
      </x:c>
      <x:c r="C152" s="41" t="str">
        <x:v>G3-E092</x:v>
      </x:c>
      <x:c r="D152" s="41" t="str">
        <x:v>002594-H2</x:v>
      </x:c>
      <x:c r="E152" s="41" t="str">
        <x:v>比亚迪</x:v>
      </x:c>
      <x:c r="F152" s="42" t="str">
        <x:v>​002594</x:v>
      </x:c>
      <x:c r="G152" s="41" t="str">
        <x:v>新能源汽车</x:v>
      </x:c>
      <x:c r="H152" s="42" t="str">
        <x:v>​2024-01-30T00:00:00+08:00</x:v>
      </x:c>
      <x:c r="I152" s="41" t="str">
        <x:v>规模效应与垂直一体化维持毛利率，价格战不导致盈利持续恶化</x:v>
      </x:c>
      <x:c r="J152" s="41" t="str">
        <x:v>2023年度业绩预告</x:v>
      </x:c>
      <x:c r="K152" s="41" t="str">
        <x:v>http://static.cninfo.com.cn/finalpage/2024-01-30/1219028933.PDF</x:v>
      </x:c>
      <x:c r="L152" s="43" t="str">
        <x:v>3-直接相关</x:v>
      </x:c>
      <x:c r="M152" s="43" t="str">
        <x:v>是</x:v>
      </x:c>
      <x:c r="N152" s="43" t="str">
        <x:v>2023年预计归母净利润同比上升74.46%-86.49%，新能源汽车销量再创历史新高。</x:v>
      </x:c>
      <x:c r="O152" s="43" t="str">
        <x:v>公告事实直接对应查询假设中的核心业务变量，时间边界内可建立可复核关系路径。</x:v>
      </x:c>
      <x:c r="P152" s="43" t="n">
        <x:v>5</x:v>
      </x:c>
      <x:c r="Q152" s="43" t="str">
        <x:v>无</x:v>
      </x:c>
      <x:c r="R152" s="43" t="str">
        <x:v>B-CODEX-FIN-01</x:v>
      </x:c>
      <x:c r="S152" s="49" t="str">
        <x:v>20260826T150309+08:00</x:v>
      </x:c>
    </x:row>
    <x:row r="153" ht="24" hidden="0" customHeight="1">
      <x:c r="A153" s="41" t="str">
        <x:v>152</x:v>
      </x:c>
      <x:c r="B153" s="41" t="str">
        <x:v>G3-R-E100-H3</x:v>
      </x:c>
      <x:c r="C153" s="41" t="str">
        <x:v>G3-E100</x:v>
      </x:c>
      <x:c r="D153" s="41" t="str">
        <x:v>603986-H3</x:v>
      </x:c>
      <x:c r="E153" s="41" t="str">
        <x:v>兆易创新</x:v>
      </x:c>
      <x:c r="F153" s="42" t="str">
        <x:v>​603986</x:v>
      </x:c>
      <x:c r="G153" s="41" t="str">
        <x:v>芯片半导体</x:v>
      </x:c>
      <x:c r="H153" s="42" t="str">
        <x:v>​2026-05-27T00:00:00+08:00</x:v>
      </x:c>
      <x:c r="I153" s="41" t="str">
        <x:v>新品研发与产能储备按计划推进，不出现存货大额跌价</x:v>
      </x:c>
      <x:c r="J153" s="41" t="str">
        <x:v>兆易创新关于调整2024年股票期权激励计划相关事项的公告</x:v>
      </x:c>
      <x:c r="K153" s="41" t="str">
        <x:v>http://static.cninfo.com.cn/finalpage/2026-05-27/1225331853.PDF</x:v>
      </x:c>
      <x:c r="L153" s="43" t="str">
        <x:v>0-无关</x:v>
      </x:c>
      <x:c r="M153" s="43" t="str">
        <x:v>否</x:v>
      </x:c>
      <x:c r="N153" s="43" t="str"/>
      <x:c r="O153" s="43" t="str">
        <x:v>候选公告属于治理、证券变动或程序性披露，不回答该查询假设，也不提供有效业务关系证据。</x:v>
      </x:c>
      <x:c r="P153" s="43" t="n">
        <x:v>5</x:v>
      </x:c>
      <x:c r="Q153" s="43" t="str">
        <x:v>无</x:v>
      </x:c>
      <x:c r="R153" s="43" t="str">
        <x:v>B-CODEX-FIN-01</x:v>
      </x:c>
      <x:c r="S153" s="49" t="str">
        <x:v>20260826T150309+08:00</x:v>
      </x:c>
    </x:row>
    <x:row r="154" ht="24" hidden="0" customHeight="1">
      <x:c r="A154" s="41" t="str">
        <x:v>153</x:v>
      </x:c>
      <x:c r="B154" s="41" t="str">
        <x:v>G3-R-E028-H2</x:v>
      </x:c>
      <x:c r="C154" s="41" t="str">
        <x:v>G3-E028</x:v>
      </x:c>
      <x:c r="D154" s="41" t="str">
        <x:v>09868-H2</x:v>
      </x:c>
      <x:c r="E154" s="41" t="str">
        <x:v>小鹏汽车</x:v>
      </x:c>
      <x:c r="F154" s="42" t="str">
        <x:v>​09868</x:v>
      </x:c>
      <x:c r="G154" s="41" t="str">
        <x:v>新能源汽车</x:v>
      </x:c>
      <x:c r="H154" s="42" t="str">
        <x:v>​2026-01-01T18:52:07+08:00</x:v>
      </x:c>
      <x:c r="I154" s="41" t="str">
        <x:v>毛利率随规模与技术服务收入改善，不回落到历史低位</x:v>
      </x:c>
      <x:c r="J154" s="41" t="str">
        <x:v>自愿公告2025年12 月及第四季度智能车交付数据</x:v>
      </x:c>
      <x:c r="K154" s="41" t="str">
        <x:v>http://static.cninfo.com.cn/finalpage/2026-01-01/1224915704.PDF</x:v>
      </x:c>
      <x:c r="L154" s="43" t="str">
        <x:v>2-间接相关</x:v>
      </x:c>
      <x:c r="M154" s="43" t="str">
        <x:v>是</x:v>
      </x:c>
      <x:c r="N154" s="43" t="str">
        <x:v>2025年12月，小鹏汽车共交付智能电动汽车37,508辆，同比增长2%。</x:v>
      </x:c>
      <x:c r="O154" s="43" t="str">
        <x:v>公告与查询假设并非同一直接指标，但可经需求、规模、产品商业化或投入产出的一层因果链建立关系。</x:v>
      </x:c>
      <x:c r="P154" s="43" t="n">
        <x:v>4</x:v>
      </x:c>
      <x:c r="Q154" s="43" t="str">
        <x:v>无</x:v>
      </x:c>
      <x:c r="R154" s="43" t="str">
        <x:v>B-CODEX-FIN-01</x:v>
      </x:c>
      <x:c r="S154" s="49" t="str">
        <x:v>20260826T150309+08:00</x:v>
      </x:c>
    </x:row>
    <x:row r="155" ht="24" hidden="0" customHeight="1">
      <x:c r="A155" s="41" t="str">
        <x:v>154</x:v>
      </x:c>
      <x:c r="B155" s="41" t="str">
        <x:v>G3-R-E105-H2</x:v>
      </x:c>
      <x:c r="C155" s="41" t="str">
        <x:v>G3-E105</x:v>
      </x:c>
      <x:c r="D155" s="41" t="str">
        <x:v>000538-H2</x:v>
      </x:c>
      <x:c r="E155" s="41" t="str">
        <x:v>云南白药</x:v>
      </x:c>
      <x:c r="F155" s="42" t="str">
        <x:v>​000538</x:v>
      </x:c>
      <x:c r="G155" s="41" t="str">
        <x:v>医药</x:v>
      </x:c>
      <x:c r="H155" s="42" t="str">
        <x:v>​2025-06-18T00:00:00+08:00</x:v>
      </x:c>
      <x:c r="I155" s="41" t="str">
        <x:v>毛利率随产品结构与原料成本波动，不持续低于历史区间</x:v>
      </x:c>
      <x:c r="J155" s="41" t="str">
        <x:v>2025-20 关于JZ-14胶囊获得药物临床试验批准的公告</x:v>
      </x:c>
      <x:c r="K155" s="41" t="str">
        <x:v>http://static.cninfo.com.cn/finalpage/2025-06-18/1223899598.PDF</x:v>
      </x:c>
      <x:c r="L155" s="43" t="str">
        <x:v>2-间接相关</x:v>
      </x:c>
      <x:c r="M155" s="43" t="str">
        <x:v>是</x:v>
      </x:c>
      <x:c r="N155" s="43" t="str">
        <x:v>年 3 月 25 日受理的 JZ-14 胶囊临床试验申请符合药品注册的有关要求，同意</x:v>
      </x:c>
      <x:c r="O155" s="43" t="str">
        <x:v>管线进展可经创新药占比和产品结构影响盈利质量，但尚未直接披露毛利率或集采影响。</x:v>
      </x:c>
      <x:c r="P155" s="43" t="n">
        <x:v>4</x:v>
      </x:c>
      <x:c r="Q155" s="43" t="str">
        <x:v>无</x:v>
      </x:c>
      <x:c r="R155" s="43" t="str">
        <x:v>B-CODEX-FIN-01</x:v>
      </x:c>
      <x:c r="S155" s="49" t="str">
        <x:v>20260826T150309+08:00</x:v>
      </x:c>
    </x:row>
    <x:row r="156" ht="24" hidden="0" customHeight="1">
      <x:c r="A156" s="41" t="str">
        <x:v>155</x:v>
      </x:c>
      <x:c r="B156" s="41" t="str">
        <x:v>G3-R-E080-H2</x:v>
      </x:c>
      <x:c r="C156" s="41" t="str">
        <x:v>G3-E080</x:v>
      </x:c>
      <x:c r="D156" s="41" t="str">
        <x:v>600276-H2</x:v>
      </x:c>
      <x:c r="E156" s="41" t="str">
        <x:v>恒瑞医药</x:v>
      </x:c>
      <x:c r="F156" s="42" t="str">
        <x:v>​600276</x:v>
      </x:c>
      <x:c r="G156" s="41" t="str">
        <x:v>医药</x:v>
      </x:c>
      <x:c r="H156" s="42" t="str">
        <x:v>​2025-12-03T00:00:00+08:00</x:v>
      </x:c>
      <x:c r="I156" s="41" t="str">
        <x:v>创新药占比提升支撑高毛利率，集采降价不导致盈利持续恶化</x:v>
      </x:c>
      <x:c r="J156" s="41" t="str">
        <x:v>恒瑞医药关于药品上市许可申请获受理的提示性公告</x:v>
      </x:c>
      <x:c r="K156" s="41" t="str">
        <x:v>http://static.cninfo.com.cn/finalpage/2025-12-03/1224843478.PDF</x:v>
      </x:c>
      <x:c r="L156" s="43" t="str">
        <x:v>2-间接相关</x:v>
      </x:c>
      <x:c r="M156" s="43" t="str">
        <x:v>是</x:v>
      </x:c>
      <x:c r="N156" s="43" t="str">
        <x:v>关于药品上市许可申请获受理的提示性公告</x:v>
      </x:c>
      <x:c r="O156" s="43" t="str">
        <x:v>管线进展可经创新药占比和产品结构影响盈利质量，但尚未直接披露毛利率或集采影响。</x:v>
      </x:c>
      <x:c r="P156" s="43" t="n">
        <x:v>4</x:v>
      </x:c>
      <x:c r="Q156" s="43" t="str">
        <x:v>无</x:v>
      </x:c>
      <x:c r="R156" s="43" t="str">
        <x:v>B-CODEX-FIN-01</x:v>
      </x:c>
      <x:c r="S156" s="49" t="str">
        <x:v>20260826T150309+08:00</x:v>
      </x:c>
    </x:row>
    <x:row r="157" ht="24" hidden="0" customHeight="1">
      <x:c r="A157" s="41" t="str">
        <x:v>156</x:v>
      </x:c>
      <x:c r="B157" s="41" t="str">
        <x:v>G3-R-E069-H2</x:v>
      </x:c>
      <x:c r="C157" s="41" t="str">
        <x:v>G3-E069</x:v>
      </x:c>
      <x:c r="D157" s="41" t="str">
        <x:v>002371-H2</x:v>
      </x:c>
      <x:c r="E157" s="41" t="str">
        <x:v>北方华创</x:v>
      </x:c>
      <x:c r="F157" s="42" t="str">
        <x:v>​002371</x:v>
      </x:c>
      <x:c r="G157" s="41" t="str">
        <x:v>芯片半导体</x:v>
      </x:c>
      <x:c r="H157" s="42" t="str">
        <x:v>​2024-02-29T00:00:00+08:00</x:v>
      </x:c>
      <x:c r="I157" s="41" t="str">
        <x:v>规模效应与国产化推进支撑毛利率，不因竞争加剧显著下滑</x:v>
      </x:c>
      <x:c r="J157" s="41" t="str">
        <x:v>关于2019年股票期权与限制性股票激励计划第三个行权期采用自主行权模式的提示性公告</x:v>
      </x:c>
      <x:c r="K157" s="41" t="str">
        <x:v>http://static.cninfo.com.cn/finalpage/2024-02-29/1219208962.PDF</x:v>
      </x:c>
      <x:c r="L157" s="43" t="str">
        <x:v>0-无关</x:v>
      </x:c>
      <x:c r="M157" s="43" t="str">
        <x:v>否</x:v>
      </x:c>
      <x:c r="N157" s="43" t="str"/>
      <x:c r="O157" s="43" t="str">
        <x:v>候选公告属于治理、证券变动或程序性披露，不回答该查询假设，也不提供有效业务关系证据。</x:v>
      </x:c>
      <x:c r="P157" s="43" t="n">
        <x:v>5</x:v>
      </x:c>
      <x:c r="Q157" s="43" t="str">
        <x:v>无</x:v>
      </x:c>
      <x:c r="R157" s="43" t="str">
        <x:v>B-CODEX-FIN-01</x:v>
      </x:c>
      <x:c r="S157" s="49" t="str">
        <x:v>20260826T150309+08:00</x:v>
      </x:c>
    </x:row>
    <x:row r="158" ht="24" hidden="0" customHeight="1">
      <x:c r="A158" s="41" t="str">
        <x:v>157</x:v>
      </x:c>
      <x:c r="B158" s="41" t="str">
        <x:v>G3-R-E105-H3</x:v>
      </x:c>
      <x:c r="C158" s="41" t="str">
        <x:v>G3-E105</x:v>
      </x:c>
      <x:c r="D158" s="41" t="str">
        <x:v>000538-H3</x:v>
      </x:c>
      <x:c r="E158" s="41" t="str">
        <x:v>云南白药</x:v>
      </x:c>
      <x:c r="F158" s="42" t="str">
        <x:v>​000538</x:v>
      </x:c>
      <x:c r="G158" s="41" t="str">
        <x:v>医药</x:v>
      </x:c>
      <x:c r="H158" s="42" t="str">
        <x:v>​2025-06-18T00:00:00+08:00</x:v>
      </x:c>
      <x:c r="I158" s="41" t="str">
        <x:v>渠道与品牌投入保持，不出现商誉或投资大额减值</x:v>
      </x:c>
      <x:c r="J158" s="41" t="str">
        <x:v>2025-20 关于JZ-14胶囊获得药物临床试验批准的公告</x:v>
      </x:c>
      <x:c r="K158" s="41" t="str">
        <x:v>http://static.cninfo.com.cn/finalpage/2025-06-18/1223899598.PDF</x:v>
      </x:c>
      <x:c r="L158" s="43" t="str">
        <x:v>3-直接相关</x:v>
      </x:c>
      <x:c r="M158" s="43" t="str">
        <x:v>是</x:v>
      </x:c>
      <x:c r="N158" s="43" t="str">
        <x:v>年 3 月 25 日受理的 JZ-14 胶囊临床试验申请符合药品注册的有关要求，同意</x:v>
      </x:c>
      <x:c r="O158" s="43" t="str">
        <x:v>药品受理、临床批准或注册获批直接证明研发管线推进，并对创新药商业化假设提供可观察事实。</x:v>
      </x:c>
      <x:c r="P158" s="43" t="n">
        <x:v>5</x:v>
      </x:c>
      <x:c r="Q158" s="43" t="str">
        <x:v>无</x:v>
      </x:c>
      <x:c r="R158" s="43" t="str">
        <x:v>B-CODEX-FIN-01</x:v>
      </x:c>
      <x:c r="S158" s="49" t="str">
        <x:v>20260826T150309+08:00</x:v>
      </x:c>
    </x:row>
    <x:row r="159" ht="24" hidden="0" customHeight="1">
      <x:c r="A159" s="41" t="str">
        <x:v>158</x:v>
      </x:c>
      <x:c r="B159" s="41" t="str">
        <x:v>G3-R-E060-H3</x:v>
      </x:c>
      <x:c r="C159" s="41" t="str">
        <x:v>G3-E060</x:v>
      </x:c>
      <x:c r="D159" s="41" t="str">
        <x:v>002594-H3</x:v>
      </x:c>
      <x:c r="E159" s="41" t="str">
        <x:v>比亚迪</x:v>
      </x:c>
      <x:c r="F159" s="42" t="str">
        <x:v>​002594</x:v>
      </x:c>
      <x:c r="G159" s="41" t="str">
        <x:v>新能源汽车</x:v>
      </x:c>
      <x:c r="H159" s="42" t="str">
        <x:v>​2024-12-02T00:00:00+08:00</x:v>
      </x:c>
      <x:c r="I159" s="41" t="str">
        <x:v>海外工厂与产能扩张按计划落地，不出现大额投资减值</x:v>
      </x:c>
      <x:c r="J159" s="41" t="str">
        <x:v>2024年11月产销快报</x:v>
      </x:c>
      <x:c r="K159" s="41" t="str">
        <x:v>http://static.cninfo.com.cn/finalpage/2024-12-02/1221902564.PDF</x:v>
      </x:c>
      <x:c r="L159" s="43" t="str">
        <x:v>1-弱相关</x:v>
      </x:c>
      <x:c r="M159" s="43" t="str">
        <x:v>否</x:v>
      </x:c>
      <x:c r="N159" s="43" t="str">
        <x:v>新能源汽车本年累计销量3,757,336辆，去年累计2,683,374辆，累计同比40.02%。</x:v>
      </x:c>
      <x:c r="O159" s="43" t="str">
        <x:v>公告反映需求或盈利表现，但未直接披露产能、研发投入或扩张执行，对查询假设仅有弱主题关联。</x:v>
      </x:c>
      <x:c r="P159" s="43" t="n">
        <x:v>4</x:v>
      </x:c>
      <x:c r="Q159" s="43" t="str">
        <x:v>无</x:v>
      </x:c>
      <x:c r="R159" s="43" t="str">
        <x:v>B-CODEX-FIN-01</x:v>
      </x:c>
      <x:c r="S159" s="49" t="str">
        <x:v>20260826T150309+08:00</x:v>
      </x:c>
    </x:row>
    <x:row r="160" ht="24" hidden="0" customHeight="1">
      <x:c r="A160" s="41" t="str">
        <x:v>159</x:v>
      </x:c>
      <x:c r="B160" s="41" t="str">
        <x:v>G3-R-E112-H1</x:v>
      </x:c>
      <x:c r="C160" s="41" t="str">
        <x:v>G3-E112</x:v>
      </x:c>
      <x:c r="D160" s="41" t="str">
        <x:v>603259-H1</x:v>
      </x:c>
      <x:c r="E160" s="41" t="str">
        <x:v>药明康德</x:v>
      </x:c>
      <x:c r="F160" s="42" t="str">
        <x:v>​603259</x:v>
      </x:c>
      <x:c r="G160" s="41" t="str">
        <x:v>医药</x:v>
      </x:c>
      <x:c r="H160" s="42" t="str">
        <x:v>​2025-09-03T00:00:00+08:00</x:v>
      </x:c>
      <x:c r="I160" s="41" t="str">
        <x:v>CXO 订单与在手订单随全球创新药研发投入回暖恢复增长</x:v>
      </x:c>
      <x:c r="J160" s="41" t="str">
        <x:v>关于与关联方签署框架协议暨日常关联交易的公告</x:v>
      </x:c>
      <x:c r="K160" s="41" t="str">
        <x:v>http://static.cninfo.com.cn/finalpage/2025-09-03/1224634480.PDF</x:v>
      </x:c>
      <x:c r="L160" s="43" t="str">
        <x:v>3-直接相关</x:v>
      </x:c>
      <x:c r="M160" s="43" t="str">
        <x:v>是</x:v>
      </x:c>
      <x:c r="N160" s="43" t="str">
        <x:v>因有效载荷连接子服务需求增长，2025年预计交易金额由1.68亿元提升至2.00亿元。</x:v>
      </x:c>
      <x:c r="O160" s="43" t="str">
        <x:v>公告事实直接对应查询假设中的核心业务变量，时间边界内可建立可复核关系路径。</x:v>
      </x:c>
      <x:c r="P160" s="43" t="n">
        <x:v>5</x:v>
      </x:c>
      <x:c r="Q160" s="43" t="str">
        <x:v>无</x:v>
      </x:c>
      <x:c r="R160" s="43" t="str">
        <x:v>B-CODEX-FIN-01</x:v>
      </x:c>
      <x:c r="S160" s="49" t="str">
        <x:v>20260826T150309+08:00</x:v>
      </x:c>
    </x:row>
    <x:row r="161" ht="24" hidden="0" customHeight="1">
      <x:c r="A161" s="41" t="str">
        <x:v>160</x:v>
      </x:c>
      <x:c r="B161" s="41" t="str">
        <x:v>G3-R-E109-H2</x:v>
      </x:c>
      <x:c r="C161" s="41" t="str">
        <x:v>G3-E109</x:v>
      </x:c>
      <x:c r="D161" s="41" t="str">
        <x:v>09868-H2</x:v>
      </x:c>
      <x:c r="E161" s="41" t="str">
        <x:v>小鹏汽车</x:v>
      </x:c>
      <x:c r="F161" s="42" t="str">
        <x:v>​09868</x:v>
      </x:c>
      <x:c r="G161" s="41" t="str">
        <x:v>新能源汽车</x:v>
      </x:c>
      <x:c r="H161" s="42" t="str">
        <x:v>​2024-10-02T23:59:59+08:00</x:v>
      </x:c>
      <x:c r="I161" s="41" t="str">
        <x:v>毛利率随规模与技术服务收入改善，不回落到历史低位</x:v>
      </x:c>
      <x:c r="J161" s="41" t="str">
        <x:v>自愿公告 2024年9月及第三季度智能车交付数据</x:v>
      </x:c>
      <x:c r="K161" s="41" t="str">
        <x:v>http://static.cninfo.com.cn/finalpage/2024-10-02/1221335028.PDF</x:v>
      </x:c>
      <x:c r="L161" s="43" t="str">
        <x:v>2-间接相关</x:v>
      </x:c>
      <x:c r="M161" s="43" t="str">
        <x:v>是</x:v>
      </x:c>
      <x:c r="N161" s="43" t="str">
        <x:v>2024年9月，小鹏汽车共交付智能电动汽车21,352辆，同比增长39%，环比增长52%。</x:v>
      </x:c>
      <x:c r="O161" s="43" t="str">
        <x:v>公告与查询假设并非同一直接指标，但可经需求、规模、产品商业化或投入产出的一层因果链建立关系。</x:v>
      </x:c>
      <x:c r="P161" s="43" t="n">
        <x:v>4</x:v>
      </x:c>
      <x:c r="Q161" s="43" t="str">
        <x:v>无</x:v>
      </x:c>
      <x:c r="R161" s="43" t="str">
        <x:v>B-CODEX-FIN-01</x:v>
      </x:c>
      <x:c r="S161" s="49" t="str">
        <x:v>20260826T150309+08:00</x:v>
      </x:c>
    </x:row>
    <x:row r="162" ht="24" hidden="0" customHeight="1">
      <x:c r="A162" s="41" t="str">
        <x:v>161</x:v>
      </x:c>
      <x:c r="B162" s="41" t="str">
        <x:v>G3-R-E089-H3</x:v>
      </x:c>
      <x:c r="C162" s="41" t="str">
        <x:v>G3-E089</x:v>
      </x:c>
      <x:c r="D162" s="41" t="str">
        <x:v>603259-H3</x:v>
      </x:c>
      <x:c r="E162" s="41" t="str">
        <x:v>药明康德</x:v>
      </x:c>
      <x:c r="F162" s="42" t="str">
        <x:v>​603259</x:v>
      </x:c>
      <x:c r="G162" s="41" t="str">
        <x:v>医药</x:v>
      </x:c>
      <x:c r="H162" s="42" t="str">
        <x:v>​2024-01-30T00:00:00+08:00</x:v>
      </x:c>
      <x:c r="I162" s="41" t="str">
        <x:v>新增产能与地缘政治风险可控，海外基地建设按计划推进</x:v>
      </x:c>
      <x:c r="J162" s="41" t="str">
        <x:v>关于对无锡药明康德新药开发股份有限公司股票交易异常波动问询函的回复</x:v>
      </x:c>
      <x:c r="K162" s="41" t="str">
        <x:v>http://static.cninfo.com.cn/finalpage/2024-01-30/1219029800.PDF</x:v>
      </x:c>
      <x:c r="L162" s="43" t="str">
        <x:v>3-直接相关</x:v>
      </x:c>
      <x:c r="M162" s="43" t="str">
        <x:v>是</x:v>
      </x:c>
      <x:c r="N162" s="43" t="str">
        <x:v>关于对无锡药明康德新药开发股份有限公司</x:v>
      </x:c>
      <x:c r="O162" s="43" t="str">
        <x:v>公告事实直接对应查询假设中的核心业务变量，时间边界内可建立可复核关系路径。</x:v>
      </x:c>
      <x:c r="P162" s="43" t="n">
        <x:v>5</x:v>
      </x:c>
      <x:c r="Q162" s="43" t="str">
        <x:v>无</x:v>
      </x:c>
      <x:c r="R162" s="43" t="str">
        <x:v>B-CODEX-FIN-01</x:v>
      </x:c>
      <x:c r="S162" s="49" t="str">
        <x:v>20260826T150309+08:00</x:v>
      </x:c>
    </x:row>
    <x:row r="163" ht="24" hidden="0" customHeight="1">
      <x:c r="A163" s="41" t="str">
        <x:v>162</x:v>
      </x:c>
      <x:c r="B163" s="41" t="str">
        <x:v>G3-R-E021-H1</x:v>
      </x:c>
      <x:c r="C163" s="41" t="str">
        <x:v>G3-E021</x:v>
      </x:c>
      <x:c r="D163" s="41" t="str">
        <x:v>600276-H1</x:v>
      </x:c>
      <x:c r="E163" s="41" t="str">
        <x:v>恒瑞医药</x:v>
      </x:c>
      <x:c r="F163" s="42" t="str">
        <x:v>​600276</x:v>
      </x:c>
      <x:c r="G163" s="41" t="str">
        <x:v>医药</x:v>
      </x:c>
      <x:c r="H163" s="42" t="str">
        <x:v>​2025-12-08T00:00:00+08:00</x:v>
      </x:c>
      <x:c r="I163" s="41" t="str">
        <x:v>创新药放量与授权合作收入接续仿制药集采下滑，研发管线持续推进</x:v>
      </x:c>
      <x:c r="J163" s="41" t="str">
        <x:v>恒瑞医药关于公司药品纳入国家医保目录的公告</x:v>
      </x:c>
      <x:c r="K163" s="41" t="str">
        <x:v>http://static.cninfo.com.cn/finalpage/2025-12-08/1224856686.PDF</x:v>
      </x:c>
      <x:c r="L163" s="43" t="str">
        <x:v>3-直接相关</x:v>
      </x:c>
      <x:c r="M163" s="43" t="str">
        <x:v>是</x:v>
      </x:c>
      <x:c r="N163" s="43" t="str">
        <x:v>销售额约为 75.54 亿元。公司上述药品纳入国家医保目录，将有利于药品的销售，</x:v>
      </x:c>
      <x:c r="O163" s="43" t="str">
        <x:v>药品受理、临床批准或注册获批直接证明研发管线推进，并对创新药商业化假设提供可观察事实。</x:v>
      </x:c>
      <x:c r="P163" s="43" t="n">
        <x:v>5</x:v>
      </x:c>
      <x:c r="Q163" s="43" t="str">
        <x:v>无</x:v>
      </x:c>
      <x:c r="R163" s="43" t="str">
        <x:v>B-CODEX-FIN-01</x:v>
      </x:c>
      <x:c r="S163" s="49" t="str">
        <x:v>20260826T150309+08:00</x:v>
      </x:c>
    </x:row>
    <x:row r="164" ht="24" hidden="0" customHeight="1">
      <x:c r="A164" s="41" t="str">
        <x:v>163</x:v>
      </x:c>
      <x:c r="B164" s="41" t="str">
        <x:v>G3-R-E069-H3</x:v>
      </x:c>
      <x:c r="C164" s="41" t="str">
        <x:v>G3-E069</x:v>
      </x:c>
      <x:c r="D164" s="41" t="str">
        <x:v>002371-H3</x:v>
      </x:c>
      <x:c r="E164" s="41" t="str">
        <x:v>北方华创</x:v>
      </x:c>
      <x:c r="F164" s="42" t="str">
        <x:v>​002371</x:v>
      </x:c>
      <x:c r="G164" s="41" t="str">
        <x:v>芯片半导体</x:v>
      </x:c>
      <x:c r="H164" s="42" t="str">
        <x:v>​2024-02-29T00:00:00+08:00</x:v>
      </x:c>
      <x:c r="I164" s="41" t="str">
        <x:v>产能与交付能力跟上订单增长，合同负债转化不出现明显滞后</x:v>
      </x:c>
      <x:c r="J164" s="41" t="str">
        <x:v>关于2019年股票期权与限制性股票激励计划第三个行权期采用自主行权模式的提示性公告</x:v>
      </x:c>
      <x:c r="K164" s="41" t="str">
        <x:v>http://static.cninfo.com.cn/finalpage/2024-02-29/1219208962.PDF</x:v>
      </x:c>
      <x:c r="L164" s="43" t="str">
        <x:v>0-无关</x:v>
      </x:c>
      <x:c r="M164" s="43" t="str">
        <x:v>否</x:v>
      </x:c>
      <x:c r="N164" s="43" t="str"/>
      <x:c r="O164" s="43" t="str">
        <x:v>候选公告属于治理、证券变动或程序性披露，不回答该查询假设，也不提供有效业务关系证据。</x:v>
      </x:c>
      <x:c r="P164" s="43" t="n">
        <x:v>5</x:v>
      </x:c>
      <x:c r="Q164" s="43" t="str">
        <x:v>无</x:v>
      </x:c>
      <x:c r="R164" s="43" t="str">
        <x:v>B-CODEX-FIN-01</x:v>
      </x:c>
      <x:c r="S164" s="49" t="str">
        <x:v>20260826T150309+08:00</x:v>
      </x:c>
    </x:row>
    <x:row r="165" ht="24" hidden="0" customHeight="1">
      <x:c r="A165" s="41" t="str">
        <x:v>164</x:v>
      </x:c>
      <x:c r="B165" s="41" t="str">
        <x:v>G3-R-E067-H3</x:v>
      </x:c>
      <x:c r="C165" s="41" t="str">
        <x:v>G3-E067</x:v>
      </x:c>
      <x:c r="D165" s="41" t="str">
        <x:v>002371-H3</x:v>
      </x:c>
      <x:c r="E165" s="41" t="str">
        <x:v>北方华创</x:v>
      </x:c>
      <x:c r="F165" s="42" t="str">
        <x:v>​002371</x:v>
      </x:c>
      <x:c r="G165" s="41" t="str">
        <x:v>芯片半导体</x:v>
      </x:c>
      <x:c r="H165" s="42" t="str">
        <x:v>​2026-06-23T00:00:00+08:00</x:v>
      </x:c>
      <x:c r="I165" s="41" t="str">
        <x:v>产能与交付能力跟上订单增长，合同负债转化不出现明显滞后</x:v>
      </x:c>
      <x:c r="J165" s="41" t="str">
        <x:v>关于放弃参股公司增资优先认购权暨关联交易的公告</x:v>
      </x:c>
      <x:c r="K165" s="41" t="str">
        <x:v>http://static.cninfo.com.cn/finalpage/2026-06-23/1225381704.PDF</x:v>
      </x:c>
      <x:c r="L165" s="43" t="str">
        <x:v>0-无关</x:v>
      </x:c>
      <x:c r="M165" s="43" t="str">
        <x:v>否</x:v>
      </x:c>
      <x:c r="N165" s="43" t="str"/>
      <x:c r="O165" s="43" t="str">
        <x:v>候选公告属于治理、证券变动或程序性披露，不回答该查询假设，也不提供有效业务关系证据。</x:v>
      </x:c>
      <x:c r="P165" s="43" t="n">
        <x:v>5</x:v>
      </x:c>
      <x:c r="Q165" s="43" t="str">
        <x:v>无</x:v>
      </x:c>
      <x:c r="R165" s="43" t="str">
        <x:v>B-CODEX-FIN-01</x:v>
      </x:c>
      <x:c r="S165" s="49" t="str">
        <x:v>20260826T150309+08:00</x:v>
      </x:c>
    </x:row>
    <x:row r="166" ht="24" hidden="0" customHeight="1">
      <x:c r="A166" s="41" t="str">
        <x:v>165</x:v>
      </x:c>
      <x:c r="B166" s="41" t="str">
        <x:v>G3-R-E028-H3</x:v>
      </x:c>
      <x:c r="C166" s="41" t="str">
        <x:v>G3-E028</x:v>
      </x:c>
      <x:c r="D166" s="41" t="str">
        <x:v>09868-H3</x:v>
      </x:c>
      <x:c r="E166" s="41" t="str">
        <x:v>小鹏汽车</x:v>
      </x:c>
      <x:c r="F166" s="42" t="str">
        <x:v>​09868</x:v>
      </x:c>
      <x:c r="G166" s="41" t="str">
        <x:v>新能源汽车</x:v>
      </x:c>
      <x:c r="H166" s="42" t="str">
        <x:v>​2026-01-01T18:52:07+08:00</x:v>
      </x:c>
      <x:c r="I166" s="41" t="str">
        <x:v>研发与产能投入可持续，现金流不出现明显恶化</x:v>
      </x:c>
      <x:c r="J166" s="41" t="str">
        <x:v>自愿公告2025年12 月及第四季度智能车交付数据</x:v>
      </x:c>
      <x:c r="K166" s="41" t="str">
        <x:v>http://static.cninfo.com.cn/finalpage/2026-01-01/1224915704.PDF</x:v>
      </x:c>
      <x:c r="L166" s="43" t="str">
        <x:v>1-弱相关</x:v>
      </x:c>
      <x:c r="M166" s="43" t="str">
        <x:v>否</x:v>
      </x:c>
      <x:c r="N166" s="43" t="str">
        <x:v>2025年12月，小鹏汽车共交付智能电动汽车37,508辆，同比增长2%。</x:v>
      </x:c>
      <x:c r="O166" s="43" t="str">
        <x:v>公告反映需求或盈利表现，但未直接披露产能、研发投入或扩张执行，对查询假设仅有弱主题关联。</x:v>
      </x:c>
      <x:c r="P166" s="43" t="n">
        <x:v>4</x:v>
      </x:c>
      <x:c r="Q166" s="43" t="str">
        <x:v>无</x:v>
      </x:c>
      <x:c r="R166" s="43" t="str">
        <x:v>B-CODEX-FIN-01</x:v>
      </x:c>
      <x:c r="S166" s="49" t="str">
        <x:v>20260826T150309+08:00</x:v>
      </x:c>
    </x:row>
    <x:row r="167" ht="24" hidden="0" customHeight="1">
      <x:c r="A167" s="41" t="str">
        <x:v>166</x:v>
      </x:c>
      <x:c r="B167" s="41" t="str">
        <x:v>G3-R-E048-H3</x:v>
      </x:c>
      <x:c r="C167" s="41" t="str">
        <x:v>G3-E048</x:v>
      </x:c>
      <x:c r="D167" s="41" t="str">
        <x:v>00175-H3</x:v>
      </x:c>
      <x:c r="E167" s="41" t="str">
        <x:v>吉利汽车</x:v>
      </x:c>
      <x:c r="F167" s="42" t="str">
        <x:v>​00175</x:v>
      </x:c>
      <x:c r="G167" s="41" t="str">
        <x:v>新能源汽车</x:v>
      </x:c>
      <x:c r="H167" s="42" t="str">
        <x:v>​2025-11-27T16:36:09+08:00</x:v>
      </x:c>
      <x:c r="I167" s="41" t="str">
        <x:v>品牌与平台整合按计划推进，不出现大额整合损失</x:v>
      </x:c>
      <x:c r="J167" s="41" t="str">
        <x:v>持续关连交易</x:v>
      </x:c>
      <x:c r="K167" s="41" t="str">
        <x:v>http://static.cninfo.com.cn/finalpage/2025-11-27/1224830298.PDF</x:v>
      </x:c>
      <x:c r="L167" s="43" t="str">
        <x:v>2-间接相关</x:v>
      </x:c>
      <x:c r="M167" s="43" t="str">
        <x:v>是</x:v>
      </x:c>
      <x:c r="N167" s="43" t="str">
        <x:v>公司订立整车及整车成套件合作制造采购协议，并约定研发服务及技术支持安排。</x:v>
      </x:c>
      <x:c r="O167" s="43" t="str">
        <x:v>公告通过一层清晰业务因果链影响查询假设，路径可成立但并非直接指标。</x:v>
      </x:c>
      <x:c r="P167" s="43" t="n">
        <x:v>4</x:v>
      </x:c>
      <x:c r="Q167" s="43" t="str">
        <x:v>无</x:v>
      </x:c>
      <x:c r="R167" s="43" t="str">
        <x:v>B-CODEX-FIN-01</x:v>
      </x:c>
      <x:c r="S167" s="49" t="str">
        <x:v>20260826T150309+08:00</x:v>
      </x:c>
    </x:row>
    <x:row r="168" ht="24" hidden="0" customHeight="1">
      <x:c r="A168" s="41" t="str">
        <x:v>167</x:v>
      </x:c>
      <x:c r="B168" s="41" t="str">
        <x:v>G3-R-E071-H2</x:v>
      </x:c>
      <x:c r="C168" s="41" t="str">
        <x:v>G3-E071</x:v>
      </x:c>
      <x:c r="D168" s="41" t="str">
        <x:v>603986-H2</x:v>
      </x:c>
      <x:c r="E168" s="41" t="str">
        <x:v>兆易创新</x:v>
      </x:c>
      <x:c r="F168" s="42" t="str">
        <x:v>​603986</x:v>
      </x:c>
      <x:c r="G168" s="41" t="str">
        <x:v>芯片半导体</x:v>
      </x:c>
      <x:c r="H168" s="42" t="str">
        <x:v>​2025-04-26T00:00:00+08:00</x:v>
      </x:c>
      <x:c r="I168" s="41" t="str">
        <x:v>毛利率随产品结构改善回升，不因存储价格波动持续走低</x:v>
      </x:c>
      <x:c r="J168" s="41" t="str">
        <x:v>兆易创新关于使用闲置募集资金进行现金管理的公告</x:v>
      </x:c>
      <x:c r="K168" s="41" t="str">
        <x:v>http://static.cninfo.com.cn/finalpage/2025-04-26/1223305106.PDF</x:v>
      </x:c>
      <x:c r="L168" s="43" t="str">
        <x:v>0-无关</x:v>
      </x:c>
      <x:c r="M168" s="43" t="str">
        <x:v>否</x:v>
      </x:c>
      <x:c r="N168" s="43" t="str"/>
      <x:c r="O168" s="43" t="str">
        <x:v>候选公告属于治理、证券变动或程序性披露，不回答该查询假设，也不提供有效业务关系证据。</x:v>
      </x:c>
      <x:c r="P168" s="43" t="n">
        <x:v>5</x:v>
      </x:c>
      <x:c r="Q168" s="43" t="str">
        <x:v>无</x:v>
      </x:c>
      <x:c r="R168" s="43" t="str">
        <x:v>B-CODEX-FIN-01</x:v>
      </x:c>
      <x:c r="S168" s="49" t="str">
        <x:v>20260826T150309+08:00</x:v>
      </x:c>
    </x:row>
    <x:row r="169" ht="24" hidden="0" customHeight="1">
      <x:c r="A169" s="41" t="str">
        <x:v>168</x:v>
      </x:c>
      <x:c r="B169" s="41" t="str">
        <x:v>G3-R-E059-H1</x:v>
      </x:c>
      <x:c r="C169" s="41" t="str">
        <x:v>G3-E059</x:v>
      </x:c>
      <x:c r="D169" s="41" t="str">
        <x:v>002371-H1</x:v>
      </x:c>
      <x:c r="E169" s="41" t="str">
        <x:v>北方华创</x:v>
      </x:c>
      <x:c r="F169" s="42" t="str">
        <x:v>​002371</x:v>
      </x:c>
      <x:c r="G169" s="41" t="str">
        <x:v>芯片半导体</x:v>
      </x:c>
      <x:c r="H169" s="42" t="str">
        <x:v>​2025-10-31T00:00:00+08:00</x:v>
      </x:c>
      <x:c r="I169" s="41" t="str">
        <x:v>半导体设备订单随晶圆厂扩产与国产化率提升保持增长</x:v>
      </x:c>
      <x:c r="J169" s="41" t="str">
        <x:v>募集资金管理办法（2025年10月)</x:v>
      </x:c>
      <x:c r="K169" s="41" t="str">
        <x:v>http://static.cninfo.com.cn/finalpage/2025-10-31/1224774330.PDF</x:v>
      </x:c>
      <x:c r="L169" s="43" t="str">
        <x:v>0-无关</x:v>
      </x:c>
      <x:c r="M169" s="43" t="str">
        <x:v>否</x:v>
      </x:c>
      <x:c r="N169" s="43" t="str"/>
      <x:c r="O169" s="43" t="str">
        <x:v>候选公告属于治理、证券变动或程序性披露，不回答该查询假设，也不提供有效业务关系证据。</x:v>
      </x:c>
      <x:c r="P169" s="43" t="n">
        <x:v>5</x:v>
      </x:c>
      <x:c r="Q169" s="43" t="str">
        <x:v>无</x:v>
      </x:c>
      <x:c r="R169" s="43" t="str">
        <x:v>B-CODEX-FIN-01</x:v>
      </x:c>
      <x:c r="S169" s="49" t="str">
        <x:v>20260826T150309+08:00</x:v>
      </x:c>
    </x:row>
    <x:row r="170" ht="24" hidden="0" customHeight="1">
      <x:c r="A170" s="41" t="str">
        <x:v>169</x:v>
      </x:c>
      <x:c r="B170" s="41" t="str">
        <x:v>G3-R-E005-H3</x:v>
      </x:c>
      <x:c r="C170" s="41" t="str">
        <x:v>G3-E005</x:v>
      </x:c>
      <x:c r="D170" s="41" t="str">
        <x:v>00175-H3</x:v>
      </x:c>
      <x:c r="E170" s="41" t="str">
        <x:v>吉利汽车</x:v>
      </x:c>
      <x:c r="F170" s="42" t="str">
        <x:v>​00175</x:v>
      </x:c>
      <x:c r="G170" s="41" t="str">
        <x:v>新能源汽车</x:v>
      </x:c>
      <x:c r="H170" s="42" t="str">
        <x:v>​2026-07-01T18:12:27+08:00</x:v>
      </x:c>
      <x:c r="I170" s="41" t="str">
        <x:v>品牌与平台整合按计划推进，不出现大额整合损失</x:v>
      </x:c>
      <x:c r="J170" s="41" t="str">
        <x:v>未经审核之二零二六年六月销量</x:v>
      </x:c>
      <x:c r="K170" s="41" t="str">
        <x:v>http://static.cninfo.com.cn/finalpage/2026-07-01/1225403705.PDF</x:v>
      </x:c>
      <x:c r="L170" s="43" t="str">
        <x:v>1-弱相关</x:v>
      </x:c>
      <x:c r="M170" s="43" t="str">
        <x:v>否</x:v>
      </x:c>
      <x:c r="N170" s="43" t="str">
        <x:v>本集团于二零二六年六月的汽车总销量为240,799部，较去年同期增长约2%。</x:v>
      </x:c>
      <x:c r="O170" s="43" t="str">
        <x:v>公告反映需求或盈利表现，但未直接披露产能、研发投入或扩张执行，对查询假设仅有弱主题关联。</x:v>
      </x:c>
      <x:c r="P170" s="43" t="n">
        <x:v>4</x:v>
      </x:c>
      <x:c r="Q170" s="43" t="str">
        <x:v>无</x:v>
      </x:c>
      <x:c r="R170" s="43" t="str">
        <x:v>B-CODEX-FIN-01</x:v>
      </x:c>
      <x:c r="S170" s="49" t="str">
        <x:v>20260826T150309+08:00</x:v>
      </x:c>
    </x:row>
    <x:row r="171" ht="24" hidden="0" customHeight="1">
      <x:c r="A171" s="41" t="str">
        <x:v>170</x:v>
      </x:c>
      <x:c r="B171" s="41" t="str">
        <x:v>G3-R-E070-H1</x:v>
      </x:c>
      <x:c r="C171" s="41" t="str">
        <x:v>G3-E070</x:v>
      </x:c>
      <x:c r="D171" s="41" t="str">
        <x:v>600276-H1</x:v>
      </x:c>
      <x:c r="E171" s="41" t="str">
        <x:v>恒瑞医药</x:v>
      </x:c>
      <x:c r="F171" s="42" t="str">
        <x:v>​600276</x:v>
      </x:c>
      <x:c r="G171" s="41" t="str">
        <x:v>医药</x:v>
      </x:c>
      <x:c r="H171" s="42" t="str">
        <x:v>​2024-04-10T00:00:00+08:00</x:v>
      </x:c>
      <x:c r="I171" s="41" t="str">
        <x:v>创新药放量与授权合作收入接续仿制药集采下滑，研发管线持续推进</x:v>
      </x:c>
      <x:c r="J171" s="41" t="str">
        <x:v>恒瑞医药关于获得药物临床试验批准通知书的公告</x:v>
      </x:c>
      <x:c r="K171" s="41" t="str">
        <x:v>http://static.cninfo.com.cn/finalpage/2024-04-10/1219549275.PDF</x:v>
      </x:c>
      <x:c r="L171" s="43" t="str">
        <x:v>3-直接相关</x:v>
      </x:c>
      <x:c r="M171" s="43" t="str">
        <x:v>是</x:v>
      </x:c>
      <x:c r="N171" s="43" t="str">
        <x:v>根据我国药品注册相关的法律法规要求， 药物在获得药物临床试验批准通知</x:v>
      </x:c>
      <x:c r="O171" s="43" t="str">
        <x:v>药品受理、临床批准或注册获批直接证明研发管线推进，并对创新药商业化假设提供可观察事实。</x:v>
      </x:c>
      <x:c r="P171" s="43" t="n">
        <x:v>5</x:v>
      </x:c>
      <x:c r="Q171" s="43" t="str">
        <x:v>无</x:v>
      </x:c>
      <x:c r="R171" s="43" t="str">
        <x:v>B-CODEX-FIN-01</x:v>
      </x:c>
      <x:c r="S171" s="49" t="str">
        <x:v>20260826T150309+08:00</x:v>
      </x:c>
    </x:row>
    <x:row r="172" ht="24" hidden="0" customHeight="1">
      <x:c r="A172" s="41" t="str">
        <x:v>171</x:v>
      </x:c>
      <x:c r="B172" s="41" t="str">
        <x:v>G3-R-E068-H1</x:v>
      </x:c>
      <x:c r="C172" s="41" t="str">
        <x:v>G3-E068</x:v>
      </x:c>
      <x:c r="D172" s="41" t="str">
        <x:v>002594-H1</x:v>
      </x:c>
      <x:c r="E172" s="41" t="str">
        <x:v>比亚迪</x:v>
      </x:c>
      <x:c r="F172" s="42" t="str">
        <x:v>​002594</x:v>
      </x:c>
      <x:c r="G172" s="41" t="str">
        <x:v>新能源汽车</x:v>
      </x:c>
      <x:c r="H172" s="42" t="str">
        <x:v>​2026-04-02T00:00:00+08:00</x:v>
      </x:c>
      <x:c r="I172" s="41" t="str">
        <x:v>新能源汽车销量保持增长，出口占比提升对冲国内价格压力</x:v>
      </x:c>
      <x:c r="J172" s="41" t="str">
        <x:v>2026年3月产销快报</x:v>
      </x:c>
      <x:c r="K172" s="41" t="str">
        <x:v>http://static.cninfo.com.cn/finalpage/2026-04-02/1225072597.PDF</x:v>
      </x:c>
      <x:c r="L172" s="43" t="str">
        <x:v>3-直接相关</x:v>
      </x:c>
      <x:c r="M172" s="43" t="str">
        <x:v>是</x:v>
      </x:c>
      <x:c r="N172" s="43" t="str">
        <x:v>新能源汽车本年累计销量700,463辆，去年累计1,000,804辆，累计同比-30.01%。</x:v>
      </x:c>
      <x:c r="O172" s="43" t="str">
        <x:v>公告事实直接对应查询假设中的核心业务变量，时间边界内可建立可复核关系路径。</x:v>
      </x:c>
      <x:c r="P172" s="43" t="n">
        <x:v>5</x:v>
      </x:c>
      <x:c r="Q172" s="43" t="str">
        <x:v>无</x:v>
      </x:c>
      <x:c r="R172" s="43" t="str">
        <x:v>B-CODEX-FIN-01</x:v>
      </x:c>
      <x:c r="S172" s="49" t="str">
        <x:v>20260826T150309+08:00</x:v>
      </x:c>
    </x:row>
    <x:row r="173" ht="24" hidden="0" customHeight="1">
      <x:c r="A173" s="41" t="str">
        <x:v>172</x:v>
      </x:c>
      <x:c r="B173" s="41" t="str">
        <x:v>G3-R-E064-H2</x:v>
      </x:c>
      <x:c r="C173" s="41" t="str">
        <x:v>G3-E064</x:v>
      </x:c>
      <x:c r="D173" s="41" t="str">
        <x:v>00175-H2</x:v>
      </x:c>
      <x:c r="E173" s="41" t="str">
        <x:v>吉利汽车</x:v>
      </x:c>
      <x:c r="F173" s="42" t="str">
        <x:v>​00175</x:v>
      </x:c>
      <x:c r="G173" s="41" t="str">
        <x:v>新能源汽车</x:v>
      </x:c>
      <x:c r="H173" s="42" t="str">
        <x:v>​2025-02-14T16:36:12+08:00</x:v>
      </x:c>
      <x:c r="I173" s="41" t="str">
        <x:v>平台化与规模效应改善毛利率，新能源转型不持续拖累盈利</x:v>
      </x:c>
      <x:c r="J173" s="41" t="str">
        <x:v>完成须予披露及关连交易(1)极氪收购领克销售股份；及(2)极氪认购领克新增资本</x:v>
      </x:c>
      <x:c r="K173" s="41" t="str">
        <x:v>http://static.cninfo.com.cn/finalpage/2025-02-14/1222544267.PDF</x:v>
      </x:c>
      <x:c r="L173" s="43" t="str">
        <x:v>2-间接相关</x:v>
      </x:c>
      <x:c r="M173" s="43" t="str">
        <x:v>是</x:v>
      </x:c>
      <x:c r="N173" s="43" t="str">
        <x:v>极氪收购领克销售股份及认购新增资本已完成，预计集团录得未经审核收益约64.7亿元。</x:v>
      </x:c>
      <x:c r="O173" s="43" t="str">
        <x:v>公告与查询假设并非同一直接指标，但可经需求、规模、产品商业化或投入产出的一层因果链建立关系。</x:v>
      </x:c>
      <x:c r="P173" s="43" t="n">
        <x:v>4</x:v>
      </x:c>
      <x:c r="Q173" s="43" t="str">
        <x:v>无</x:v>
      </x:c>
      <x:c r="R173" s="43" t="str">
        <x:v>B-CODEX-FIN-01</x:v>
      </x:c>
      <x:c r="S173" s="49" t="str">
        <x:v>20260826T150309+08:00</x:v>
      </x:c>
    </x:row>
    <x:row r="174" ht="24" hidden="0" customHeight="1">
      <x:c r="A174" s="41" t="str">
        <x:v>173</x:v>
      </x:c>
      <x:c r="B174" s="41" t="str">
        <x:v>G3-R-E033-H2</x:v>
      </x:c>
      <x:c r="C174" s="41" t="str">
        <x:v>G3-E033</x:v>
      </x:c>
      <x:c r="D174" s="41" t="str">
        <x:v>603259-H2</x:v>
      </x:c>
      <x:c r="E174" s="41" t="str">
        <x:v>药明康德</x:v>
      </x:c>
      <x:c r="F174" s="42" t="str">
        <x:v>​603259</x:v>
      </x:c>
      <x:c r="G174" s="41" t="str">
        <x:v>医药</x:v>
      </x:c>
      <x:c r="H174" s="42" t="str">
        <x:v>​2024-03-09T00:00:00+08:00</x:v>
      </x:c>
      <x:c r="I174" s="41" t="str">
        <x:v>产能利用率与项目结构支撑毛利率，不因价格竞争持续走低</x:v>
      </x:c>
      <x:c r="J174" s="41" t="str">
        <x:v>关于回购注销部分股票通知债权人的公告</x:v>
      </x:c>
      <x:c r="K174" s="41" t="str">
        <x:v>http://static.cninfo.com.cn/finalpage/2024-03-09/1219267101.PDF</x:v>
      </x:c>
      <x:c r="L174" s="43" t="str">
        <x:v>0-无关</x:v>
      </x:c>
      <x:c r="M174" s="43" t="str">
        <x:v>否</x:v>
      </x:c>
      <x:c r="N174" s="43" t="str"/>
      <x:c r="O174" s="43" t="str">
        <x:v>候选公告属于治理、证券变动或程序性披露，不回答该查询假设，也不提供有效业务关系证据。</x:v>
      </x:c>
      <x:c r="P174" s="43" t="n">
        <x:v>5</x:v>
      </x:c>
      <x:c r="Q174" s="43" t="str">
        <x:v>无</x:v>
      </x:c>
      <x:c r="R174" s="43" t="str">
        <x:v>B-CODEX-FIN-01</x:v>
      </x:c>
      <x:c r="S174" s="49" t="str">
        <x:v>20260826T150309+08:00</x:v>
      </x:c>
    </x:row>
    <x:row r="175" ht="24" hidden="0" customHeight="1">
      <x:c r="A175" s="41" t="str">
        <x:v>174</x:v>
      </x:c>
      <x:c r="B175" s="41" t="str">
        <x:v>G3-R-E021-H3</x:v>
      </x:c>
      <x:c r="C175" s="41" t="str">
        <x:v>G3-E021</x:v>
      </x:c>
      <x:c r="D175" s="41" t="str">
        <x:v>600276-H3</x:v>
      </x:c>
      <x:c r="E175" s="41" t="str">
        <x:v>恒瑞医药</x:v>
      </x:c>
      <x:c r="F175" s="42" t="str">
        <x:v>​600276</x:v>
      </x:c>
      <x:c r="G175" s="41" t="str">
        <x:v>医药</x:v>
      </x:c>
      <x:c r="H175" s="42" t="str">
        <x:v>​2025-12-08T00:00:00+08:00</x:v>
      </x:c>
      <x:c r="I175" s="41" t="str">
        <x:v>研发投入强度维持，管线推进不出现关键品种研发失败</x:v>
      </x:c>
      <x:c r="J175" s="41" t="str">
        <x:v>恒瑞医药关于公司药品纳入国家医保目录的公告</x:v>
      </x:c>
      <x:c r="K175" s="41" t="str">
        <x:v>http://static.cninfo.com.cn/finalpage/2025-12-08/1224856686.PDF</x:v>
      </x:c>
      <x:c r="L175" s="43" t="str">
        <x:v>3-直接相关</x:v>
      </x:c>
      <x:c r="M175" s="43" t="str">
        <x:v>是</x:v>
      </x:c>
      <x:c r="N175" s="43" t="str">
        <x:v>销售额约为 75.54 亿元。公司上述药品纳入国家医保目录，将有利于药品的销售，</x:v>
      </x:c>
      <x:c r="O175" s="43" t="str">
        <x:v>药品受理、临床批准或注册获批直接证明研发管线推进，并对创新药商业化假设提供可观察事实。</x:v>
      </x:c>
      <x:c r="P175" s="43" t="n">
        <x:v>5</x:v>
      </x:c>
      <x:c r="Q175" s="43" t="str">
        <x:v>无</x:v>
      </x:c>
      <x:c r="R175" s="43" t="str">
        <x:v>B-CODEX-FIN-01</x:v>
      </x:c>
      <x:c r="S175" s="49" t="str">
        <x:v>20260826T150309+08:00</x:v>
      </x:c>
    </x:row>
    <x:row r="176" ht="24" hidden="0" customHeight="1">
      <x:c r="A176" s="41" t="str">
        <x:v>175</x:v>
      </x:c>
      <x:c r="B176" s="41" t="str">
        <x:v>G3-R-E110-H2</x:v>
      </x:c>
      <x:c r="C176" s="41" t="str">
        <x:v>G3-E110</x:v>
      </x:c>
      <x:c r="D176" s="41" t="str">
        <x:v>688981-H2</x:v>
      </x:c>
      <x:c r="E176" s="41" t="str">
        <x:v>中芯国际</x:v>
      </x:c>
      <x:c r="F176" s="42" t="str">
        <x:v>​688981</x:v>
      </x:c>
      <x:c r="G176" s="41" t="str">
        <x:v>芯片半导体</x:v>
      </x:c>
      <x:c r="H176" s="42" t="str">
        <x:v>​2025-12-30T00:00:00+08:00</x:v>
      </x:c>
      <x:c r="I176" s="41" t="str">
        <x:v>毛利率随产能利用率回升，折旧压力不导致盈利持续恶化</x:v>
      </x:c>
      <x:c r="J176" s="41" t="str">
        <x:v>独立董事关于发行股份购买资产暨关联交易相关事项的的独立意见</x:v>
      </x:c>
      <x:c r="K176" s="41" t="str">
        <x:v>http://static.cninfo.com.cn/finalpage/2025-12-30/1224907027.PDF</x:v>
      </x:c>
      <x:c r="L176" s="43" t="str">
        <x:v>1-弱相关</x:v>
      </x:c>
      <x:c r="M176" s="43" t="str">
        <x:v>是</x:v>
      </x:c>
      <x:c r="N176" s="43" t="str">
        <x:v>发行股份购买资产并募集配套资金的申请收到审核中心第二轮问询。</x:v>
      </x:c>
      <x:c r="O176" s="43" t="str">
        <x:v>公告与查询假设并非同一直接指标，但可经需求、规模、产品商业化或投入产出的一层因果链建立关系。</x:v>
      </x:c>
      <x:c r="P176" s="43" t="n">
        <x:v>4</x:v>
      </x:c>
      <x:c r="Q176" s="43" t="str">
        <x:v>无</x:v>
      </x:c>
      <x:c r="R176" s="43" t="str">
        <x:v>B-CODEX-FIN-01</x:v>
      </x:c>
      <x:c r="S176" s="49" t="str">
        <x:v>20260826T150309+08:00</x:v>
      </x:c>
    </x:row>
    <x:row r="177" ht="24" hidden="0" customHeight="1">
      <x:c r="A177" s="41" t="str">
        <x:v>176</x:v>
      </x:c>
      <x:c r="B177" s="41" t="str">
        <x:v>G3-R-E086-H3</x:v>
      </x:c>
      <x:c r="C177" s="41" t="str">
        <x:v>G3-E086</x:v>
      </x:c>
      <x:c r="D177" s="41" t="str">
        <x:v>600276-H3</x:v>
      </x:c>
      <x:c r="E177" s="41" t="str">
        <x:v>恒瑞医药</x:v>
      </x:c>
      <x:c r="F177" s="42" t="str">
        <x:v>​600276</x:v>
      </x:c>
      <x:c r="G177" s="41" t="str">
        <x:v>医药</x:v>
      </x:c>
      <x:c r="H177" s="42" t="str">
        <x:v>​2026-05-20T00:00:00+08:00</x:v>
      </x:c>
      <x:c r="I177" s="41" t="str">
        <x:v>研发投入强度维持，管线推进不出现关键品种研发失败</x:v>
      </x:c>
      <x:c r="J177" s="41" t="str">
        <x:v>恒瑞医药关于获得药品注册批准的公告</x:v>
      </x:c>
      <x:c r="K177" s="41" t="str">
        <x:v>http://static.cninfo.com.cn/finalpage/2026-05-20/1225315769.PDF</x:v>
      </x:c>
      <x:c r="L177" s="43" t="str">
        <x:v>3-直接相关</x:v>
      </x:c>
      <x:c r="M177" s="43" t="str">
        <x:v>是</x:v>
      </x:c>
      <x:c r="N177" s="43" t="str">
        <x:v>关于获得药品注册批准的公告</x:v>
      </x:c>
      <x:c r="O177" s="43" t="str">
        <x:v>药品受理、临床批准或注册获批直接证明研发管线推进，并对创新药商业化假设提供可观察事实。</x:v>
      </x:c>
      <x:c r="P177" s="43" t="n">
        <x:v>5</x:v>
      </x:c>
      <x:c r="Q177" s="43" t="str">
        <x:v>无</x:v>
      </x:c>
      <x:c r="R177" s="43" t="str">
        <x:v>B-CODEX-FIN-01</x:v>
      </x:c>
      <x:c r="S177" s="49" t="str">
        <x:v>20260826T150309+08:00</x:v>
      </x:c>
    </x:row>
    <x:row r="178" ht="36" hidden="0" customHeight="1">
      <x:c r="A178" s="41" t="str">
        <x:v>177</x:v>
      </x:c>
      <x:c r="B178" s="41" t="str">
        <x:v>G3-R-E031-H1</x:v>
      </x:c>
      <x:c r="C178" s="41" t="str">
        <x:v>G3-E031</x:v>
      </x:c>
      <x:c r="D178" s="41" t="str">
        <x:v>603259-H1</x:v>
      </x:c>
      <x:c r="E178" s="41" t="str">
        <x:v>药明康德</x:v>
      </x:c>
      <x:c r="F178" s="42" t="str">
        <x:v>​603259</x:v>
      </x:c>
      <x:c r="G178" s="41" t="str">
        <x:v>医药</x:v>
      </x:c>
      <x:c r="H178" s="42" t="str">
        <x:v>​2024-01-03T00:00:00+08:00</x:v>
      </x:c>
      <x:c r="I178" s="41" t="str">
        <x:v>CXO 订单与在手订单随全球创新药研发投入回暖恢复增长</x:v>
      </x:c>
      <x:c r="J178" s="41" t="str">
        <x:v>关于2019年限制性股票与股票期权激励计划首次授予股票期权2023年第四季度自主行权结果暨股份变动公告</x:v>
      </x:c>
      <x:c r="K178" s="41" t="str">
        <x:v>http://static.cninfo.com.cn/finalpage/2024-01-03/1218791594.PDF</x:v>
      </x:c>
      <x:c r="L178" s="43" t="str">
        <x:v>0-无关</x:v>
      </x:c>
      <x:c r="M178" s="43" t="str">
        <x:v>否</x:v>
      </x:c>
      <x:c r="N178" s="43" t="str"/>
      <x:c r="O178" s="43" t="str">
        <x:v>候选公告属于治理、证券变动或程序性披露，不回答该查询假设，也不提供有效业务关系证据。</x:v>
      </x:c>
      <x:c r="P178" s="43" t="n">
        <x:v>5</x:v>
      </x:c>
      <x:c r="Q178" s="43" t="str">
        <x:v>无</x:v>
      </x:c>
      <x:c r="R178" s="43" t="str">
        <x:v>B-CODEX-FIN-01</x:v>
      </x:c>
      <x:c r="S178" s="49" t="str">
        <x:v>20260826T150309+08:00</x:v>
      </x:c>
    </x:row>
    <x:row r="179" ht="24" hidden="0" customHeight="1">
      <x:c r="A179" s="41" t="str">
        <x:v>178</x:v>
      </x:c>
      <x:c r="B179" s="41" t="str">
        <x:v>G3-R-E118-H2</x:v>
      </x:c>
      <x:c r="C179" s="41" t="str">
        <x:v>G3-E118</x:v>
      </x:c>
      <x:c r="D179" s="41" t="str">
        <x:v>603986-H2</x:v>
      </x:c>
      <x:c r="E179" s="41" t="str">
        <x:v>兆易创新</x:v>
      </x:c>
      <x:c r="F179" s="42" t="str">
        <x:v>​603986</x:v>
      </x:c>
      <x:c r="G179" s="41" t="str">
        <x:v>芯片半导体</x:v>
      </x:c>
      <x:c r="H179" s="42" t="str">
        <x:v>​2025-08-23T00:00:00+08:00</x:v>
      </x:c>
      <x:c r="I179" s="41" t="str">
        <x:v>毛利率随产品结构改善回升，不因存储价格波动持续走低</x:v>
      </x:c>
      <x:c r="J179" s="41" t="str">
        <x:v>兆易创新2025年半年度报告摘要</x:v>
      </x:c>
      <x:c r="K179" s="41" t="str">
        <x:v>http://static.cninfo.com.cn/finalpage/2025-08-23/1224559705.PDF</x:v>
      </x:c>
      <x:c r="L179" s="43" t="str">
        <x:v>3-直接相关</x:v>
      </x:c>
      <x:c r="M179" s="43" t="str">
        <x:v>是</x:v>
      </x:c>
      <x:c r="N179" s="43" t="str">
        <x:v>2025年上半年营业收入4,150,308,632.88元，同比增长15.00%。</x:v>
      </x:c>
      <x:c r="O179" s="43" t="str">
        <x:v>定期报告直接披露查询假设所需的收入、订单、毛利率、研发投入、产能或减值指标，可建立完整关系路径。</x:v>
      </x:c>
      <x:c r="P179" s="43" t="n">
        <x:v>5</x:v>
      </x:c>
      <x:c r="Q179" s="43" t="str">
        <x:v>无</x:v>
      </x:c>
      <x:c r="R179" s="43" t="str">
        <x:v>B-CODEX-FIN-01</x:v>
      </x:c>
      <x:c r="S179" s="49" t="str">
        <x:v>20260826T150309+08:00</x:v>
      </x:c>
    </x:row>
    <x:row r="180" ht="36" hidden="0" customHeight="1">
      <x:c r="A180" s="41" t="str">
        <x:v>179</x:v>
      </x:c>
      <x:c r="B180" s="41" t="str">
        <x:v>G3-R-E055-H1</x:v>
      </x:c>
      <x:c r="C180" s="41" t="str">
        <x:v>G3-E055</x:v>
      </x:c>
      <x:c r="D180" s="41" t="str">
        <x:v>09868-H1</x:v>
      </x:c>
      <x:c r="E180" s="41" t="str">
        <x:v>小鹏汽车</x:v>
      </x:c>
      <x:c r="F180" s="42" t="str">
        <x:v>​09868</x:v>
      </x:c>
      <x:c r="G180" s="41" t="str">
        <x:v>新能源汽车</x:v>
      </x:c>
      <x:c r="H180" s="42" t="str">
        <x:v>​2024-08-13T20:06:10+08:00</x:v>
      </x:c>
      <x:c r="I180" s="41" t="str">
        <x:v>智能车交付量保持增长，新车型周期带动需求回升</x:v>
      </x:c>
      <x:c r="J180" s="41" t="str">
        <x:v>自愿公告 – 收购滴滴智能汽车开发业务资产的SOP交割及发行SOP对价股份</x:v>
      </x:c>
      <x:c r="K180" s="41" t="str">
        <x:v>http://static.cninfo.com.cn/finalpage/2024-08-13/1220863060.PDF</x:v>
      </x:c>
      <x:c r="L180" s="43" t="str">
        <x:v>2-间接相关</x:v>
      </x:c>
      <x:c r="M180" s="43" t="str">
        <x:v>是</x:v>
      </x:c>
      <x:c r="N180" s="43" t="str">
        <x:v>收购滴滴智能汽车开发业务资产的SOP交割已完成，并发行SOP对价股份。</x:v>
      </x:c>
      <x:c r="O180" s="43" t="str">
        <x:v>公告与查询假设并非同一直接指标，但可经需求、规模、产品商业化或投入产出的一层因果链建立关系。</x:v>
      </x:c>
      <x:c r="P180" s="43" t="n">
        <x:v>4</x:v>
      </x:c>
      <x:c r="Q180" s="43" t="str">
        <x:v>无</x:v>
      </x:c>
      <x:c r="R180" s="43" t="str">
        <x:v>B-CODEX-FIN-01</x:v>
      </x:c>
      <x:c r="S180" s="49" t="str">
        <x:v>20260826T150309+08:00</x:v>
      </x:c>
    </x:row>
    <x:row r="181" ht="24" hidden="0" customHeight="1">
      <x:c r="A181" s="41" t="str">
        <x:v>180</x:v>
      </x:c>
      <x:c r="B181" s="41" t="str">
        <x:v>G3-R-E014-H3</x:v>
      </x:c>
      <x:c r="C181" s="41" t="str">
        <x:v>G3-E014</x:v>
      </x:c>
      <x:c r="D181" s="41" t="str">
        <x:v>09868-H3</x:v>
      </x:c>
      <x:c r="E181" s="41" t="str">
        <x:v>小鹏汽车</x:v>
      </x:c>
      <x:c r="F181" s="42" t="str">
        <x:v>​09868</x:v>
      </x:c>
      <x:c r="G181" s="41" t="str">
        <x:v>新能源汽车</x:v>
      </x:c>
      <x:c r="H181" s="42" t="str">
        <x:v>​2024-04-02T12:07:33+08:00</x:v>
      </x:c>
      <x:c r="I181" s="41" t="str">
        <x:v>研发与产能投入可持续，现金流不出现明显恶化</x:v>
      </x:c>
      <x:c r="J181" s="41" t="str">
        <x:v>自愿公告 2024年3月及第一季度智能车交付数据</x:v>
      </x:c>
      <x:c r="K181" s="41" t="str">
        <x:v>http://static.cninfo.com.cn/finalpage/2024-04-02/1219499685.PDF</x:v>
      </x:c>
      <x:c r="L181" s="43" t="str">
        <x:v>1-弱相关</x:v>
      </x:c>
      <x:c r="M181" s="43" t="str">
        <x:v>否</x:v>
      </x:c>
      <x:c r="N181" s="43" t="str">
        <x:v>2024年3月，小鹏汽车共交付智能电动汽车9,026辆，同比增长29%。</x:v>
      </x:c>
      <x:c r="O181" s="43" t="str">
        <x:v>公告反映需求或盈利表现，但未直接披露产能、研发投入或扩张执行，对查询假设仅有弱主题关联。</x:v>
      </x:c>
      <x:c r="P181" s="43" t="n">
        <x:v>4</x:v>
      </x:c>
      <x:c r="Q181" s="43" t="str">
        <x:v>无</x:v>
      </x:c>
      <x:c r="R181" s="43" t="str">
        <x:v>B-CODEX-FIN-01</x:v>
      </x:c>
      <x:c r="S181" s="49" t="str">
        <x:v>20260826T150309+08:00</x:v>
      </x:c>
    </x:row>
  </x:sheetData>
  <x:dataValidations count="4">
    <x:dataValidation type="list" sqref="L2:L181">
      <x:formula1>"3-直接相关,2-间接相关,1-弱相关,0-无关,9-信息不足"</x:formula1>
    </x:dataValidation>
    <x:dataValidation type="list" sqref="M2:M181">
      <x:formula1>"是,否,信息不足"</x:formula1>
    </x:dataValidation>
    <x:dataValidation type="list" sqref="P2:P181">
      <x:formula1>"1,2,3,4,5"</x:formula1>
    </x:dataValidation>
    <x:dataValidation type="list" sqref="Q2:Q181">
      <x:formula1>"无,原文不可达,正文不可提取,疑似重复,时间不明确,证券归属存疑,其他"</x:formula1>
    </x:dataValidation>
  </x:dataValidations>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20" hidden="0" customWidth="1"/>
    <x:col min="2" max="2" width="20" hidden="0" customWidth="1"/>
    <x:col min="3" max="3" width="20" hidden="0" customWidth="1"/>
    <x:col min="4" max="4" width="20" hidden="0" customWidth="1"/>
    <x:col min="5" max="5" width="20" hidden="0" customWidth="1"/>
    <x:col min="6" max="6" width="20" hidden="0" customWidth="1"/>
    <x:col min="7" max="7" width="20" hidden="0" customWidth="1"/>
    <x:col min="8" max="8" width="20" hidden="0" customWidth="1"/>
    <x:col min="9" max="9" width="20" hidden="0" customWidth="1"/>
    <x:col min="10" max="10" width="20" hidden="0" customWidth="1"/>
    <x:col min="11" max="11" width="20" hidden="0" customWidth="1"/>
    <x:col min="12" max="12" width="20" hidden="0" customWidth="1"/>
  </x:cols>
  <x:sheetData>
    <x:row r="1">
      <x:c r="A1" s="46" t="str">
        <x:v>事件类别</x:v>
      </x:c>
      <x:c r="B1" s="46" t="str">
        <x:v>主要关联假设</x:v>
      </x:c>
      <x:c r="C1" s="46" t="str">
        <x:v>影响方向</x:v>
      </x:c>
      <x:c r="D1" s="46" t="str">
        <x:v>影响强度</x:v>
      </x:c>
      <x:c r="E1" s="46" t="str">
        <x:v>直接性</x:v>
      </x:c>
      <x:c r="F1" s="46" t="str">
        <x:v>数据问题</x:v>
      </x:c>
      <x:c r="G1" s="46" t="str">
        <x:v>正文事实存在</x:v>
      </x:c>
      <x:c r="H1" s="46" t="str">
        <x:v>事实类型</x:v>
      </x:c>
      <x:c r="I1" s="46" t="str">
        <x:v>变化方向</x:v>
      </x:c>
      <x:c r="J1" s="46" t="str">
        <x:v>相关性等级</x:v>
      </x:c>
      <x:c r="K1" s="46" t="str">
        <x:v>关系路径可成立</x:v>
      </x:c>
      <x:c r="L1" s="46" t="str">
        <x:v>置信度</x:v>
      </x:c>
    </x:row>
    <x:row r="2">
      <x:c r="A2" s="48" t="str">
        <x:v>产销/需求</x:v>
      </x:c>
      <x:c r="B2" s="48" t="str">
        <x:v>H1-需求与出货</x:v>
      </x:c>
      <x:c r="C2" s="48" t="str">
        <x:v>支持</x:v>
      </x:c>
      <x:c r="D2" s="48" t="str">
        <x:v>高</x:v>
      </x:c>
      <x:c r="E2" s="48" t="str">
        <x:v>直接</x:v>
      </x:c>
      <x:c r="F2" s="48" t="str">
        <x:v>无</x:v>
      </x:c>
      <x:c r="G2" s="48" t="str">
        <x:v>是</x:v>
      </x:c>
      <x:c r="H2" s="48" t="str">
        <x:v>营业收入同比</x:v>
      </x:c>
      <x:c r="I2" s="48" t="str">
        <x:v>上升</x:v>
      </x:c>
      <x:c r="J2" s="48" t="str">
        <x:v>3-直接相关</x:v>
      </x:c>
      <x:c r="K2" s="48" t="str">
        <x:v>是</x:v>
      </x:c>
      <x:c r="L2" s="48" t="n">
        <x:v>1</x:v>
      </x:c>
    </x:row>
    <x:row r="3">
      <x:c r="A3" s="48" t="str">
        <x:v>收入/利润</x:v>
      </x:c>
      <x:c r="B3" s="48" t="str">
        <x:v>H2-盈利质量</x:v>
      </x:c>
      <x:c r="C3" s="48" t="str">
        <x:v>冲突</x:v>
      </x:c>
      <x:c r="D3" s="48" t="str">
        <x:v>中</x:v>
      </x:c>
      <x:c r="E3" s="48" t="str">
        <x:v>间接</x:v>
      </x:c>
      <x:c r="F3" s="48" t="str">
        <x:v>原文不可达</x:v>
      </x:c>
      <x:c r="G3" s="48" t="str">
        <x:v>否</x:v>
      </x:c>
      <x:c r="H3" s="48" t="str">
        <x:v>销量或交付量同比</x:v>
      </x:c>
      <x:c r="I3" s="48" t="str">
        <x:v>下降</x:v>
      </x:c>
      <x:c r="J3" s="48" t="str">
        <x:v>2-间接相关</x:v>
      </x:c>
      <x:c r="K3" s="48" t="str">
        <x:v>否</x:v>
      </x:c>
      <x:c r="L3" s="48" t="n">
        <x:v>2</x:v>
      </x:c>
    </x:row>
    <x:row r="4">
      <x:c r="A4" s="48" t="str">
        <x:v>研发/注册</x:v>
      </x:c>
      <x:c r="B4" s="48" t="str">
        <x:v>H3-产能与扩张</x:v>
      </x:c>
      <x:c r="C4" s="48" t="str">
        <x:v>中性</x:v>
      </x:c>
      <x:c r="D4" s="48" t="str">
        <x:v>低</x:v>
      </x:c>
      <x:c r="E4" s="48" t="str">
        <x:v>不适用</x:v>
      </x:c>
      <x:c r="F4" s="48" t="str">
        <x:v>正文不可提取</x:v>
      </x:c>
      <x:c r="G4" s="48" t="str">
        <x:v>信息不足</x:v>
      </x:c>
      <x:c r="H4" s="48" t="str">
        <x:v>毛利率</x:v>
      </x:c>
      <x:c r="I4" s="48" t="str">
        <x:v>持平</x:v>
      </x:c>
      <x:c r="J4" s="48" t="str">
        <x:v>1-弱相关</x:v>
      </x:c>
      <x:c r="K4" s="48" t="str">
        <x:v>信息不足</x:v>
      </x:c>
      <x:c r="L4" s="48" t="n">
        <x:v>3</x:v>
      </x:c>
    </x:row>
    <x:row r="5">
      <x:c r="A5" s="48" t="str">
        <x:v>产能/资本开支</x:v>
      </x:c>
      <x:c r="B5" s="48" t="str">
        <x:v>无关</x:v>
      </x:c>
      <x:c r="C5" s="48" t="str">
        <x:v>无关</x:v>
      </x:c>
      <x:c r="D5" s="48" t="str">
        <x:v>不适用</x:v>
      </x:c>
      <x:c r="E5" s="48"/>
      <x:c r="F5" s="48" t="str">
        <x:v>疑似重复</x:v>
      </x:c>
      <x:c r="G5" s="48"/>
      <x:c r="H5" s="48" t="str">
        <x:v>产能利用率</x:v>
      </x:c>
      <x:c r="I5" s="48" t="str">
        <x:v>无法判断</x:v>
      </x:c>
      <x:c r="J5" s="48" t="str">
        <x:v>0-无关</x:v>
      </x:c>
      <x:c r="K5" s="48"/>
      <x:c r="L5" s="48" t="n">
        <x:v>4</x:v>
      </x:c>
    </x:row>
    <x:row r="6">
      <x:c r="A6" s="48" t="str">
        <x:v>订单/合同</x:v>
      </x:c>
      <x:c r="B6" s="48" t="str">
        <x:v>信息不足</x:v>
      </x:c>
      <x:c r="C6" s="48" t="str">
        <x:v>信息不足</x:v>
      </x:c>
      <x:c r="D6" s="48"/>
      <x:c r="E6" s="48"/>
      <x:c r="F6" s="48" t="str">
        <x:v>时间不明确</x:v>
      </x:c>
      <x:c r="G6" s="48"/>
      <x:c r="H6" s="48" t="str">
        <x:v>资本开支</x:v>
      </x:c>
      <x:c r="I6" s="48" t="str">
        <x:v>不适用</x:v>
      </x:c>
      <x:c r="J6" s="48" t="str">
        <x:v>9-信息不足</x:v>
      </x:c>
      <x:c r="K6" s="48"/>
      <x:c r="L6" s="48" t="n">
        <x:v>5</x:v>
      </x:c>
    </x:row>
    <x:row r="7">
      <x:c r="A7" s="48" t="str">
        <x:v>融资/现金流</x:v>
      </x:c>
      <x:c r="B7" s="48"/>
      <x:c r="C7" s="48"/>
      <x:c r="D7" s="48"/>
      <x:c r="E7" s="48"/>
      <x:c r="F7" s="48" t="str">
        <x:v>证券归属存疑</x:v>
      </x:c>
      <x:c r="G7" s="48"/>
      <x:c r="H7" s="48" t="str">
        <x:v>订单金额</x:v>
      </x:c>
      <x:c r="I7" s="48"/>
      <x:c r="J7" s="48"/>
      <x:c r="K7" s="48"/>
      <x:c r="L7" s="48"/>
    </x:row>
    <x:row r="8">
      <x:c r="A8" s="48" t="str">
        <x:v>风险/合规</x:v>
      </x:c>
      <x:c r="B8" s="48"/>
      <x:c r="C8" s="48"/>
      <x:c r="D8" s="48"/>
      <x:c r="E8" s="48"/>
      <x:c r="F8" s="48" t="str">
        <x:v>其他</x:v>
      </x:c>
      <x:c r="G8" s="48"/>
      <x:c r="H8" s="48" t="str">
        <x:v>其他</x:v>
      </x:c>
      <x:c r="I8" s="48"/>
      <x:c r="J8" s="48"/>
      <x:c r="K8" s="48"/>
      <x:c r="L8" s="48"/>
    </x:row>
    <x:row r="9">
      <x:c r="A9" s="48" t="str">
        <x:v>治理/其他</x:v>
      </x:c>
      <x:c r="B9" s="48"/>
      <x:c r="C9" s="48"/>
      <x:c r="D9" s="48"/>
      <x:c r="E9" s="48"/>
      <x:c r="F9" s="48"/>
      <x:c r="G9" s="48"/>
      <x:c r="H9" s="48" t="str">
        <x:v>不适用</x:v>
      </x:c>
      <x:c r="I9" s="48"/>
      <x:c r="J9" s="48"/>
      <x:c r="K9" s="48"/>
      <x:c r="L9" s="48"/>
    </x:row>
    <x:row r="10">
      <x:c r="A10" s="48" t="str">
        <x:v>无法判断</x:v>
      </x:c>
      <x:c r="B10" s="48"/>
      <x:c r="C10" s="48"/>
      <x:c r="D10" s="48"/>
      <x:c r="E10" s="48"/>
      <x:c r="F10" s="48"/>
      <x:c r="G10" s="48"/>
      <x:c r="H10" s="48"/>
      <x:c r="I10" s="48"/>
      <x:c r="J10" s="48"/>
      <x:c r="K10" s="48"/>
      <x:c r="L10" s="48"/>
    </x:row>
  </x:sheetData>
  <x:pageMargins left="0.7" right="0.7" top="0.75" bottom="0.75" header="0.3" footer="0.3"/>
</x:worksheet>
</file>