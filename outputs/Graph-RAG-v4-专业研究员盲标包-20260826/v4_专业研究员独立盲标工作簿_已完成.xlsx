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175ed02afdd4c1a" /></Relationships>
</file>

<file path=xl/workbook.xml><?xml version="1.0" encoding="utf-8"?>
<x:workbook xmlns:x="http://schemas.openxmlformats.org/spreadsheetml/2006/main">
  <x:sheets>
    <x:sheet xmlns:r="http://schemas.openxmlformats.org/officeDocument/2006/relationships" name="v4盲标" sheetId="1" r:id="Rb1026abd3f2a414e"/>
    <x:sheet xmlns:r="http://schemas.openxmlformats.org/officeDocument/2006/relationships" name="标注说明" sheetId="2" r:id="R6c4b7fcd95cd40c0"/>
    <x:sheet xmlns:r="http://schemas.openxmlformats.org/officeDocument/2006/relationships" name="质检概览" sheetId="3" r:id="R1d24fa7f802248be"/>
  </x:sheets>
</x:workbook>
</file>

<file path=xl/comments1.xml><?xml version="1.0" encoding="utf-8"?>
<x:comments xmlns:x="http://schemas.openxmlformats.org/spreadsheetml/2006/main">
  <x:authors>
    <x:author>tc={1B57461E-E226-6290-1CDA-A53BD1E47218}</x:author>
    <x:author>tc={B778C5CC-39AD-3471-2D3C-52FF94E47C95}</x:author>
    <x:author>tc={6EA4169B-FE6B-103E-BA2F-185246F1AAFC}</x:author>
  </x:authors>
  <x:commentList>
    <x:comment ref="N1" authorId="0">
      <x:text>
        <x:r>
          <x:t>[Threaded comment]
Your version of Excel allows you to read this threaded comment; however, any edits to it will get removed if the file is opened in a newer version of Excel. Learn more: https://go.microsoft.com/fwlink/?linkid=870924
Comment:
    必须从下拉列表选择：0-无关、1-弱相关、2-间接相关或3-直接相关。</x:t>
        </x:r>
      </x:text>
    </x:comment>
    <x:comment ref="P1" authorId="1">
      <x:text>
        <x:r>
          <x:t>[Threaded comment]
Your version of Excel allows you to read this threaded comment; however, any edits to it will get removed if the file is opened in a newer version of Excel. Learn more: https://go.microsoft.com/fwlink/?linkid=870924
Comment:
    请写出可复核的判断依据，说明候选原文如何影响查询假设，不能只写“相关”或“无关”。</x:t>
        </x:r>
      </x:text>
    </x:comment>
    <x:comment ref="R1" authorId="2">
      <x:text>
        <x:r>
          <x:t>[Threaded comment]
Your version of Excel allows you to read this threaded comment; however, any edits to it will get removed if the file is opened in a newer version of Excel. Learn more: https://go.microsoft.com/fwlink/?linkid=870924
Comment:
    请按 ISO 8601 且带时区填写，例如 2026-08-27T10:30:00+08:00。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hh:mm:ss"/>
    <x:numFmt numFmtId="202" formatCode="0.0%"/>
    <x:numFmt numFmtId="203" formatCode="yyyy-mm-dd&quot;T&quot;hh:mm:ss.000&quot;+08:00&quot;"/>
  </x:numFmts>
  <x:fonts count="8">
    <x:font>
      <x:sz val="11"/>
      <x:name val="Carlito"/>
    </x:font>
    <x:font>
      <x:sz val="10"/>
      <x:color rgb="FF1F2937"/>
      <x:name val="Microsoft YaHei"/>
    </x:font>
    <x:font>
      <x:b/>
      <x:sz val="10"/>
      <x:color rgb="FFFFFFFF"/>
      <x:name val="Microsoft YaHei"/>
    </x:font>
    <x:font>
      <x:b/>
      <x:sz val="20"/>
      <x:color rgb="FFFFFFFF"/>
      <x:name val="Microsoft YaHei"/>
    </x:font>
    <x:font>
      <x:sz val="11"/>
      <x:color rgb="FF1F2937"/>
      <x:name val="Microsoft YaHei"/>
    </x:font>
    <x:font>
      <x:b/>
      <x:sz val="10"/>
      <x:color rgb="FF17324D"/>
      <x:name val="Microsoft YaHei"/>
    </x:font>
    <x:font>
      <x:b/>
      <x:sz val="12"/>
      <x:color rgb="FFFFFFFF"/>
      <x:name val="Microsoft YaHei"/>
    </x:font>
    <x:font>
      <x:b/>
      <x:sz val="18"/>
      <x:color rgb="FFFFFFFF"/>
      <x:name val="Microsoft YaHei"/>
    </x:font>
  </x:fonts>
  <x:fills count="8">
    <x:fill>
      <x:patternFill patternType="none"/>
    </x:fill>
    <x:fill>
      <x:patternFill patternType="gray125"/>
    </x:fill>
    <x:fill>
      <x:patternFill patternType="solid">
        <x:fgColor rgb="FF17324D"/>
      </x:patternFill>
    </x:fill>
    <x:fill>
      <x:patternFill patternType="solid">
        <x:fgColor rgb="FFFFFFFF"/>
      </x:patternFill>
    </x:fill>
    <x:fill>
      <x:patternFill patternType="solid">
        <x:fgColor rgb="FFFFF6D8"/>
      </x:patternFill>
    </x:fill>
    <x:fill>
      <x:patternFill patternType="solid">
        <x:fgColor rgb="FFEAF2F8"/>
      </x:patternFill>
    </x:fill>
    <x:fill>
      <x:patternFill patternType="solid">
        <x:fgColor rgb="FFDCE6F1"/>
      </x:patternFill>
    </x:fill>
    <x:fill>
      <x:patternFill patternType="solid">
        <x:fgColor rgb="FF2F6690"/>
      </x:patternFill>
    </x:fill>
  </x:fills>
  <x:borders count="28">
    <x:border/>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thin">
        <x:color rgb="FFD6DEE6"/>
      </x:bottom>
    </x:border>
    <x:border>
      <x:top style="thin">
        <x:color rgb="FFD6DEE6"/>
      </x:top>
      <x:bottom style="thin">
        <x:color rgb="FFD6DEE6"/>
      </x:bottom>
    </x:border>
    <x:border>
      <x:top style="thin">
        <x:color rgb="FFD6DEE6"/>
      </x:top>
    </x:border>
    <x:border>
      <x:bottom style="thin">
        <x:color rgb="FFD6DEE6"/>
      </x:bottom>
    </x:border>
    <x:border>
      <x:top style="thin">
        <x:color rgb="FFD6DEE6"/>
      </x:top>
      <x:bottom style="thin">
        <x:color rgb="FFD6DEE6"/>
      </x:bottom>
    </x:border>
    <x:border>
      <x:top style="thin">
        <x:color rgb="FFD6DEE6"/>
      </x:top>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D6DEE6"/>
      </x:left>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s>
  <x:cellStyleXfs count="1">
    <x:xf numFmtId="0" fontId="0" fillId="0" borderId="0"/>
  </x:cellStyleXfs>
  <x:cellXfs count="204">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1" xfId="0" applyNumberFormat="1" applyFont="1" applyFill="1" applyBorder="1"/>
    <x:xf numFmtId="200" fontId="1" fillId="0" borderId="1" xfId="0" applyNumberFormat="1" applyFont="1" applyFill="1" applyBorder="1"/>
    <x:xf numFmtId="0"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20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20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200" fontId="1" fillId="3" borderId="1"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200" fontId="1" fillId="3" borderId="8" xfId="0" applyNumberFormat="1" applyFont="1" applyFill="1" applyBorder="1" applyAlignment="1">
      <x:alignment vertical="top"/>
    </x:xf>
    <x:xf numFmtId="0" fontId="1" fillId="4" borderId="8" xfId="0" applyNumberFormat="1" applyFont="1" applyFill="1" applyBorder="1" applyAlignment="1">
      <x:alignment vertical="top"/>
    </x:xf>
    <x:xf numFmtId="0" fontId="1" fillId="3" borderId="9" xfId="0" applyNumberFormat="1" applyFont="1" applyFill="1" applyBorder="1" applyAlignment="1">
      <x:alignment vertical="top"/>
    </x:xf>
    <x:xf numFmtId="20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3" borderId="10" xfId="0" applyNumberFormat="1" applyFont="1" applyFill="1" applyBorder="1" applyAlignment="1">
      <x:alignment vertical="top"/>
    </x:xf>
    <x:xf numFmtId="200" fontId="1" fillId="3" borderId="10"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200" fontId="1" fillId="3" borderId="11" xfId="0" applyNumberFormat="1" applyFont="1" applyFill="1" applyBorder="1" applyAlignment="1">
      <x:alignment vertical="top"/>
    </x:xf>
    <x:xf numFmtId="0" fontId="1" fillId="4" borderId="11" xfId="0" applyNumberFormat="1" applyFont="1" applyFill="1" applyBorder="1" applyAlignment="1">
      <x:alignment vertical="top"/>
    </x:xf>
    <x:xf numFmtId="0" fontId="1" fillId="3" borderId="12" xfId="0" applyNumberFormat="1" applyFont="1" applyFill="1" applyBorder="1" applyAlignment="1">
      <x:alignment vertical="top"/>
    </x:xf>
    <x:xf numFmtId="20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3" borderId="13" xfId="0" applyNumberFormat="1" applyFont="1" applyFill="1" applyBorder="1" applyAlignment="1">
      <x:alignment vertical="top"/>
    </x:xf>
    <x:xf numFmtId="200" fontId="1" fillId="3" borderId="13"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3" borderId="10"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200" fontId="2" fillId="2" borderId="2" xfId="0" applyNumberFormat="1" applyFont="1" applyFill="1" applyBorder="1" applyAlignment="1">
      <x:alignment horizontal="center" vertical="center" wrapText="1"/>
    </x:xf>
    <x:xf numFmtId="200" fontId="2" fillId="2" borderId="5"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2" fillId="2" borderId="6" xfId="0" applyNumberFormat="1" applyFont="1" applyFill="1" applyBorder="1" applyAlignment="1">
      <x:alignment horizontal="center" vertical="center" wrapText="1"/>
    </x:xf>
    <x:xf numFmtId="201" fontId="1" fillId="3" borderId="8" xfId="0" applyNumberFormat="1" applyFont="1" applyFill="1" applyBorder="1" applyAlignment="1">
      <x:alignment vertical="top"/>
    </x:xf>
    <x:xf numFmtId="201" fontId="1" fillId="3" borderId="9" xfId="0" applyNumberFormat="1" applyFont="1" applyFill="1" applyBorder="1" applyAlignment="1">
      <x:alignment vertical="top"/>
    </x:xf>
    <x:xf numFmtId="201" fontId="1" fillId="3" borderId="10" xfId="0" applyNumberFormat="1" applyFont="1" applyFill="1" applyBorder="1" applyAlignment="1">
      <x:alignment vertical="top"/>
    </x:xf>
    <x:xf numFmtId="201" fontId="1" fillId="3" borderId="11" xfId="0" applyNumberFormat="1" applyFont="1" applyFill="1" applyBorder="1" applyAlignment="1">
      <x:alignment vertical="top"/>
    </x:xf>
    <x:xf numFmtId="201" fontId="1" fillId="3" borderId="12" xfId="0" applyNumberFormat="1" applyFont="1" applyFill="1" applyBorder="1" applyAlignment="1">
      <x:alignment vertical="top"/>
    </x:xf>
    <x:xf numFmtId="201" fontId="1" fillId="3" borderId="13" xfId="0" applyNumberFormat="1" applyFont="1" applyFill="1" applyBorder="1" applyAlignment="1">
      <x:alignment vertical="top"/>
    </x:xf>
    <x:xf numFmtId="200" fontId="1" fillId="3" borderId="8" xfId="0" applyNumberFormat="1" applyFont="1" applyFill="1" applyBorder="1" applyAlignment="1">
      <x:alignment vertical="top" wrapText="1"/>
    </x:xf>
    <x:xf numFmtId="200" fontId="1" fillId="3" borderId="9" xfId="0" applyNumberFormat="1" applyFont="1" applyFill="1" applyBorder="1" applyAlignment="1">
      <x:alignment vertical="top" wrapText="1"/>
    </x:xf>
    <x:xf numFmtId="200" fontId="1" fillId="3" borderId="10" xfId="0" applyNumberFormat="1" applyFont="1" applyFill="1" applyBorder="1" applyAlignment="1">
      <x:alignment vertical="top" wrapText="1"/>
    </x:xf>
    <x:xf numFmtId="200" fontId="1" fillId="3" borderId="11" xfId="0" applyNumberFormat="1" applyFont="1" applyFill="1" applyBorder="1" applyAlignment="1">
      <x:alignment vertical="top" wrapText="1"/>
    </x:xf>
    <x:xf numFmtId="200" fontId="1" fillId="3" borderId="12" xfId="0" applyNumberFormat="1" applyFont="1" applyFill="1" applyBorder="1" applyAlignment="1">
      <x:alignment vertical="top" wrapText="1"/>
    </x:xf>
    <x:xf numFmtId="200" fontId="1" fillId="3" borderId="13" xfId="0" applyNumberFormat="1" applyFont="1" applyFill="1" applyBorder="1" applyAlignment="1">
      <x:alignment vertical="top" wrapText="1"/>
    </x:xf>
    <x:xf numFmtId="200" fontId="2" fillId="2" borderId="4" xfId="0" applyNumberFormat="1" applyFont="1" applyFill="1" applyBorder="1" applyAlignment="1">
      <x:alignment horizontal="center" vertical="center" wrapText="1"/>
    </x:xf>
    <x:xf numFmtId="200" fontId="1" fillId="4" borderId="8" xfId="0" applyNumberFormat="1" applyFont="1" applyFill="1" applyBorder="1" applyAlignment="1">
      <x:alignment vertical="top"/>
    </x:xf>
    <x:xf numFmtId="200" fontId="1" fillId="4" borderId="9" xfId="0" applyNumberFormat="1" applyFont="1" applyFill="1" applyBorder="1" applyAlignment="1">
      <x:alignment vertical="top"/>
    </x:xf>
    <x:xf numFmtId="200" fontId="1" fillId="4" borderId="10" xfId="0" applyNumberFormat="1" applyFont="1" applyFill="1" applyBorder="1" applyAlignment="1">
      <x:alignment vertical="top"/>
    </x:xf>
    <x:xf numFmtId="200" fontId="2" fillId="2" borderId="7" xfId="0" applyNumberFormat="1" applyFont="1" applyFill="1" applyBorder="1" applyAlignment="1">
      <x:alignment horizontal="center" vertical="center" wrapText="1"/>
    </x:xf>
    <x:xf numFmtId="200" fontId="1" fillId="4" borderId="11" xfId="0" applyNumberFormat="1" applyFont="1" applyFill="1" applyBorder="1" applyAlignment="1">
      <x:alignment vertical="top"/>
    </x:xf>
    <x:xf numFmtId="200" fontId="1" fillId="4" borderId="12" xfId="0" applyNumberFormat="1" applyFont="1" applyFill="1" applyBorder="1" applyAlignment="1">
      <x:alignment vertical="top"/>
    </x:xf>
    <x:xf numFmtId="200" fontId="1" fillId="4" borderId="13" xfId="0" applyNumberFormat="1" applyFont="1" applyFill="1" applyBorder="1" applyAlignment="1">
      <x:alignment vertical="top"/>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22" xfId="0" applyNumberFormat="1" applyFont="1" applyFill="1" applyBorder="1"/>
    <x:xf numFmtId="0" fontId="4"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22" xfId="0" applyNumberFormat="1" applyFont="1" applyFill="1" applyBorder="1" applyAlignment="1">
      <x:alignment wrapText="1"/>
    </x:xf>
    <x:xf numFmtId="0" fontId="4" fillId="5" borderId="23" xfId="0" applyNumberFormat="1" applyFont="1" applyFill="1" applyBorder="1" applyAlignment="1">
      <x:alignment wrapText="1"/>
    </x:xf>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5" borderId="19" xfId="0" applyNumberFormat="1" applyFont="1" applyFill="1" applyBorder="1" applyAlignment="1">
      <x:alignment vertical="center" wrapText="1"/>
    </x:xf>
    <x:xf numFmtId="0" fontId="4" fillId="5" borderId="20" xfId="0" applyNumberFormat="1" applyFont="1" applyFill="1" applyBorder="1" applyAlignment="1">
      <x:alignment vertical="center" wrapText="1"/>
    </x:xf>
    <x:xf numFmtId="0" fontId="4" fillId="5" borderId="21" xfId="0" applyNumberFormat="1" applyFont="1" applyFill="1" applyBorder="1" applyAlignment="1">
      <x:alignment vertical="center" wrapText="1"/>
    </x:xf>
    <x:xf numFmtId="0" fontId="4" fillId="5" borderId="22" xfId="0" applyNumberFormat="1" applyFont="1" applyFill="1" applyBorder="1" applyAlignment="1">
      <x:alignment vertical="center" wrapText="1"/>
    </x:xf>
    <x:xf numFmtId="0" fontId="4" fillId="5" borderId="23" xfId="0" applyNumberFormat="1" applyFont="1" applyFill="1" applyBorder="1" applyAlignment="1">
      <x:alignment vertical="center"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1" fillId="6" borderId="0" xfId="0" applyNumberFormat="1" applyFont="1" applyFill="1" applyBorder="1"/>
    <x:xf numFmtId="0" fontId="1"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6" xfId="0" applyNumberFormat="1" applyFont="1" applyFill="1" applyBorder="1"/>
    <x:xf numFmtId="0" fontId="1" fillId="0" borderId="26" xfId="0" applyNumberFormat="1" applyFont="1" applyFill="1" applyBorder="1"/>
    <x:xf numFmtId="0" fontId="5" fillId="6" borderId="27" xfId="0" applyNumberFormat="1" applyFont="1" applyFill="1" applyBorder="1"/>
    <x:xf numFmtId="0" fontId="1" fillId="0" borderId="27"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26" xfId="0" applyNumberFormat="1" applyFont="1" applyFill="1" applyBorder="1" applyAlignment="1">
      <x:alignment horizontal="center"/>
    </x:xf>
    <x:xf numFmtId="0" fontId="2" fillId="2" borderId="27" xfId="0" applyNumberFormat="1" applyFont="1" applyFill="1" applyBorder="1" applyAlignment="1">
      <x:alignment horizontal="center"/>
    </x:xf>
    <x:xf numFmtId="0" fontId="2" fillId="2" borderId="26" xfId="0" applyNumberFormat="1" applyFont="1" applyFill="1" applyBorder="1" applyAlignment="1">
      <x:alignment horizontal="center" wrapText="1"/>
    </x:xf>
    <x:xf numFmtId="0" fontId="1" fillId="0" borderId="26" xfId="0" applyNumberFormat="1" applyFont="1" applyFill="1" applyBorder="1" applyAlignment="1">
      <x:alignment wrapText="1"/>
    </x:xf>
    <x:xf numFmtId="0" fontId="2" fillId="2" borderId="27" xfId="0" applyNumberFormat="1" applyFont="1" applyFill="1" applyBorder="1" applyAlignment="1">
      <x:alignment horizontal="center" wrapText="1"/>
    </x:xf>
    <x:xf numFmtId="0" fontId="1" fillId="0" borderId="27" xfId="0" applyNumberFormat="1" applyFont="1" applyFill="1" applyBorder="1" applyAlignment="1">
      <x:alignment wrapText="1"/>
    </x:xf>
    <x:xf numFmtId="0" fontId="5" fillId="6" borderId="0" xfId="0" applyNumberFormat="1" applyFont="1" applyFill="1" applyBorder="1" applyAlignment="1">
      <x:alignment horizontal="center"/>
    </x:xf>
    <x:xf numFmtId="0" fontId="5" fillId="6" borderId="1"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5" fillId="6" borderId="26" xfId="0" applyNumberFormat="1" applyFont="1" applyFill="1" applyBorder="1" applyAlignment="1">
      <x:alignment horizontal="center"/>
    </x:xf>
    <x:xf numFmtId="0" fontId="1" fillId="0" borderId="26" xfId="0" applyNumberFormat="1" applyFont="1" applyFill="1" applyBorder="1" applyAlignment="1">
      <x:alignment vertical="center" wrapText="1"/>
    </x:xf>
    <x:xf numFmtId="0" fontId="5" fillId="6" borderId="27" xfId="0" applyNumberFormat="1" applyFont="1" applyFill="1" applyBorder="1" applyAlignment="1">
      <x:alignment horizontal="center"/>
    </x:xf>
    <x:xf numFmtId="0" fontId="1" fillId="0" borderId="27" xfId="0" applyNumberFormat="1" applyFont="1" applyFill="1" applyBorder="1" applyAlignment="1">
      <x:alignment vertical="center"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xf numFmtId="202" fontId="1" fillId="0" borderId="0" xfId="0" applyNumberFormat="1" applyFont="1" applyFill="1" applyBorder="1"/>
    <x:xf numFmtId="202" fontId="1" fillId="0" borderId="1"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2" fillId="7" borderId="26" xfId="0" applyNumberFormat="1" applyFont="1" applyFill="1" applyBorder="1"/>
    <x:xf numFmtId="0" fontId="5" fillId="5" borderId="26" xfId="0" applyNumberFormat="1" applyFont="1" applyFill="1" applyBorder="1"/>
    <x:xf numFmtId="202" fontId="1" fillId="0" borderId="26" xfId="0" applyNumberFormat="1" applyFont="1" applyFill="1" applyBorder="1"/>
    <x:xf numFmtId="0" fontId="2" fillId="7" borderId="27" xfId="0" applyNumberFormat="1" applyFont="1" applyFill="1" applyBorder="1"/>
    <x:xf numFmtId="0" fontId="5" fillId="5" borderId="27" xfId="0" applyNumberFormat="1" applyFont="1" applyFill="1" applyBorder="1"/>
    <x:xf numFmtId="202" fontId="1" fillId="0" borderId="27" xfId="0" applyNumberFormat="1" applyFont="1" applyFill="1" applyBorder="1"/>
    <x:xf numFmtId="0" fontId="2" fillId="7" borderId="0" xfId="0" applyNumberFormat="1" applyFont="1" applyFill="1" applyBorder="1" applyAlignment="1">
      <x:alignment horizontal="center"/>
    </x:xf>
    <x:xf numFmtId="0" fontId="2" fillId="7" borderId="1" xfId="0" applyNumberFormat="1" applyFont="1" applyFill="1" applyBorder="1" applyAlignment="1">
      <x:alignment horizontal="center"/>
    </x:xf>
    <x:xf numFmtId="0" fontId="2" fillId="7" borderId="26" xfId="0" applyNumberFormat="1" applyFont="1" applyFill="1" applyBorder="1" applyAlignment="1">
      <x:alignment horizontal="center"/>
    </x:xf>
    <x:xf numFmtId="203" fontId="1" fillId="4" borderId="8" xfId="0" applyNumberFormat="1" applyFont="1" applyFill="1" applyBorder="1" applyAlignment="1">
      <x:alignment vertical="top"/>
    </x:xf>
    <x:xf numFmtId="203" fontId="1" fillId="4" borderId="9" xfId="0" applyNumberFormat="1" applyFont="1" applyFill="1" applyBorder="1" applyAlignment="1">
      <x:alignment vertical="top"/>
    </x:xf>
    <x:xf numFmtId="203" fontId="1" fillId="4" borderId="10" xfId="0" applyNumberFormat="1" applyFont="1" applyFill="1" applyBorder="1" applyAlignment="1">
      <x:alignment vertical="top"/>
    </x:xf>
  </x:cellXfs>
  <x:cellStyles count="1">
    <x:cellStyle name="Normal" xfId="0"/>
  </x:cellStyles>
  <x:dxfs count="16">
    <x:dxf>
      <x:fill>
        <x:patternFill>
          <x:bgColor rgb="FFFFF6D8"/>
        </x:patternFill>
      </x:fill>
    </x:dxf>
    <x:dxf>
      <x:fill>
        <x:patternFill>
          <x:bgColor rgb="FFFFF6D8"/>
        </x:patternFill>
      </x:fill>
    </x:dxf>
    <x:dxf>
      <x:fill>
        <x:patternFill>
          <x:bgColor rgb="FFFFF6D8"/>
        </x:patternFill>
      </x:fill>
    </x:dxf>
    <x:dxf>
      <x:fill>
        <x:patternFill>
          <x:bgColor rgb="FFFFF6D8"/>
        </x:patternFill>
      </x:fill>
    </x:dxf>
    <x:dxf>
      <x:fill>
        <x:patternFill>
          <x:bgColor rgb="FFFFF6D8"/>
        </x:patternFill>
      </x:fill>
    </x:dxf>
    <x:dxf>
      <x:font>
        <x:b/>
        <x:color rgb="FF216E39"/>
      </x:font>
      <x:fill>
        <x:patternFill>
          <x:bgColor rgb="FFD9EAD3"/>
        </x:patternFill>
      </x:fill>
    </x:dxf>
    <x:dxf>
      <x:font>
        <x:color rgb="FF1F4E78"/>
      </x:font>
      <x:fill>
        <x:patternFill>
          <x:bgColor rgb="FFDDEBF7"/>
        </x:patternFill>
      </x:fill>
    </x:dxf>
    <x:dxf>
      <x:font>
        <x:color rgb="FF7F6000"/>
      </x:font>
      <x:fill>
        <x:patternFill>
          <x:bgColor rgb="FFFFF2CC"/>
        </x:patternFill>
      </x:fill>
    </x:dxf>
    <x:dxf>
      <x:font>
        <x:color rgb="FF595959"/>
      </x:font>
      <x:fill>
        <x:patternFill>
          <x:bgColor rgb="FFE7E6E6"/>
        </x:patternFill>
      </x:fill>
    </x:dxf>
    <x:dxf>
      <x:font>
        <x:b/>
        <x:color rgb="FF216E39"/>
      </x:font>
      <x:fill>
        <x:patternFill>
          <x:bgColor rgb="FFE8F5E9"/>
        </x:patternFill>
      </x:fill>
    </x:dxf>
    <x:dxf>
      <x:font>
        <x:color rgb="FF595959"/>
      </x:font>
      <x:fill>
        <x:patternFill>
          <x:bgColor rgb="FFF4F6F7"/>
        </x:patternFill>
      </x:fill>
    </x:dxf>
    <x:dxf>
      <x:font>
        <x:b/>
        <x:color rgb="FF216E39"/>
      </x:font>
      <x:fill>
        <x:patternFill>
          <x:bgColor rgb="FFE8F5E9"/>
        </x:patternFill>
      </x:fill>
    </x:dxf>
    <x:dxf>
      <x:font>
        <x:b/>
        <x:color rgb="FF9C0006"/>
      </x:font>
      <x:fill>
        <x:patternFill>
          <x:bgColor rgb="FFFDECEC"/>
        </x:patternFill>
      </x:fill>
    </x:dxf>
    <x:dxf>
      <x:font>
        <x:b/>
        <x:color rgb="FF9C0006"/>
      </x:font>
      <x:fill>
        <x:patternFill>
          <x:bgColor rgb="FFFDECEC"/>
        </x:patternFill>
      </x:fill>
    </x:dxf>
    <x:dxf>
      <x:font>
        <x:b/>
        <x:color rgb="FF216E39"/>
      </x:font>
      <x:fill>
        <x:patternFill>
          <x:bgColor rgb="FFE8F5E9"/>
        </x:patternFill>
      </x:fill>
    </x:dxf>
    <x:dxf>
      <x:font>
        <x:color rgb="FF7F6000"/>
      </x:font>
      <x:fill>
        <x:patternFill>
          <x:bgColor rgb="FFFFF6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bbecb1f27049db" /><Relationship Type="http://schemas.openxmlformats.org/officeDocument/2006/relationships/theme" Target="/xl/theme/theme1.xml" Id="Rebf36902bf01420b" /><Relationship Type="http://schemas.openxmlformats.org/officeDocument/2006/relationships/sharedStrings" Target="/xl/sharedStrings.xml" Id="R86ff80d5aaab4265" /><Relationship Type="http://schemas.openxmlformats.org/officeDocument/2006/relationships/worksheet" Target="/xl/worksheets/sheet1.xml" Id="Rb1026abd3f2a414e" /><Relationship Type="http://schemas.openxmlformats.org/officeDocument/2006/relationships/worksheet" Target="/xl/worksheets/sheet2.xml" Id="R6c4b7fcd95cd40c0" /><Relationship Type="http://schemas.openxmlformats.org/officeDocument/2006/relationships/worksheet" Target="/xl/worksheets/sheet3.xml" Id="R1d24fa7f802248be" /><Relationship Type="http://schemas.microsoft.com/office/2017/10/relationships/person" Target="/xl/persons/person.xml" Id="Ra6e335454e074a7c" /></Relationships>
</file>

<file path=xl/persons/person.xml><?xml version="1.0" encoding="utf-8"?>
<xltc:personList xmlns:xltc="http://schemas.microsoft.com/office/spreadsheetml/2018/threadedcomments">
  <xltc:person displayName="Jun Liao" id="{E8D640E0-8375-46E2-B261-C0786F2A6420}"/>
</xltc:personList>
</file>

<file path=xl/tables/table1.xml><?xml version="1.0" encoding="utf-8"?>
<x:table xmlns:x="http://schemas.openxmlformats.org/spreadsheetml/2006/main" id="1" name="V4AnnotationTable" displayName="V4AnnotationTable" ref="A1:R241" headerRowCount="1" totalsRowCount="0" totalsRowShown="0">
  <x:autoFilter ref="A1:R241"/>
  <x:tableColumns count="18">
    <x:tableColumn id="1" name="关系样本ID"/>
    <x:tableColumn id="2" name="事件样本ID"/>
    <x:tableColumn id="3" name="查询ID"/>
    <x:tableColumn id="4" name="公司"/>
    <x:tableColumn id="5" name="证券代码"/>
    <x:tableColumn id="6" name="检索截止时间"/>
    <x:tableColumn id="7" name="查询假设"/>
    <x:tableColumn id="8" name="候选文档ID"/>
    <x:tableColumn id="9" name="候选公告标题"/>
    <x:tableColumn id="10" name="候选发布日期"/>
    <x:tableColumn id="11" name="候选原文链接"/>
    <x:tableColumn id="12" name="关键证据定位"/>
    <x:tableColumn id="13" name="关键证据原文"/>
    <x:tableColumn id="14" name="相关性等级"/>
    <x:tableColumn id="15" name="关系路径可成立"/>
    <x:tableColumn id="16" name="标注理由"/>
    <x:tableColumn id="17" name="标注员"/>
    <x:tableColumn id="18" name="标注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N1" dT="2026-08-26T12:58:52.821" personId="{E8D640E0-8375-46E2-B261-C0786F2A6420}" id="{1B57461E-E226-6290-1CDA-A53BD1E47218}">
    <xltc:text>必须从下拉列表选择：0-无关、1-弱相关、2-间接相关或3-直接相关。</xltc:text>
  </xltc:threadedComment>
  <xltc:threadedComment ref="P1" dT="2026-08-26T12:58:52.821" personId="{E8D640E0-8375-46E2-B261-C0786F2A6420}" id="{B778C5CC-39AD-3471-2D3C-52FF94E47C95}">
    <xltc:text>请写出可复核的判断依据，说明候选原文如何影响查询假设，不能只写“相关”或“无关”。</xltc:text>
  </xltc:threadedComment>
  <xltc:threadedComment ref="R1" dT="2026-08-26T12:58:52.821" personId="{E8D640E0-8375-46E2-B261-C0786F2A6420}" id="{6EA4169B-FE6B-103E-BA2F-185246F1AAFC}">
    <xltc:text>请按 ISO 8601 且带时区填写，例如 2026-08-27T10:30:00+08:00。</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89d133c04adc406f" /><Relationship Type="http://schemas.openxmlformats.org/officeDocument/2006/relationships/vmlDrawing" Target="/xl/drawings/vmldrawing.vml" Id="Ra4e9fcb9bebc467c" /><Relationship Type="http://schemas.microsoft.com/office/2017/10/relationships/threadedComment" Target="/xl/threadedcomments/threadedcomment.xml" Id="R6d1a1a353d7843c1" /><Relationship Type="http://schemas.openxmlformats.org/officeDocument/2006/relationships/table" Target="/xl/tables/table1.xml" Id="R4d1e48f698a34acb"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22" hidden="0" customWidth="1"/>
    <x:col min="3" max="3" width="12" hidden="0" customWidth="1"/>
    <x:col min="4" max="4" width="12" hidden="0" customWidth="1"/>
    <x:col min="5" max="5" width="11" hidden="0" customWidth="1"/>
    <x:col min="6" max="6" width="24" hidden="0" customWidth="1"/>
    <x:col min="7" max="7" width="42" hidden="0" customWidth="1"/>
    <x:col min="8" max="8" width="27" hidden="0" customWidth="1"/>
    <x:col min="9" max="9" width="44" hidden="0" customWidth="1"/>
    <x:col min="10" max="10" width="24" hidden="0" customWidth="1"/>
    <x:col min="11" max="11" width="45" hidden="0" customWidth="1"/>
    <x:col min="12" max="12" width="11" hidden="0" customWidth="1"/>
    <x:col min="13" max="13" width="70" hidden="0" customWidth="1"/>
    <x:col min="14" max="14" width="17" hidden="0" customWidth="1"/>
    <x:col min="15" max="15" width="17" hidden="0" customWidth="1"/>
    <x:col min="16" max="16" width="48" hidden="0" customWidth="1"/>
    <x:col min="17" max="17" width="18" hidden="0" customWidth="1"/>
    <x:col min="18" max="18" width="26" hidden="0" customWidth="1"/>
  </x:cols>
  <x:sheetData>
    <x:row r="1" ht="38" customHeight="1">
      <x:c r="A1" s="76" t="str">
        <x:v>关系样本ID</x:v>
      </x:c>
      <x:c r="B1" s="78" t="str">
        <x:v>事件样本ID</x:v>
      </x:c>
      <x:c r="C1" s="78" t="str">
        <x:v>查询ID</x:v>
      </x:c>
      <x:c r="D1" s="35" t="str">
        <x:v>公司</x:v>
      </x:c>
      <x:c r="E1" s="78" t="str">
        <x:v>证券代码</x:v>
      </x:c>
      <x:c r="F1" s="35" t="str">
        <x:v>检索截止时间</x:v>
      </x:c>
      <x:c r="G1" s="35" t="str">
        <x:v>查询假设</x:v>
      </x:c>
      <x:c r="H1" s="78" t="str">
        <x:v>候选文档ID</x:v>
      </x:c>
      <x:c r="I1" s="35" t="str">
        <x:v>候选公告标题</x:v>
      </x:c>
      <x:c r="J1" s="35" t="str">
        <x:v>候选发布日期</x:v>
      </x:c>
      <x:c r="K1" s="78" t="str">
        <x:v>候选原文链接</x:v>
      </x:c>
      <x:c r="L1" s="35" t="str">
        <x:v>关键证据定位</x:v>
      </x:c>
      <x:c r="M1" s="35" t="str">
        <x:v>关键证据原文</x:v>
      </x:c>
      <x:c r="N1" s="35" t="str">
        <x:v>相关性等级</x:v>
      </x:c>
      <x:c r="O1" s="35" t="str">
        <x:v>关系路径可成立</x:v>
      </x:c>
      <x:c r="P1" s="35" t="str">
        <x:v>标注理由</x:v>
      </x:c>
      <x:c r="Q1" s="35" t="str">
        <x:v>标注员</x:v>
      </x:c>
      <x:c r="R1" s="92" t="str">
        <x:v>标注时间</x:v>
      </x:c>
    </x:row>
    <x:row r="2" ht="72" customHeight="1">
      <x:c r="A2" s="47" t="str">
        <x:v>V4-R-Q001-C04</x:v>
      </x:c>
      <x:c r="B2" s="47" t="str">
        <x:v>V4-E-Q001-C04</x:v>
      </x:c>
      <x:c r="C2" s="47" t="str">
        <x:v>V4-Q001</x:v>
      </x:c>
      <x:c r="D2" s="46" t="str">
        <x:v>比亚迪</x:v>
      </x:c>
      <x:c r="E2" s="47" t="str">
        <x:v>002594</x:v>
      </x:c>
      <x:c r="F2" s="80" t="n">
        <x:v>46260.75</x:v>
      </x:c>
      <x:c r="G2" s="64" t="str">
        <x:v>海外销量增长能否持续抵消国内价格竞争对收入的压力</x:v>
      </x:c>
      <x:c r="H2" s="47" t="str">
        <x:v>DOC-EVT-002594-00290</x:v>
      </x:c>
      <x:c r="I2" s="64" t="str">
        <x:v>战略及可持续发展委员会实施细则（2025年10月）</x:v>
      </x:c>
      <x:c r="J2" s="80" t="n">
        <x:v>45961</x:v>
      </x:c>
      <x:c r="K2" s="86" t="str">
        <x:v>http://static.cninfo.com.cn/finalpage/2025-10-31/1224776134.PDF</x:v>
      </x:c>
      <x:c r="L2" s="46" t="str">
        <x:v>第1页</x:v>
      </x:c>
      <x:c r="M2" s="64" t="str">
        <x:v>1 比亚迪股份有限公司 战略及可持续发展委员会实施细则 第一条 目标 （一）为适应公司战略及可持续发展需要，增强公司核心竞争力，确定公 司可持续发展规划，健全投资决策程序，加强决策科学性，提高重大投资决策 的效率和决策的质量，深化可持续发展导向的战略变革，完善公司治理结构， 提升可持续发展水平，根据有关法律、法规、规章、规范性文件和《比亚迪股 份有限公司章程》（下称“《公司章程》”）的规定，结合公司实际情况，制 定本实施细则。 （二）战略及可持续发展委员会是公司董事会下设的专门委员会，对董事 会负责。 （三）战略及可持续发展委员会主要负责对公司长期发展战略、重大投资 决策和可持续发展进行研究并提出建议。 第二条 战略及可持续发展委员会委员 （一）战略及可持续发展委员会由三至五名公司董事组成。 （二）战略及可持续发展委员会委员由董事会任命和解聘。 （三）战略及可持续发展委员会委员任期与董事任期一致。委员任期届满 后，连选可以连任。期间如有委员不再担任公司董事职务，为使战略及可持续 发展委员会的人员组成符合本实施细则的要求，董事会应根据本实施细则及时 补足委员人数。在董事会根据本实施细则及时补足委员人数之前，原委员仍按 该实施细则履行相关职权。 （四）战略及可持续发展委员会设主席一名。主席人选由董事长提名、董 事会审议通过产生。 第三条 战略及可持续发展委员会的运作 （一）战略及可持续发展委员会会议经过半数的委员或战略及可持续发展 委员会主席提议可召开； （二）公司原则上应当不…</x:v>
      </x:c>
      <x:c r="N2" s="48" t="str">
        <x:v>0-无关</x:v>
      </x:c>
      <x:c r="O2" s="48" t="str">
        <x:v>否</x:v>
      </x:c>
      <x:c r="P2" s="70" t="str">
        <x:v>《战略及可持续发展委员会实施细则（2025年10月）》（第1页）内容为“1 比亚迪股份有限公司 战略及可持续发展委员会实施细则 第一条 目标 （一）为适应公司战略及可持续发展需要，增强公司核心竞争力，确定公 司可持续发展规划，…”，属于治理、证券程序或其他非核心事项，不能帮助判断“海外销量增长能否持续抵消国内价格竞争对收入的压力”，故判0级。</x:v>
      </x:c>
      <x:c r="Q2" s="48" t="str">
        <x:v>FIN-R01</x:v>
      </x:c>
      <x:c r="R2" s="201" t="n">
        <x:v>46260.92880688657</x:v>
      </x:c>
    </x:row>
    <x:row r="3" ht="72" customHeight="1">
      <x:c r="A3" s="50" t="str">
        <x:v>V4-R-Q001-C02</x:v>
      </x:c>
      <x:c r="B3" s="50" t="str">
        <x:v>V4-E-Q001-C02</x:v>
      </x:c>
      <x:c r="C3" s="50" t="str">
        <x:v>V4-Q001</x:v>
      </x:c>
      <x:c r="D3" s="49" t="str">
        <x:v>比亚迪</x:v>
      </x:c>
      <x:c r="E3" s="50" t="str">
        <x:v>002594</x:v>
      </x:c>
      <x:c r="F3" s="81" t="n">
        <x:v>46260.75</x:v>
      </x:c>
      <x:c r="G3" s="65" t="str">
        <x:v>海外销量增长能否持续抵消国内价格竞争对收入的压力</x:v>
      </x:c>
      <x:c r="H3" s="50" t="str">
        <x:v>DOC-EVT-002594-00204</x:v>
      </x:c>
      <x:c r="I3" s="65" t="str">
        <x:v>2024年度可持续发展报告</x:v>
      </x:c>
      <x:c r="J3" s="81" t="n">
        <x:v>45741</x:v>
      </x:c>
      <x:c r="K3" s="87" t="str">
        <x:v>http://static.cninfo.com.cn/finalpage/2025-03-25/1222881489.PDF</x:v>
      </x:c>
      <x:c r="L3" s="49" t="str">
        <x:v>第152页</x:v>
      </x:c>
      <x:c r="M3" s="65" t="str">
        <x:v>立之 组织，对该机构、其附属机构和利益相关方不存在偏见和利益冲突。 本次鉴证团队由具备与此项任务有关的知识、经验和资质的人员组成。 发现与结论 鉴证/验证意见 基于上述方法论和所进行的鉴证，比亚迪股份有限公司2024年度可持续发展报告中包含的信息和数据是准确的、 可靠的，对比亚迪在2024年度可持续发展报告的可持续发展活动提供了公正和中肯的陈述。 报告遵循AA1000AS v 3中四个原则的程度如下： 包容性 报告识别了组织的利益相关方，收集了利益相关方的期望和诉求，确定了利益相关方沟通与参与的方式，并采取 不同方式进行沟通和交流。 实质性 报告根据确定的利益相关方的关注议题，合理的披露了对利益相关方的评价和决策有实质性影响的重要议题和指 标，反映了组织对经济、环境和社会的重要影响。 回应性 报告展现了与利益相关方互动的渠道，充分回应其诉求和期望，并就实质性议题进行了一定程度的透明回应。 影响性 报告呈现了对与环境，社会和治理有关主题的主要活动影响的监视和测量。 基于香港交易所上市规则附录C2《环境、社会及管治报告守则》及全球报告倡议组织《可持续发展报告标准》的 鉴证结论 鉴证团队认为，比亚迪股份有限公司2024年度可持续发展报告遵循了香港交易所上市规则附录C2《环境、社会 及管治报告守则》的披露要求，并且参照了GRI Standards 2021的要求。 签字： 代表通标标准技术服务有限公司 David Xin Sr. Director– Business A ssura…</x:v>
      </x:c>
      <x:c r="N3" s="51" t="str">
        <x:v>0-无关</x:v>
      </x:c>
      <x:c r="O3" s="51" t="str">
        <x:v>否</x:v>
      </x:c>
      <x:c r="P3" s="71" t="str">
        <x:v>《2024年度可持续发展报告》（第152页）内容为“立之 组织，对该机构、其附属机构和利益相关方不存在偏见和利益冲突。 本次鉴证团队由具备与此项任务有关的知识、经验和资质的人员组成。 发现与结论 鉴证/验证…”，属于治理、证券程序或其他非核心事项，不能帮助判断“海外销量增长能否持续抵消国内价格竞争对收入的压力”，故判0级。</x:v>
      </x:c>
      <x:c r="Q3" s="51" t="str">
        <x:v>FIN-R01</x:v>
      </x:c>
      <x:c r="R3" s="202" t="n">
        <x:v>46260.92880688657</x:v>
      </x:c>
    </x:row>
    <x:row r="4" ht="72" customHeight="1">
      <x:c r="A4" s="50" t="str">
        <x:v>V4-R-Q001-C03</x:v>
      </x:c>
      <x:c r="B4" s="50" t="str">
        <x:v>V4-E-Q001-C03</x:v>
      </x:c>
      <x:c r="C4" s="50" t="str">
        <x:v>V4-Q001</x:v>
      </x:c>
      <x:c r="D4" s="49" t="str">
        <x:v>比亚迪</x:v>
      </x:c>
      <x:c r="E4" s="50" t="str">
        <x:v>002594</x:v>
      </x:c>
      <x:c r="F4" s="81" t="n">
        <x:v>46260.75</x:v>
      </x:c>
      <x:c r="G4" s="65" t="str">
        <x:v>海外销量增长能否持续抵消国内价格竞争对收入的压力</x:v>
      </x:c>
      <x:c r="H4" s="50" t="str">
        <x:v>DOC-EVT-002594-00213</x:v>
      </x:c>
      <x:c r="I4" s="65" t="str">
        <x:v>战略及可持续发展委员会实施细则</x:v>
      </x:c>
      <x:c r="J4" s="81" t="n">
        <x:v>45741</x:v>
      </x:c>
      <x:c r="K4" s="87" t="str">
        <x:v>http://static.cninfo.com.cn/finalpage/2025-03-25/1222881511.PDF</x:v>
      </x:c>
      <x:c r="L4" s="49" t="str">
        <x:v>第1页</x:v>
      </x:c>
      <x:c r="M4" s="65" t="str">
        <x:v>1 比亚迪股份有限公司 战略及可持续发展委员会实施细则 第一条 目标 （一）为适应公司战略及可持续发展发展需要，增强公司核心竞争力，确 定公司可持续发展规划，健全投资决策程序，加强决策科学性，提高重大投资 决策的效率和决策的质量，深化可持续发展导向的战略变革，完善公司治理结 构，提升可持续发展水平，根据有关法律、法规、规章、 规范性文件和《比亚 迪股份有限公司章程》（下称“《公司章程》”）的规定，结合公司实际情况， 制定本实施细则。 （二）战略及可持续发展委员会是公司董事会下设的专门委员会，对董事 会负责。 （三）战略及可持续发展委员会主要负责对公司长期发展战略、重大投资 决策和可持续发展进行研究并提出建议。 第二条 战略及可持续发展委员会委员 （一）战略及可持续发展委员会由三至五名公司董事组成。 （二）战略及可持续发展委员会委员由董事会任命和解聘。 （三）战略及可持续发展委员会委员任期与董事任期一致。委员任期届满 后，连选可以连任。期间如有委员不再担任本公司董事职务，为使战略及可持 续发展委员会的人员组成符合本实施细则的要求，董事会应根据本实施细则及 时补足委员人数。在董事会根据本实施细则及时补足委员人数之前，原委员仍 按该实施细则履行相关职权。 （四）战略及可持续发展委员会设主席一名。主席人选由董事长提名、董 事会审议通过产生。 第三条 战略及可持续发展委员会的运作 （一）战略及可持续发展委员会会议经二分之一以上委员或战略及可持续 发展委员会主席提议可召开； （二）公司…</x:v>
      </x:c>
      <x:c r="N4" s="51" t="str">
        <x:v>0-无关</x:v>
      </x:c>
      <x:c r="O4" s="51" t="str">
        <x:v>否</x:v>
      </x:c>
      <x:c r="P4" s="71" t="str">
        <x:v>《战略及可持续发展委员会实施细则》（第1页）内容为“1 比亚迪股份有限公司 战略及可持续发展委员会实施细则 第一条 目标 （一）为适应公司战略及可持续发展发展需要，增强公司核心竞争力，确 定公司可持续发展规…”，属于治理、证券程序或其他非核心事项，不能帮助判断“海外销量增长能否持续抵消国内价格竞争对收入的压力”，故判0级。</x:v>
      </x:c>
      <x:c r="Q4" s="51" t="str">
        <x:v>FIN-R01</x:v>
      </x:c>
      <x:c r="R4" s="202" t="n">
        <x:v>46260.92880688657</x:v>
      </x:c>
    </x:row>
    <x:row r="5" ht="72" customHeight="1">
      <x:c r="A5" s="50" t="str">
        <x:v>V4-R-Q001-C06</x:v>
      </x:c>
      <x:c r="B5" s="50" t="str">
        <x:v>V4-E-Q001-C06</x:v>
      </x:c>
      <x:c r="C5" s="50" t="str">
        <x:v>V4-Q001</x:v>
      </x:c>
      <x:c r="D5" s="49" t="str">
        <x:v>比亚迪</x:v>
      </x:c>
      <x:c r="E5" s="50" t="str">
        <x:v>002594</x:v>
      </x:c>
      <x:c r="F5" s="81" t="n">
        <x:v>46260.75</x:v>
      </x:c>
      <x:c r="G5" s="65" t="str">
        <x:v>海外销量增长能否持续抵消国内价格竞争对收入的压力</x:v>
      </x:c>
      <x:c r="H5" s="50" t="str">
        <x:v>DOC-EVT-002594-00340</x:v>
      </x:c>
      <x:c r="I5" s="65" t="str">
        <x:v>关于召开2025年年度报告网上说明会并征集问题的公告</x:v>
      </x:c>
      <x:c r="J5" s="81" t="n">
        <x:v>46109</x:v>
      </x:c>
      <x:c r="K5" s="87" t="str">
        <x:v>http://static.cninfo.com.cn/finalpage/2026-03-28/1225045372.PDF</x:v>
      </x:c>
      <x:c r="L5" s="49" t="str">
        <x:v>第1页</x:v>
      </x:c>
      <x:c r="M5" s="65" t="str">
        <x:v>1 证券代码：002594 证券简称：比亚迪 公告编号：2026-015 比亚迪股份有限公司 关于召开2025年年度报告网上说明会并征集问题的公告 本公司及董事会全体成员保证信息披露内容的真实、准确和完整，没有虚假 记载、误导性陈述或重大遗漏。 比亚迪股份有限公司（以下简称“公司”）已于今日在巨潮资讯网 (www.cninfo.com.cn)披露公司《2025年年度报告》全文及其摘要，供全体股东和 投资者查询参阅。 为使广大投资者进一步详细了解公司年报信息，公司将于2026年4月1日（星 期三）下午15：00-17:00通过路演中的路演中心平台举行2025年年度报告网上说 明会。本次说明会将采用网络远程方式举行，投资者可登陆“路演中-路演中心” （参会链接：https://www.roadshowchina.cn/w/meet/p5aN7p）参与本次说明会。 同时，为更高质量地与投资者沟通交流、提高投资者的参会体验，公司现就 2025年度业绩和经营情况提前向投资者征集相关问题。投资者可扫描下方二维码 登录“比亚迪股东星球”微信小程序，在“资讯”首页“股东建言”板块留言提 问。公司将于2025年年度报告网上说明会上对投资者普遍关注的问题进行回答。 出席本次说明会的人员有：公司董事长兼总裁王传福先生、独立董事张敏先 生、高级副总裁兼财务总监周亚琳女士、董事会秘书及公司秘书李黔先生、证券 事务代表吴越先生。</x:v>
      </x:c>
      <x:c r="N5" s="51" t="str">
        <x:v>0-无关</x:v>
      </x:c>
      <x:c r="O5" s="51" t="str">
        <x:v>否</x:v>
      </x:c>
      <x:c r="P5" s="71" t="str">
        <x:v>《关于召开2025年年度报告网上说明会并征集问题的公告》（第1页）内容为“1 证券代码：002594 证券简称：比亚迪 公告编号：2026-015 比亚迪股份有限公司 关于召开2025年年度报告网上说明会并征集问题的公告 本公司…”，属于治理、证券程序或其他非核心事项，不能帮助判断“海外销量增长能否持续抵消国内价格竞争对收入的压力”，故判0级。</x:v>
      </x:c>
      <x:c r="Q5" s="51" t="str">
        <x:v>FIN-R01</x:v>
      </x:c>
      <x:c r="R5" s="202" t="n">
        <x:v>46260.92880688657</x:v>
      </x:c>
    </x:row>
    <x:row r="6" ht="72" customHeight="1">
      <x:c r="A6" s="50" t="str">
        <x:v>V4-R-Q001-C01</x:v>
      </x:c>
      <x:c r="B6" s="50" t="str">
        <x:v>V4-E-Q001-C01</x:v>
      </x:c>
      <x:c r="C6" s="50" t="str">
        <x:v>V4-Q001</x:v>
      </x:c>
      <x:c r="D6" s="49" t="str">
        <x:v>比亚迪</x:v>
      </x:c>
      <x:c r="E6" s="50" t="str">
        <x:v>002594</x:v>
      </x:c>
      <x:c r="F6" s="81" t="n">
        <x:v>46260.75</x:v>
      </x:c>
      <x:c r="G6" s="65" t="str">
        <x:v>海外销量增长能否持续抵消国内价格竞争对收入的压力</x:v>
      </x:c>
      <x:c r="H6" s="50" t="str">
        <x:v>DOC-EVT-002594-00357</x:v>
      </x:c>
      <x:c r="I6" s="65" t="str">
        <x:v>2025年度可持续发展报告</x:v>
      </x:c>
      <x:c r="J6" s="81" t="n">
        <x:v>46109</x:v>
      </x:c>
      <x:c r="K6" s="87" t="str">
        <x:v>http://static.cninfo.com.cn/finalpage/2026-03-28/1225045371.PDF</x:v>
      </x:c>
      <x:c r="L6" s="49" t="str">
        <x:v>第8页</x:v>
      </x:c>
      <x:c r="M6" s="65" t="str">
        <x:v>72025 比亚迪可持续发展报告 开篇 D绿色低碳 R创新变革 E平等机会 A协同合作 M诚信守正 S价值共享 附录 鉴证声明 汽车领域 作为全球最大的新能源汽车企业 ，比亚迪掌握电池、 电机、 电控等电动汽车全产业链核心技术， 从自主创 新到全面开放创新， 持续引领全球新能源汽车变革。 经过长期坚守，近年来比亚迪凭借刀片电池、 DM-i超 级混动、超级e平台、易四方、云辇系统及天神之眼 、 闪充等颠覆性技术接连推出， 迎来前所未有的巨大发 展期，2025年累计销售新能源汽车 460万辆，蝉联全 球新能源汽车销量冠军；其中， 海外销量突破100万辆， 同比增长145%。比亚迪新能源汽车运营足迹已遍及全 球100多个国家和地区的 400多个城市，持续为全球消 费者提供绿色技术和产品。 电子领域 比亚迪电子 （国际）有限公司2007年于香港分拆上市 （股票代码： 00285.HK），2024年被纳入香港恒生 指数，已发展成为全球领先的高科技创新产品提供商。 依托电子信息技术 、人工智能技术 、5G和物联网技术 、 热管理技术、 新材料技术、 精密模具技术和数字化制 造技术等核心优势， 为全球客户提供一站式产品解决 方案。 业务涵盖智能手机、 平板电脑 、新能源汽车、 AI数据中心、智能家居、游戏硬件、无人机、3D打印 机、物联网、 机器人、通讯设备等多元化的市场领域。 新能源领域 比亚迪作为新能源整体解决方案提供商， 拥有电池、 太阳能、 储能等新能源产品， 打通能源从获取、…</x:v>
      </x:c>
      <x:c r="N6" s="51" t="str">
        <x:v>3-直接相关</x:v>
      </x:c>
      <x:c r="O6" s="51" t="str">
        <x:v>是</x:v>
      </x:c>
      <x:c r="P6" s="71" t="str">
        <x:v>《2025年度可持续发展报告》（第8页）直接披露“72025 比亚迪可持续发展报告 开篇 D绿色低碳 R创新变革 E平等机会 A协同合作 M诚信守正 S价值共享 附录 鉴证声明 汽车领域 作为全球最大的新…”，与“海外销量增长能否持续抵消国内价格竞争对收入的压力”的核心变量或结果同口径，可直接用于判断，故判3级。</x:v>
      </x:c>
      <x:c r="Q6" s="51" t="str">
        <x:v>FIN-R01</x:v>
      </x:c>
      <x:c r="R6" s="202" t="n">
        <x:v>46260.92880688657</x:v>
      </x:c>
    </x:row>
    <x:row r="7" ht="72" customHeight="1">
      <x:c r="A7" s="50" t="str">
        <x:v>V4-R-Q001-C07</x:v>
      </x:c>
      <x:c r="B7" s="50" t="str">
        <x:v>V4-E-Q001-C07</x:v>
      </x:c>
      <x:c r="C7" s="50" t="str">
        <x:v>V4-Q001</x:v>
      </x:c>
      <x:c r="D7" s="49" t="str">
        <x:v>比亚迪</x:v>
      </x:c>
      <x:c r="E7" s="50" t="str">
        <x:v>002594</x:v>
      </x:c>
      <x:c r="F7" s="81" t="n">
        <x:v>46260.75</x:v>
      </x:c>
      <x:c r="G7" s="65" t="str">
        <x:v>海外销量增长能否持续抵消国内价格竞争对收入的压力</x:v>
      </x:c>
      <x:c r="H7" s="50" t="str">
        <x:v>DOC-EVT-002594-00150</x:v>
      </x:c>
      <x:c r="I7" s="65" t="str">
        <x:v>2024年三季度报告</x:v>
      </x:c>
      <x:c r="J7" s="81" t="n">
        <x:v>45596</x:v>
      </x:c>
      <x:c r="K7" s="87" t="str">
        <x:v>http://static.cninfo.com.cn/finalpage/2024-10-31/1221574602.PDF</x:v>
      </x:c>
      <x:c r="L7" s="49" t="str">
        <x:v>第6页</x:v>
      </x:c>
      <x:c r="M7" s="65" t="str">
        <x:v>比亚迪股份有限公司 2024 年第三季度报告 6 基于对国家“双碳”目标下新能源行业前景和公司未来发展的信心，对公司价值的认可，以及对国内资本市场长期投资 价值的持续看好，公司高级副总裁罗红斌先生、高级副总裁兼财务总监周亚琳女士、高级副总裁杨冬生先生、副总裁罗 忠良先生、副总裁李巍女士于 2024 年9 月2 日至2024 年9月 9 日期间通过深圳证券交易所交易系统以集中竞价交易方 式增持公司 A 股股份共计58,100 股，增持金额共计14,657,247.00 元；公司其他 33 名核心人员亦通过深圳证券交易所 交易系统以集中竞价交易方式增持公司 A 股股份共计83,900 股，增持金额共计 20,796,366.00 元。以上增持主体本次增 持公司 A 股股份合计142,000股，增持金额合计 35,453,613.00 元。具体内容详见公司于 2024 年9 月 11 日在巨潮资讯 网（www.cninfo.com.cn）上披露的《关于高级管理人员、核心人员增持公司股份的公告》 （公告编号：2024-071）。 四、季度财务报表 （一） 财务报表 1、合并资产负债表 编制单位：比亚迪股份有限公司 2024 年09 月 30 日 单位：元 项目 期末余额 期初余额 流动资产： 货币资金 66,319,375,000.00 109,094,408,000.00 交易性金融资产 25,415,146,000.00 9,562,550,000.00 应收账款 79,443…</x:v>
      </x:c>
      <x:c r="N7" s="51" t="str">
        <x:v>0-无关</x:v>
      </x:c>
      <x:c r="O7" s="51" t="str">
        <x:v>否</x:v>
      </x:c>
      <x:c r="P7" s="71" t="str">
        <x:v>《2024年三季度报告》（第6页）内容为“比亚迪股份有限公司 2024 年第三季度报告 6 基于对国家“双碳”目标下新能源行业前景和公司未来发展的信心，对公司价值的认可，以及对国内资本市场长期投资…”，属于治理、证券程序或其他非核心事项，不能帮助判断“海外销量增长能否持续抵消国内价格竞争对收入的压力”，故判0级。</x:v>
      </x:c>
      <x:c r="Q7" s="51" t="str">
        <x:v>FIN-R01</x:v>
      </x:c>
      <x:c r="R7" s="202" t="n">
        <x:v>46260.92880688657</x:v>
      </x:c>
    </x:row>
    <x:row r="8" ht="72" customHeight="1">
      <x:c r="A8" s="50" t="str">
        <x:v>V4-R-Q001-C05</x:v>
      </x:c>
      <x:c r="B8" s="50" t="str">
        <x:v>V4-E-Q001-C05</x:v>
      </x:c>
      <x:c r="C8" s="50" t="str">
        <x:v>V4-Q001</x:v>
      </x:c>
      <x:c r="D8" s="49" t="str">
        <x:v>比亚迪</x:v>
      </x:c>
      <x:c r="E8" s="50" t="str">
        <x:v>002594</x:v>
      </x:c>
      <x:c r="F8" s="81" t="n">
        <x:v>46260.75</x:v>
      </x:c>
      <x:c r="G8" s="65" t="str">
        <x:v>海外销量增长能否持续抵消国内价格竞争对收入的压力</x:v>
      </x:c>
      <x:c r="H8" s="50" t="str">
        <x:v>DOC-EVT-002594-00018</x:v>
      </x:c>
      <x:c r="I8" s="65" t="str">
        <x:v>关于收到董事长提议增加回购公司股份金额的提示性公告</x:v>
      </x:c>
      <x:c r="J8" s="81" t="n">
        <x:v>45348</x:v>
      </x:c>
      <x:c r="K8" s="87" t="str">
        <x:v>http://static.cninfo.com.cn/finalpage/2024-02-26/1219171246.PDF</x:v>
      </x:c>
      <x:c r="L8" s="49" t="str">
        <x:v>第1页</x:v>
      </x:c>
      <x:c r="M8" s="65" t="str">
        <x:v>1 证券代码：002594 证券简称：比亚迪 公告编号：2024-015 比亚迪股份有限公司 关于收到董事长提议增加回购公司股份金额的提示性公告 本公司及董事会全体成员保证信息披露的内容真实、准确、完整，没有虚假 记载、误导性陈述或重大遗漏。 比亚迪股份有限公司（以下简称“本公司”或“公司”）于2024年2月22日 收到公司实际控制人、董事长兼总裁王传福先生（以下简称“提议人”）《关于 提议比亚迪股份有限公司增加回购公司A股股份金额的函》，具体内容如下： 一、提议人的基本情况及提议时间 1、提议人：公司实际控制人、董事长兼总裁王传福先生 2、提议时间：2024年2月23日 二、提议增加回购股份金额的原因和目的 公司实际控制人、董事长兼总裁王传福先生于2023年12月6日提议公司通过 集中竞价交易方式回购部分公司A股股份，回购股份的资金总额为人民币2亿元， 具体内容详见公司披露于巨潮资讯网（www.cninfo.com.cn）的《关于收到董事 长提议回购公司股份的提示性公告》（公告编号：2023-121）。 基于对国家“双碳”目标下新能源行业前景和公司未来发展的信心，以及对 公司价值的认可，为更好维护公司全体股东利益，增强投资者信心，稳定及提升 公司价值，王传福先生提议将回购金额由人民币2亿元增加至人民币4亿元，并用 于减少注册资本。 三、提议内容 1、回购股份的种类：公司发行的人民币普通股（A股）。 2、回购股份的用途：本次回购的股份将用于减少注册资本，具体由公司董 事会依…</x:v>
      </x:c>
      <x:c r="N8" s="51" t="str">
        <x:v>0-无关</x:v>
      </x:c>
      <x:c r="O8" s="51" t="str">
        <x:v>否</x:v>
      </x:c>
      <x:c r="P8" s="71" t="str">
        <x:v>《关于收到董事长提议增加回购公司股份金额的提示性公告》（第1页）内容为“1 证券代码：002594 证券简称：比亚迪 公告编号：2024-015 比亚迪股份有限公司 关于收到董事长提议增加回购公司股份金额的提示性公告 本公司及…”，属于治理、证券程序或其他非核心事项，不能帮助判断“海外销量增长能否持续抵消国内价格竞争对收入的压力”，故判0级。</x:v>
      </x:c>
      <x:c r="Q8" s="51" t="str">
        <x:v>FIN-R01</x:v>
      </x:c>
      <x:c r="R8" s="202" t="n">
        <x:v>46260.92880688657</x:v>
      </x:c>
    </x:row>
    <x:row r="9" ht="72" customHeight="1">
      <x:c r="A9" s="50" t="str">
        <x:v>V4-R-Q001-C08</x:v>
      </x:c>
      <x:c r="B9" s="50" t="str">
        <x:v>V4-E-Q001-C08</x:v>
      </x:c>
      <x:c r="C9" s="50" t="str">
        <x:v>V4-Q001</x:v>
      </x:c>
      <x:c r="D9" s="49" t="str">
        <x:v>比亚迪</x:v>
      </x:c>
      <x:c r="E9" s="50" t="str">
        <x:v>002594</x:v>
      </x:c>
      <x:c r="F9" s="81" t="n">
        <x:v>46260.75</x:v>
      </x:c>
      <x:c r="G9" s="65" t="str">
        <x:v>海外销量增长能否持续抵消国内价格竞争对收入的压力</x:v>
      </x:c>
      <x:c r="H9" s="50" t="str">
        <x:v>DOC-EVT-002594-00155</x:v>
      </x:c>
      <x:c r="I9" s="65" t="str">
        <x:v>关于比亚迪股份有限公司2024年第二次临时股东会的法律意见书</x:v>
      </x:c>
      <x:c r="J9" s="81" t="n">
        <x:v>45602</x:v>
      </x:c>
      <x:c r="K9" s="87" t="str">
        <x:v>http://static.cninfo.com.cn/finalpage/2024-11-06/1221638067.PDF</x:v>
      </x:c>
      <x:c r="L9" s="49" t="str">
        <x:v>第7页</x:v>
      </x:c>
      <x:c r="M9" s="65" t="str">
        <x:v>法律意见书 （本页无正文， 为 《北京市中伦 （深圳） 律师事务所关于比亚迪股份有限公司2024 年第二次临时股东会的法律意见书》之签署页） 北京市中伦（深圳）律师事务所（盖章） 负责人： 经办律师： 赖继红 孔维维 郭子威 2024 年 11月 5 日</x:v>
      </x:c>
      <x:c r="N9" s="51" t="str">
        <x:v>0-无关</x:v>
      </x:c>
      <x:c r="O9" s="51" t="str">
        <x:v>否</x:v>
      </x:c>
      <x:c r="P9" s="71" t="str">
        <x:v>《关于比亚迪股份有限公司2024年第二次临时股东会的法律意见书》（第7页）内容为“法律意见书 （本页无正文， 为 《北京市中伦 （深圳） 律师事务所关于比亚迪股份有限公司2024 年第二次临时股东会的法律意见书》之签署页） 北京市中伦（…”，属于治理、证券程序或其他非核心事项，不能帮助判断“海外销量增长能否持续抵消国内价格竞争对收入的压力”，故判0级。</x:v>
      </x:c>
      <x:c r="Q9" s="51" t="str">
        <x:v>FIN-R01</x:v>
      </x:c>
      <x:c r="R9" s="202" t="n">
        <x:v>46260.92880688657</x:v>
      </x:c>
    </x:row>
    <x:row r="10" ht="72" customHeight="1">
      <x:c r="A10" s="50" t="str">
        <x:v>V4-R-Q002-C08</x:v>
      </x:c>
      <x:c r="B10" s="50" t="str">
        <x:v>V4-E-Q002-C08</x:v>
      </x:c>
      <x:c r="C10" s="50" t="str">
        <x:v>V4-Q002</x:v>
      </x:c>
      <x:c r="D10" s="49" t="str">
        <x:v>比亚迪</x:v>
      </x:c>
      <x:c r="E10" s="50" t="str">
        <x:v>002594</x:v>
      </x:c>
      <x:c r="F10" s="81" t="n">
        <x:v>46260.75</x:v>
      </x:c>
      <x:c r="G10" s="65" t="str">
        <x:v>高端车型与产品结构升级能否改善汽车业务单车盈利</x:v>
      </x:c>
      <x:c r="H10" s="50" t="str">
        <x:v>DOC-EVT-002594-00359</x:v>
      </x:c>
      <x:c r="I10" s="65" t="str">
        <x:v>关于在比亚迪汽车金融有限公司办理存款业务暨关联交易的公告</x:v>
      </x:c>
      <x:c r="J10" s="81" t="n">
        <x:v>46109</x:v>
      </x:c>
      <x:c r="K10" s="87" t="str">
        <x:v>http://static.cninfo.com.cn/finalpage/2026-03-28/1225045365.PDF</x:v>
      </x:c>
      <x:c r="L10" s="49" t="str">
        <x:v>第1页</x:v>
      </x:c>
      <x:c r="M10" s="65" t="str">
        <x:v>1 证券代码：002594 证券简称：比亚迪 公告编号：2026-010 比亚迪股份有限公司 关于在比亚迪汽车金融有限公司办理存款业务暨关联交易的公告 本公司及董事会全体成员保证信息披露内容的真实、准确和完整，没有虚假 记载、误导性陈述或重大遗漏。 一、交易概述 为提高比亚迪股份有限公司（以下简称“本公司”或“公司”或“比亚迪”） 及其控股子公司（以下合称“集团”或“本集团”）资金使用效率，并促进集团 与公司参股公司比亚迪汽车金融有限公司（以下简称“比亚迪汽车金融”）的业 务共同发展，公司于2026年3月27日召开第八届董事会第二十二次会议，审议并 通过了《关于审议公司在比亚迪汽车金融有限公司办理存款业务暨关联交易的议 案》，本集团拟在比亚迪汽车金融办理股东存款业务，存款业务的额度上限为人 民币400亿元，并按照中国人民银行公布的中国金融机构存款基准利率加上上浮 幅度（上浮幅度由双方依据市场利率、融资成本、市场回报率等综合因素协商确 定）计付存款利息，存款利息上限为人民币12亿元。上述交易的有效期为董事会 审议通过之日起一年内。 比亚迪汽车金融为本公司联营合营企业，本公司高级副总裁兼财务总监周亚 琳女士担任比亚迪汽车金融董事长之职。根据《深圳证券交易所股票上市规则》 6.3.3条规定，比亚迪汽车金融与本公司构成关联关系。 本项关联交易金额在董事会审批权限范围内，无需提交公司股东会审议，不 构成《上市公司重大资产重组管理办法》规定的重大资产重组。 二、交易对方的基本情况 （1…</x:v>
      </x:c>
      <x:c r="N10" s="51" t="str">
        <x:v>0-无关</x:v>
      </x:c>
      <x:c r="O10" s="51" t="str">
        <x:v>否</x:v>
      </x:c>
      <x:c r="P10" s="71" t="str">
        <x:v>《关于在比亚迪汽车金融有限公司办理存款业务暨关联交易的公告》（第1页）内容为“1 证券代码：002594 证券简称：比亚迪 公告编号：2026-010 比亚迪股份有限公司 关于在比亚迪汽车金融有限公司办理存款业务暨关联交易的公告 本…”，属于治理、证券程序或其他非核心事项，不能帮助判断“高端车型与产品结构升级能否改善汽车业务单车盈利”，故判0级。</x:v>
      </x:c>
      <x:c r="Q10" s="51" t="str">
        <x:v>FIN-R01</x:v>
      </x:c>
      <x:c r="R10" s="202" t="n">
        <x:v>46260.92880688657</x:v>
      </x:c>
    </x:row>
    <x:row r="11" ht="72" customHeight="1">
      <x:c r="A11" s="50" t="str">
        <x:v>V4-R-Q002-C04</x:v>
      </x:c>
      <x:c r="B11" s="50" t="str">
        <x:v>V4-E-Q002-C04</x:v>
      </x:c>
      <x:c r="C11" s="50" t="str">
        <x:v>V4-Q002</x:v>
      </x:c>
      <x:c r="D11" s="49" t="str">
        <x:v>比亚迪</x:v>
      </x:c>
      <x:c r="E11" s="50" t="str">
        <x:v>002594</x:v>
      </x:c>
      <x:c r="F11" s="81" t="n">
        <x:v>46260.75</x:v>
      </x:c>
      <x:c r="G11" s="65" t="str">
        <x:v>高端车型与产品结构升级能否改善汽车业务单车盈利</x:v>
      </x:c>
      <x:c r="H11" s="50" t="str">
        <x:v>DOC-EVT-002594-00040</x:v>
      </x:c>
      <x:c r="I11" s="65" t="str">
        <x:v>关于持股5%以上股东参与转融通证券出借业务期限届满的公告</x:v>
      </x:c>
      <x:c r="J11" s="81" t="n">
        <x:v>45373</x:v>
      </x:c>
      <x:c r="K11" s="87" t="str">
        <x:v>http://static.cninfo.com.cn/finalpage/2024-03-22/1219373799.PDF</x:v>
      </x:c>
      <x:c r="L11" s="49" t="str">
        <x:v>第1页</x:v>
      </x:c>
      <x:c r="M11" s="65" t="str">
        <x:v>证券代码：002594 证券简称：比亚迪 公告编号：2024-026 比亚迪股份有限公司 关于持股5%以上股东参与转融通证券出借业务期限届满的公告 持股5%以上的股东融捷投资控股集团有限公司保证向本公司提供的信息内 容真实、准确、完整，没有虚假记载、误导性陈述或重大遗漏。 本公司及董事会全体成员保证公告内容与信息披露义务人提供的信息一致。 比亚迪股份有限公司（以下简称“公司”或“本公司”）于2023年9月2日披 露了 《关于持股5%以上股东参与转融通证券出借业务期限届满暨继续参与转融通 证券出借业务的预披露公告》（公告编号：2023-089），公司持股5%以上股东融 捷投资控股集团有限公司（以下简称“融捷投资控股”）将所持有的公司A股股 份不超过8,000,000股出借给中国证券金融股份有限公司，用于参与转融通证券 出借交易，参与期间为公告披露之日起15个交易日后的6个月内，出借股份未超 过公司总股本的1%（以下简称“本次转融通证券出借业务”）。 一、股东参与转融通证券出借业务期限届满的情况 公司于近日收到融捷投资控股 《关于开展转融通证券出借业务期限届满的告 知函》，截至2024年3月21日，本次转融通证券出借业务期限已届满。 二、其他相关说明 （一）融捷投资控股前次转融通证券出借业务未违反 《公司法》 、 《证券法》 、 《转融通业务监督管理试行办法》、《深圳证券交易所股票上市规则》、《深圳 证券交易所上市公司自律监管指引第1号——主板上市公司规范运作》、《深圳 证券交…</x:v>
      </x:c>
      <x:c r="N11" s="51" t="str">
        <x:v>0-无关</x:v>
      </x:c>
      <x:c r="O11" s="51" t="str">
        <x:v>否</x:v>
      </x:c>
      <x:c r="P11" s="71" t="str">
        <x:v>《关于持股5%以上股东参与转融通证券出借业务期限届满的公告》（第1页）内容为“证券代码：002594 证券简称：比亚迪 公告编号：2024-026 比亚迪股份有限公司 关于持股5%以上股东参与转融通证券出借业务期限届满的公告 持股5…”，属于治理、证券程序或其他非核心事项，不能帮助判断“高端车型与产品结构升级能否改善汽车业务单车盈利”，故判0级。</x:v>
      </x:c>
      <x:c r="Q11" s="51" t="str">
        <x:v>FIN-R01</x:v>
      </x:c>
      <x:c r="R11" s="202" t="n">
        <x:v>46260.92880688657</x:v>
      </x:c>
    </x:row>
    <x:row r="12" ht="72" customHeight="1">
      <x:c r="A12" s="50" t="str">
        <x:v>V4-R-Q002-C07</x:v>
      </x:c>
      <x:c r="B12" s="50" t="str">
        <x:v>V4-E-Q002-C07</x:v>
      </x:c>
      <x:c r="C12" s="50" t="str">
        <x:v>V4-Q002</x:v>
      </x:c>
      <x:c r="D12" s="49" t="str">
        <x:v>比亚迪</x:v>
      </x:c>
      <x:c r="E12" s="50" t="str">
        <x:v>002594</x:v>
      </x:c>
      <x:c r="F12" s="81" t="n">
        <x:v>46260.75</x:v>
      </x:c>
      <x:c r="G12" s="65" t="str">
        <x:v>高端车型与产品结构升级能否改善汽车业务单车盈利</x:v>
      </x:c>
      <x:c r="H12" s="50" t="str">
        <x:v>DOC-EVT-002594-00335</x:v>
      </x:c>
      <x:c r="I12" s="65" t="str">
        <x:v>2025年年度报告摘要</x:v>
      </x:c>
      <x:c r="J12" s="81" t="n">
        <x:v>46109</x:v>
      </x:c>
      <x:c r="K12" s="87" t="str">
        <x:v>http://static.cninfo.com.cn/finalpage/2026-03-28/1225045350.PDF</x:v>
      </x:c>
      <x:c r="L12" s="49" t="str">
        <x:v>第1页</x:v>
      </x:c>
      <x:c r="M12" s="65" t="str">
        <x:v>比亚迪股份有限公司 2025 年年度报告摘要 1 证券代码：002594 证券简称：比亚迪 公告编号：2026-004 比亚迪股份有限公司2025 年年度报告摘要 一、重要提示 本年度报告摘要来自年度报告全文，为全面了解本公司的经营成果、财务状况及未来发展规划，投资者应当到证监会指 定媒体仔细阅读年度报告全文。 所有董事均已出席了审议本报告的董事会会议。 非标准审计意见提示 □适用 不适用 董事会审议的报告期利润分配预案或公积金转增股本预案 适用 □不适用 是否以公积金转增股本 □是 否 公司经本次董事会审议通过的利润分配预案为:以 9,117,197,565 为基数，向全体股东每 10股派发现金红利 3.58 元 (含税)，送红股 0股(含税)，不以公积金转增股本。 董事会决议通过的本报告期优先股利润分配预案 □适用 不适用 二、公司基本情况 1、公司简介 股票简称 比亚迪（A 股）、比亚迪股份（H股） 股票代码 002594、01211、81211 股票上市交易所 深圳证券交易所、香港联合交易所有限公司 联系人和联系方式 董事会秘书 证券事务代表 姓名 李黔 程燕/吴越 办公地址 深圳市坪山区比亚迪路 3009 号 深圳市坪山区比亚迪路 3009 号 传真 （+86）755-8420 2222 （+86）755-8420 2222 电话 （+86）755-8988 8888-62126 （+86）755-8988 8888-62126 电子信箱 db@byd.c…</x:v>
      </x:c>
      <x:c r="N12" s="51" t="str">
        <x:v>0-无关</x:v>
      </x:c>
      <x:c r="O12" s="51" t="str">
        <x:v>否</x:v>
      </x:c>
      <x:c r="P12" s="71" t="str">
        <x:v>《2025年年度报告摘要》（第1页）内容为“比亚迪股份有限公司 2025 年年度报告摘要 1 证券代码：002594 证券简称：比亚迪 公告编号：2026-004 比亚迪股份有限公司2025 年年度…”，属于治理、证券程序或其他非核心事项，不能帮助判断“高端车型与产品结构升级能否改善汽车业务单车盈利”，故判0级。</x:v>
      </x:c>
      <x:c r="Q12" s="51" t="str">
        <x:v>FIN-R01</x:v>
      </x:c>
      <x:c r="R12" s="202" t="n">
        <x:v>46260.92880688657</x:v>
      </x:c>
    </x:row>
    <x:row r="13" ht="72" customHeight="1">
      <x:c r="A13" s="50" t="str">
        <x:v>V4-R-Q002-C01</x:v>
      </x:c>
      <x:c r="B13" s="50" t="str">
        <x:v>V4-E-Q002-C01</x:v>
      </x:c>
      <x:c r="C13" s="50" t="str">
        <x:v>V4-Q002</x:v>
      </x:c>
      <x:c r="D13" s="49" t="str">
        <x:v>比亚迪</x:v>
      </x:c>
      <x:c r="E13" s="50" t="str">
        <x:v>002594</x:v>
      </x:c>
      <x:c r="F13" s="81" t="n">
        <x:v>46260.75</x:v>
      </x:c>
      <x:c r="G13" s="65" t="str">
        <x:v>高端车型与产品结构升级能否改善汽车业务单车盈利</x:v>
      </x:c>
      <x:c r="H13" s="50" t="str">
        <x:v>DOC-EVT-002594-00296</x:v>
      </x:c>
      <x:c r="I13" s="65" t="str">
        <x:v>外汇衍生品交易业务管理制度（2025年10月）</x:v>
      </x:c>
      <x:c r="J13" s="81" t="n">
        <x:v>45961</x:v>
      </x:c>
      <x:c r="K13" s="87" t="str">
        <x:v>http://static.cninfo.com.cn/finalpage/2025-10-31/1224776147.PDF</x:v>
      </x:c>
      <x:c r="L13" s="49" t="str">
        <x:v>第1页</x:v>
      </x:c>
      <x:c r="M13" s="65" t="str">
        <x:v>比亚迪股份有限公司 外汇衍生品交易业务管理制度 第一章 总 则 第一条 为规范比亚迪股份有限公司（以下简称“公司”）及其下属控股子 公司外汇衍生品交易业务，加强对外汇衍生品交易业务的管理，防范投资风险， 维护公司资产安全，依据《中华人民共和国公司法》、《中华人民共和国证券法》、 《中华人民共和国期货和衍生品法》、《深圳证券交易所股票上市规则》、《上 市公司信息披露管理办法》、《深圳证券交易所上市公司自律监管指引第1号— —主板上市公司规范运作》、《深圳证券交易所上市公司自律监管指引第7号— —交易与关联交易》等有关法律、法规、规范性文件的有关规定，结合《公司章 程》及公司实际业务情况，特制定本制度。 第二条 本制度适用于公司及其下属控股子公司的外汇衍生品交易业务。下 属控股子公司进行外汇衍生品交易业务视同公司外汇衍生品交易业务，适用本制 度，但未经公司同意，公司下属子公司不得操作该业务。公司应当参照本制度相 关规定，履行相关审批和信息披露义务。 第三条 本制度所称外汇衍生品交易业务是一种金融合约的交易活动，外汇 衍生品是指从原生资产派生出来的外汇交易工具，其价值取决于一种或多种基础 资产或指数。业务品种具体包括：远期业务、掉期（互换）业务、期权业务等及 以上业务的组合。 第二章 操作原则 第四条 公司开展外汇衍生品交易业务，应符合国家相关法律法规、《公司 章程》和本制度的相关规定。公司开展外汇衍生品交易业务应当以套期保值为目 的。公司从事套期保值业务，是指为管理因其资产、负…</x:v>
      </x:c>
      <x:c r="N13" s="51" t="str">
        <x:v>0-无关</x:v>
      </x:c>
      <x:c r="O13" s="51" t="str">
        <x:v>否</x:v>
      </x:c>
      <x:c r="P13" s="71" t="str">
        <x:v>《外汇衍生品交易业务管理制度（2025年10月）》（第1页）内容为“比亚迪股份有限公司 外汇衍生品交易业务管理制度 第一章 总 则 第一条 为规范比亚迪股份有限公司（以下简称“公司”）及其下属控股子 公司外汇衍生品交易业务…”，属于治理、证券程序或其他非核心事项，不能帮助判断“高端车型与产品结构升级能否改善汽车业务单车盈利”，故判0级。</x:v>
      </x:c>
      <x:c r="Q13" s="51" t="str">
        <x:v>FIN-R01</x:v>
      </x:c>
      <x:c r="R13" s="202" t="n">
        <x:v>46260.92880688657</x:v>
      </x:c>
    </x:row>
    <x:row r="14" ht="72" customHeight="1">
      <x:c r="A14" s="50" t="str">
        <x:v>V4-R-Q002-C06</x:v>
      </x:c>
      <x:c r="B14" s="50" t="str">
        <x:v>V4-E-Q002-C06</x:v>
      </x:c>
      <x:c r="C14" s="50" t="str">
        <x:v>V4-Q002</x:v>
      </x:c>
      <x:c r="D14" s="49" t="str">
        <x:v>比亚迪</x:v>
      </x:c>
      <x:c r="E14" s="50" t="str">
        <x:v>002594</x:v>
      </x:c>
      <x:c r="F14" s="81" t="n">
        <x:v>46260.75</x:v>
      </x:c>
      <x:c r="G14" s="65" t="str">
        <x:v>高端车型与产品结构升级能否改善汽车业务单车盈利</x:v>
      </x:c>
      <x:c r="H14" s="50" t="str">
        <x:v>DOC-EVT-002594-00375</x:v>
      </x:c>
      <x:c r="I14" s="65" t="str">
        <x:v>2026年一季度报告</x:v>
      </x:c>
      <x:c r="J14" s="81" t="n">
        <x:v>46141</x:v>
      </x:c>
      <x:c r="K14" s="87" t="str">
        <x:v>http://static.cninfo.com.cn/finalpage/2026-04-29/1225233071.PDF</x:v>
      </x:c>
      <x:c r="L14" s="49" t="str">
        <x:v>第2页</x:v>
      </x:c>
      <x:c r="M14" s="65" t="str">
        <x:v>比亚迪股份有限公司 2026 年第一季度报告 2 一、主要财务数据 （一） 主要会计数据和财务指标 公司是否需追溯调整或重述以前年度会计数据 □是 否 本报告期 上年同期 本报告期比上年同期增 减（%） 营业收入（元） 150,225,314,000.00 170,360,448,000.00 -11.82% 归属于上市公司股东的净利润（元） 4,084,551,000.00 9,154,985,000.00 -55.38% 归属于上市公司股东的扣除非经常性损 益的净利润（元） 4,147,574,000.00 8,171,627,000.00 -49.24% 经营活动产生的现金流量净额（元） 2,790,305,000.00 8,580,961,000.00 -67.48% 基本每股收益（元/股） 0.4480 1.0391 -56.89% 稀释每股收益（元/股） 0.4480 1.0391 -56.89% 加权平均净资产收益率 1.65% 4.37% -2.72% 本报告期末 上年度末 本报告期末比上年度末 增减（%） 总资产（元） 902,076,965,000.00 883,729,883,000.00 2.08% 归属于上市公司股东的所有者权益 （元） 249,916,729,000.00 246,274,606,000.00 1.48% 注：于 2025 年 7 月，本公司派发股票股利2,431,252,684 股，资本公积转增股本3,646,879,026…</x:v>
      </x:c>
      <x:c r="N14" s="51" t="str">
        <x:v>1-弱相关</x:v>
      </x:c>
      <x:c r="O14" s="51" t="str">
        <x:v>否</x:v>
      </x:c>
      <x:c r="P14" s="71" t="str">
        <x:v>《2026年一季度报告》（第2页）仅披露“比亚迪股份有限公司 2026 年第一季度报告 2 一、主要财务数据 （一） 主要会计数据和财务指标 公司是否需追溯调整或重述以前年度会计数据 □是 否 …”，虽与公司经营或相邻主题有关，但不足以验证“高端车型与产品结构升级能否改善汽车业务单车盈利”的关键路径，故判1级。</x:v>
      </x:c>
      <x:c r="Q14" s="51" t="str">
        <x:v>FIN-R01</x:v>
      </x:c>
      <x:c r="R14" s="202" t="n">
        <x:v>46260.92880688657</x:v>
      </x:c>
    </x:row>
    <x:row r="15" ht="72" customHeight="1">
      <x:c r="A15" s="50" t="str">
        <x:v>V4-R-Q002-C02</x:v>
      </x:c>
      <x:c r="B15" s="50" t="str">
        <x:v>V4-E-Q002-C02</x:v>
      </x:c>
      <x:c r="C15" s="50" t="str">
        <x:v>V4-Q002</x:v>
      </x:c>
      <x:c r="D15" s="49" t="str">
        <x:v>比亚迪</x:v>
      </x:c>
      <x:c r="E15" s="50" t="str">
        <x:v>002594</x:v>
      </x:c>
      <x:c r="F15" s="81" t="n">
        <x:v>46260.75</x:v>
      </x:c>
      <x:c r="G15" s="65" t="str">
        <x:v>高端车型与产品结构升级能否改善汽车业务单车盈利</x:v>
      </x:c>
      <x:c r="H15" s="50" t="str">
        <x:v>DOC-EVT-002594-00344</x:v>
      </x:c>
      <x:c r="I15" s="65" t="str">
        <x:v>关于开展外汇衍生品套期保值交易业务的公告</x:v>
      </x:c>
      <x:c r="J15" s="81" t="n">
        <x:v>46109</x:v>
      </x:c>
      <x:c r="K15" s="87" t="str">
        <x:v>http://static.cninfo.com.cn/finalpage/2026-03-28/1225045361.PDF</x:v>
      </x:c>
      <x:c r="L15" s="49" t="str">
        <x:v>第1页</x:v>
      </x:c>
      <x:c r="M15" s="65" t="str">
        <x:v>1 证券代码：002594 证券简称：比亚迪 公告编号：2026-012 比亚迪股份有限公司 关于开展外汇衍生品套期保值交易业务的公告 本公司董事会及全体董事保证本公告内容不存在任何虚假记载、误导性陈述 或者重大遗漏。 重要内容提示： 1、交易类型：比亚迪股份有限公司（以下简称“公司”）及控股子公司拟开 展外汇衍生品交易业务的衍生品交易类型包括：远期、掉期、期权及相关组合产 品。 2、交易金额、交易保证金及权利金：公司及控股子公司拟开展的外汇衍生 品交易业务额度为等值170亿美元，额度使用期限自该事项获第八届董事会第二 十二次会议审议通过之日起12个月内（以下简称“期限内”）。上述额度在期限内 可循环滚动使用，但期限内任一时点的投资余额不超过等值170亿美元；所涉及 的外汇衍生品仅占用公司及控股子公司在合作金融机构的授信额度，不需要缴纳 保证金，在授权期限内任一时点预计占用的授信额度不超过等值8.5亿美元。 3、风险提示：本交易无本金或收益保证，在交易过程中存在市场风险、流 动性风险、履约风险等，敬请投资者注意投资风险。 一、外汇衍生品交易业务情况概述 1、交易目的：伴随公司及控股子公司海外业务快速发展，外汇风险敞口不 断扩大，加之近年来国际政治、经济形势复杂多变，汇率和利率波动加剧，公司 的外汇风险敞口管理需求也进一步增加。为积极开展外汇风险管理，公司及控股 子公司拟根据具体业务情况，开展外汇衍生品交易业务。公司及控股子公司开展 的外汇衍生品交易与日常经营需求紧密相关，是…</x:v>
      </x:c>
      <x:c r="N15" s="51" t="str">
        <x:v>0-无关</x:v>
      </x:c>
      <x:c r="O15" s="51" t="str">
        <x:v>否</x:v>
      </x:c>
      <x:c r="P15" s="71" t="str">
        <x:v>《关于开展外汇衍生品套期保值交易业务的公告》（第1页）内容为“1 证券代码：002594 证券简称：比亚迪 公告编号：2026-012 比亚迪股份有限公司 关于开展外汇衍生品套期保值交易业务的公告 本公司董事会及全体…”，属于治理、证券程序或其他非核心事项，不能帮助判断“高端车型与产品结构升级能否改善汽车业务单车盈利”，故判0级。</x:v>
      </x:c>
      <x:c r="Q15" s="51" t="str">
        <x:v>FIN-R01</x:v>
      </x:c>
      <x:c r="R15" s="202" t="n">
        <x:v>46260.92880688657</x:v>
      </x:c>
    </x:row>
    <x:row r="16" ht="72" customHeight="1">
      <x:c r="A16" s="50" t="str">
        <x:v>V4-R-Q002-C05</x:v>
      </x:c>
      <x:c r="B16" s="50" t="str">
        <x:v>V4-E-Q002-C05</x:v>
      </x:c>
      <x:c r="C16" s="50" t="str">
        <x:v>V4-Q002</x:v>
      </x:c>
      <x:c r="D16" s="49" t="str">
        <x:v>比亚迪</x:v>
      </x:c>
      <x:c r="E16" s="50" t="str">
        <x:v>002594</x:v>
      </x:c>
      <x:c r="F16" s="81" t="n">
        <x:v>46260.75</x:v>
      </x:c>
      <x:c r="G16" s="65" t="str">
        <x:v>高端车型与产品结构升级能否改善汽车业务单车盈利</x:v>
      </x:c>
      <x:c r="H16" s="50" t="str">
        <x:v>DOC-EVT-002594-00265</x:v>
      </x:c>
      <x:c r="I16" s="65" t="str">
        <x:v>关于增加外汇衍生品套期保值交易业务额度的公告</x:v>
      </x:c>
      <x:c r="J16" s="81" t="n">
        <x:v>45871</x:v>
      </x:c>
      <x:c r="K16" s="87" t="str">
        <x:v>http://static.cninfo.com.cn/finalpage/2025-08-02/1224368795.PDF</x:v>
      </x:c>
      <x:c r="L16" s="49" t="str">
        <x:v>第1页</x:v>
      </x:c>
      <x:c r="M16" s="65" t="str">
        <x:v>1 证券代码：002594 证券简称：比亚迪 公告编号：2025-050 比亚迪股份有限公司 关于增加外汇衍生品套期保值交易业务额度的公告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品交易业务额度由等值100亿美元增加至等值120亿美元， 额度使用期限自该事项 获第八届董事会第十九次会议审议通过之日起12个月内（以下简称“期限内” ） 。 上述额度在期限内可循环滚动使用，但期限内任一时点的投资余额不超过等值 120亿美元；所涉及的外汇衍生品仅占用公司及控股子公司在合作金融机构的授 信额度，不需要缴纳保证金，在授权期限内任一时点预计占用的授信额度由不超 过等值5亿美元增加至不超过等值6亿美元。 3、风险提示：本交易无本金或收益保证，在交易过程中存在市场风险、流 动性风险、履约风险等，敬请投资者注意投资风险。 一、外汇衍生品交易业务情况概述 1、交易目的：伴随公司及控股子公司海外业务快速发展，外汇风险敞口不 断扩大，加之2025年以来，国际政治、经济形势复杂多变，汇率和利率波动加剧， 公司的外汇风险敞口管理需求也进一步增加。为积极开展外汇风险管理，公司及 控股子公司拟根据具体业务情况，增加外汇衍生品交易业…</x:v>
      </x:c>
      <x:c r="N16" s="51" t="str">
        <x:v>0-无关</x:v>
      </x:c>
      <x:c r="O16" s="51" t="str">
        <x:v>否</x:v>
      </x:c>
      <x:c r="P16" s="71" t="str">
        <x:v>《关于增加外汇衍生品套期保值交易业务额度的公告》（第1页）内容为“1 证券代码：002594 证券简称：比亚迪 公告编号：2025-050 比亚迪股份有限公司 关于增加外汇衍生品套期保值交易业务额度的公告 本公司董事会及…”，属于治理、证券程序或其他非核心事项，不能帮助判断“高端车型与产品结构升级能否改善汽车业务单车盈利”，故判0级。</x:v>
      </x:c>
      <x:c r="Q16" s="51" t="str">
        <x:v>FIN-R01</x:v>
      </x:c>
      <x:c r="R16" s="202" t="n">
        <x:v>46260.92880688657</x:v>
      </x:c>
    </x:row>
    <x:row r="17" ht="72" customHeight="1">
      <x:c r="A17" s="50" t="str">
        <x:v>V4-R-Q002-C03</x:v>
      </x:c>
      <x:c r="B17" s="50" t="str">
        <x:v>V4-E-Q002-C03</x:v>
      </x:c>
      <x:c r="C17" s="50" t="str">
        <x:v>V4-Q002</x:v>
      </x:c>
      <x:c r="D17" s="49" t="str">
        <x:v>比亚迪</x:v>
      </x:c>
      <x:c r="E17" s="50" t="str">
        <x:v>002594</x:v>
      </x:c>
      <x:c r="F17" s="81" t="n">
        <x:v>46260.75</x:v>
      </x:c>
      <x:c r="G17" s="65" t="str">
        <x:v>高端车型与产品结构升级能否改善汽车业务单车盈利</x:v>
      </x:c>
      <x:c r="H17" s="50" t="str">
        <x:v>DOC-EVT-002594-00345</x:v>
      </x:c>
      <x:c r="I17" s="65" t="str">
        <x:v>关于开展外汇衍生品交易业务的可行性分析报告</x:v>
      </x:c>
      <x:c r="J17" s="81" t="n">
        <x:v>46109</x:v>
      </x:c>
      <x:c r="K17" s="87" t="str">
        <x:v>http://static.cninfo.com.cn/finalpage/2026-03-28/1225045362.PDF</x:v>
      </x:c>
      <x:c r="L17" s="49" t="str">
        <x:v>第1页</x:v>
      </x:c>
      <x:c r="M17" s="65" t="str">
        <x:v>比亚迪股份有限公司 关于开展外汇衍生品交易业务的可行性分析报告 一、 公司开展外汇衍生品交易业务的背景 比亚迪股份有限公司（以下简称“公司”）及控股子公司海外业务快速发展， 外汇风险敞口不断扩大，加之近年来国际政治、经济形势复杂多变，汇率和利率 波动加剧，公司的外汇风险敞口管理需求也进一步增加。 公司以汇率风险中性为管理原则，为控制风险，拟开展外汇衍生品交易业务。 公司开展的外汇衍生品交易与日常经营需求紧密相关，是基于公司外币资产、负 债状况以及外汇收支业务情况进行，能够提高公司积极应对风险的能力，增强公 司财务稳健性。 二、 公司开展外汇衍生品交易业务的基本情况 （一）交易金额： 公司及控股子公司拟开展的外汇衍生品交易业务额度为等值 170 亿美元，额 度使用期限自该事项获第八届董事会第二十二次会议审议通过之日起 12 个月内。 上述额度在期限内可循环滚动使用，但期限内任一时点的投资余额不超过等值 170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不需要缴纳保证金，在授权期限内任一时点预计占用的授信额度不超过等值8.5 亿美元。</x:v>
      </x:c>
      <x:c r="N17" s="51" t="str">
        <x:v>0-无关</x:v>
      </x:c>
      <x:c r="O17" s="51" t="str">
        <x:v>否</x:v>
      </x:c>
      <x:c r="P17" s="71" t="str">
        <x:v>《关于开展外汇衍生品交易业务的可行性分析报告》（第1页）内容为“比亚迪股份有限公司 关于开展外汇衍生品交易业务的可行性分析报告 一、 公司开展外汇衍生品交易业务的背景 比亚迪股份有限公司（以下简称“公司”）及控股子公司…”，属于治理、证券程序或其他非核心事项，不能帮助判断“高端车型与产品结构升级能否改善汽车业务单车盈利”，故判0级。</x:v>
      </x:c>
      <x:c r="Q17" s="51" t="str">
        <x:v>FIN-R01</x:v>
      </x:c>
      <x:c r="R17" s="202" t="n">
        <x:v>46260.92880688657</x:v>
      </x:c>
    </x:row>
    <x:row r="18" ht="72" customHeight="1">
      <x:c r="A18" s="50" t="str">
        <x:v>V4-R-Q003-C04</x:v>
      </x:c>
      <x:c r="B18" s="50" t="str">
        <x:v>V4-E-Q003-C04</x:v>
      </x:c>
      <x:c r="C18" s="50" t="str">
        <x:v>V4-Q003</x:v>
      </x:c>
      <x:c r="D18" s="49" t="str">
        <x:v>比亚迪</x:v>
      </x:c>
      <x:c r="E18" s="50" t="str">
        <x:v>002594</x:v>
      </x:c>
      <x:c r="F18" s="81" t="n">
        <x:v>46260.75</x:v>
      </x:c>
      <x:c r="G18" s="65" t="str">
        <x:v>动力电池与储能业务能否形成汽车业务之外的第二增长曲线</x:v>
      </x:c>
      <x:c r="H18" s="50" t="str">
        <x:v>DOC-EVT-002594-00040</x:v>
      </x:c>
      <x:c r="I18" s="65" t="str">
        <x:v>关于持股5%以上股东参与转融通证券出借业务期限届满的公告</x:v>
      </x:c>
      <x:c r="J18" s="81" t="n">
        <x:v>45373</x:v>
      </x:c>
      <x:c r="K18" s="87" t="str">
        <x:v>http://static.cninfo.com.cn/finalpage/2024-03-22/1219373799.PDF</x:v>
      </x:c>
      <x:c r="L18" s="49" t="str">
        <x:v>第1页</x:v>
      </x:c>
      <x:c r="M18" s="65" t="str">
        <x:v>证券代码：002594 证券简称：比亚迪 公告编号：2024-026 比亚迪股份有限公司 关于持股5%以上股东参与转融通证券出借业务期限届满的公告 持股5%以上的股东融捷投资控股集团有限公司保证向本公司提供的信息内 容真实、准确、完整，没有虚假记载、误导性陈述或重大遗漏。 本公司及董事会全体成员保证公告内容与信息披露义务人提供的信息一致。 比亚迪股份有限公司（以下简称“公司”或“本公司”）于2023年9月2日披 露了 《关于持股5%以上股东参与转融通证券出借业务期限届满暨继续参与转融通 证券出借业务的预披露公告》（公告编号：2023-089），公司持股5%以上股东融 捷投资控股集团有限公司（以下简称“融捷投资控股”）将所持有的公司A股股 份不超过8,000,000股出借给中国证券金融股份有限公司，用于参与转融通证券 出借交易，参与期间为公告披露之日起15个交易日后的6个月内，出借股份未超 过公司总股本的1%（以下简称“本次转融通证券出借业务”）。 一、股东参与转融通证券出借业务期限届满的情况 公司于近日收到融捷投资控股 《关于开展转融通证券出借业务期限届满的告 知函》，截至2024年3月21日，本次转融通证券出借业务期限已届满。 二、其他相关说明 （一）融捷投资控股前次转融通证券出借业务未违反 《公司法》 、 《证券法》 、 《转融通业务监督管理试行办法》、《深圳证券交易所股票上市规则》、《深圳 证券交易所上市公司自律监管指引第1号——主板上市公司规范运作》、《深圳 证券交…</x:v>
      </x:c>
      <x:c r="N18" s="51" t="str">
        <x:v>0-无关</x:v>
      </x:c>
      <x:c r="O18" s="51" t="str">
        <x:v>否</x:v>
      </x:c>
      <x:c r="P18" s="71" t="str">
        <x:v>《关于持股5%以上股东参与转融通证券出借业务期限届满的公告》（第1页）内容为“证券代码：002594 证券简称：比亚迪 公告编号：2024-026 比亚迪股份有限公司 关于持股5%以上股东参与转融通证券出借业务期限届满的公告 持股5…”，属于治理、证券程序或其他非核心事项，不能帮助判断“动力电池与储能业务能否形成汽车业务之外的第二增长曲线”，故判0级。</x:v>
      </x:c>
      <x:c r="Q18" s="51" t="str">
        <x:v>FIN-R01</x:v>
      </x:c>
      <x:c r="R18" s="202" t="n">
        <x:v>46260.92880688657</x:v>
      </x:c>
    </x:row>
    <x:row r="19" ht="72" customHeight="1">
      <x:c r="A19" s="50" t="str">
        <x:v>V4-R-Q003-C08</x:v>
      </x:c>
      <x:c r="B19" s="50" t="str">
        <x:v>V4-E-Q003-C08</x:v>
      </x:c>
      <x:c r="C19" s="50" t="str">
        <x:v>V4-Q003</x:v>
      </x:c>
      <x:c r="D19" s="49" t="str">
        <x:v>比亚迪</x:v>
      </x:c>
      <x:c r="E19" s="50" t="str">
        <x:v>002594</x:v>
      </x:c>
      <x:c r="F19" s="81" t="n">
        <x:v>46260.75</x:v>
      </x:c>
      <x:c r="G19" s="65" t="str">
        <x:v>动力电池与储能业务能否形成汽车业务之外的第二增长曲线</x:v>
      </x:c>
      <x:c r="H19" s="50" t="str">
        <x:v>DOC-EVT-002594-00140</x:v>
      </x:c>
      <x:c r="I19" s="65" t="str">
        <x:v>关于召开2024年第二次临时股东会会议通知</x:v>
      </x:c>
      <x:c r="J19" s="81" t="n">
        <x:v>45584</x:v>
      </x:c>
      <x:c r="K19" s="87" t="str">
        <x:v>http://static.cninfo.com.cn/finalpage/2024-10-19/1221432598.PDF</x:v>
      </x:c>
      <x:c r="L19" s="49" t="str">
        <x:v>第1页</x:v>
      </x:c>
      <x:c r="M19" s="65" t="str">
        <x:v>1 证券代码：002594 证券简称：比亚迪 公告编号：2024-075 比亚迪股份有限公司 关于召开2024年第二次临时股东会会议通知 本公司及董事会全体成员保证信息披露的内容真实、准确、完整，没有虚 假记载、误导性陈述或重大遗漏。 比亚迪股份有限公司（以下简称“公司”）于2024 年 10 月 18 日召开第八 届董事会第十次会议，决定于 2024 年 11 月 5 日（星期二）召开公司 2024 年第 二次临时股东会（以下简称“本次股东会”），现将有关事项通知如下： 一、召开会议的基本情况 1、股东会届次：2024 年第二次临时股东会。 2、股东会的召集人：公司董事会。 3、会议召开的合法、合规性：召集人公司董事会认为本次股东会会议召开 符合有关法律、法规和公司章程等规定。 4、会议召开日期、时间： 现场会议时间：2024 年 11 月 5 日（星期二）上午 10:30。 网络投票时间：2024 年 11 月 5 日，其中，通过深圳证券交易所（以下简 称“深交所”）交易系统进行网络投票的具体时间为2024 年 11 月 5 日上午 9:15 —9:25、9:30—11:30 和下午 13:00-15:00；通过互联网投票系统投票的具体时 间为 2024 年 11 月 5 日 9:15-15:00。 5、会议召开方式：现场投票与网络投票相结合的方式。 公司将通过深交所交易系统和互联网投票系统 （http://wltp.cninfo.com. cn）向公司A 股股东提供网…</x:v>
      </x:c>
      <x:c r="N19" s="51" t="str">
        <x:v>0-无关</x:v>
      </x:c>
      <x:c r="O19" s="51" t="str">
        <x:v>否</x:v>
      </x:c>
      <x:c r="P19" s="71" t="str">
        <x:v>《关于召开2024年第二次临时股东会会议通知》（第1页）内容为“1 证券代码：002594 证券简称：比亚迪 公告编号：2024-075 比亚迪股份有限公司 关于召开2024年第二次临时股东会会议通知 本公司及董事会全…”，属于治理、证券程序或其他非核心事项，不能帮助判断“动力电池与储能业务能否形成汽车业务之外的第二增长曲线”，故判0级。</x:v>
      </x:c>
      <x:c r="Q19" s="51" t="str">
        <x:v>FIN-R01</x:v>
      </x:c>
      <x:c r="R19" s="202" t="n">
        <x:v>46260.92880688657</x:v>
      </x:c>
    </x:row>
    <x:row r="20" ht="72" customHeight="1">
      <x:c r="A20" s="50" t="str">
        <x:v>V4-R-Q003-C06</x:v>
      </x:c>
      <x:c r="B20" s="50" t="str">
        <x:v>V4-E-Q003-C06</x:v>
      </x:c>
      <x:c r="C20" s="50" t="str">
        <x:v>V4-Q003</x:v>
      </x:c>
      <x:c r="D20" s="49" t="str">
        <x:v>比亚迪</x:v>
      </x:c>
      <x:c r="E20" s="50" t="str">
        <x:v>002594</x:v>
      </x:c>
      <x:c r="F20" s="81" t="n">
        <x:v>46260.75</x:v>
      </x:c>
      <x:c r="G20" s="65" t="str">
        <x:v>动力电池与储能业务能否形成汽车业务之外的第二增长曲线</x:v>
      </x:c>
      <x:c r="H20" s="50" t="str">
        <x:v>DOC-EVT-002594-00226</x:v>
      </x:c>
      <x:c r="I20" s="65" t="str">
        <x:v>2025年第一季度业绩预告</x:v>
      </x:c>
      <x:c r="J20" s="81" t="n">
        <x:v>45755.49386574074</x:v>
      </x:c>
      <x:c r="K20" s="87" t="str">
        <x:v>http://static.cninfo.com.cn/finalpage/2025-04-08/1223026997.pdf</x:v>
      </x:c>
      <x:c r="L20" s="49" t="str">
        <x:v>第1页</x:v>
      </x:c>
      <x:c r="M20" s="65" t="str">
        <x:v>1 证券代码：002594 证券简称：比亚迪 公告编号：2025-029 比亚迪股份有限公司 2025 年第一季度业绩预告 本公司及董事会全体成员保证信息披露的内容真实、准确、完整，没有虚假 记载、误导性陈述或重大遗漏。 一、本期业绩预计情况 1.业绩预告期间：2025 年 1 月 1 日至 3 月 31 日 2.预计的业绩情况： 亏损 扭亏为盈 √同向上升 同向下降 项 目 本报告期 上年同期 归属于上市公司 股东的净利润 盈利：人民币 850,000万元–1,000,000 万元 盈利：人民币 456,879.30万元 比上年同期上升：86.04%-118.88% 基本每股收益 盈利：人民币 2.91元/股至 3.42元/股 盈利：人民币 1.57 元/股 二、与会计师事务所沟通情况 本次业绩预告相关财务数据未经会计师事务所审计。 三、业绩变动原因说明 二零二五年第一季度，新能源汽车行业依旧保持强劲的增长势能，公司作为 行业领军企业，新能源汽车销量再创同期历史新高，且海外新能源汽车销量实现 跨越式增长，进一步巩固了全球新能源汽车销量第一的领先地位。此外，公司依 托持续扩大的规模效应和垂直整合的战略布局，助力集团业务盈利实现大幅增长。 四、其他相关说明 本次业绩预告数据是公司财务部门初步测算的结果，具体财务数据以公司披 露的2025年第一季度报告为准，敬请投资人注意投资风险。 特此公告。 比亚迪股份有限公司董事会 2025 年 4 月 8 日</x:v>
      </x:c>
      <x:c r="N20" s="51" t="str">
        <x:v>1-弱相关</x:v>
      </x:c>
      <x:c r="O20" s="51" t="str">
        <x:v>否</x:v>
      </x:c>
      <x:c r="P20" s="71" t="str">
        <x:v>《2025年第一季度业绩预告》（第1页）仅披露“1 证券代码：002594 证券简称：比亚迪 公告编号：2025-029 比亚迪股份有限公司 2025 年第一季度业绩预告 本公司及董事会全体成员保证信息…”，虽与公司经营或相邻主题有关，但不足以验证“动力电池与储能业务能否形成汽车业务之外的第二增长曲线”的关键路径，故判1级。</x:v>
      </x:c>
      <x:c r="Q20" s="51" t="str">
        <x:v>FIN-R01</x:v>
      </x:c>
      <x:c r="R20" s="202" t="n">
        <x:v>46260.92880688657</x:v>
      </x:c>
    </x:row>
    <x:row r="21" ht="72" customHeight="1">
      <x:c r="A21" s="50" t="str">
        <x:v>V4-R-Q003-C02</x:v>
      </x:c>
      <x:c r="B21" s="50" t="str">
        <x:v>V4-E-Q003-C02</x:v>
      </x:c>
      <x:c r="C21" s="50" t="str">
        <x:v>V4-Q003</x:v>
      </x:c>
      <x:c r="D21" s="49" t="str">
        <x:v>比亚迪</x:v>
      </x:c>
      <x:c r="E21" s="50" t="str">
        <x:v>002594</x:v>
      </x:c>
      <x:c r="F21" s="81" t="n">
        <x:v>46260.75</x:v>
      </x:c>
      <x:c r="G21" s="65" t="str">
        <x:v>动力电池与储能业务能否形成汽车业务之外的第二增长曲线</x:v>
      </x:c>
      <x:c r="H21" s="50" t="str">
        <x:v>DOC-EVT-002594-00324</x:v>
      </x:c>
      <x:c r="I21" s="65" t="str">
        <x:v>2025年第二次临时股东会决议公告</x:v>
      </x:c>
      <x:c r="J21" s="81" t="n">
        <x:v>45997</x:v>
      </x:c>
      <x:c r="K21" s="87" t="str">
        <x:v>http://static.cninfo.com.cn/finalpage/2025-12-06/1224855903.PDF</x:v>
      </x:c>
      <x:c r="L21" s="49" t="str">
        <x:v>第1页</x:v>
      </x:c>
      <x:c r="M21" s="65" t="str">
        <x:v>证券代码：002594 证券简称：比亚迪 公告编号：2025-064 比亚迪股份有限公司 2025 年第二次临时股东会决议公告 本公司及董事会全体成员保证信息披露的内容真实、准确、完整，没有虚假记载、误导 性陈述或重大遗漏。 特别提示： 1、本次股东会未出现否决提案的情形。 2、本次股东会不涉及变更以往股东会已通过的决议。 一、会议召开基本情况 1、会议召开时间：2025 年 12 月 5 日（星期五）上午 10:00。 2、会议召开地点：广东省深圳市坪山区比亚迪路 3009 号公司会议室。 3、会议召开方式：现场表决和网络投票相结合的方式。 4、会议召集人：比亚迪股份有限公司（以下简称“公司”、“本公司”）董事会。 5、会议主持人：王传福先生。 6、本公司于 2025 年 11 月 13 日在《证券时报》、《中国证券报》、《上海证券报》、 《证券日报》和巨潮资讯网（www.cninfo.com.cn）刊发了股东会通知，也在香港联合交易所 有限公司网站（www.hkex.com.hk）刊发了临时股东会通告，并按规定派发了通函。 7、本次会议的召集和召开程序符合《中华人民共和国公司法》、《上市公司股东会规则》 等有关法律、法规、部门规章、规范性文件及《公司章程》的规定。 二、会议出席情况 1、股东出席情况如下： 分 类 现场出席会议情况 网络投票情况 总体出席情况 人 数 代表有表决 权股份数量 （股） 占公司有 表决权股 份总数比 人数 代表有表决 权股份数量 （股） 占公…</x:v>
      </x:c>
      <x:c r="N21" s="51" t="str">
        <x:v>0-无关</x:v>
      </x:c>
      <x:c r="O21" s="51" t="str">
        <x:v>否</x:v>
      </x:c>
      <x:c r="P21" s="71" t="str">
        <x:v>《2025年第二次临时股东会决议公告》（第1页）内容为“证券代码：002594 证券简称：比亚迪 公告编号：2025-064 比亚迪股份有限公司 2025 年第二次临时股东会决议公告 本公司及董事会全体成员保证…”，属于治理、证券程序或其他非核心事项，不能帮助判断“动力电池与储能业务能否形成汽车业务之外的第二增长曲线”，故判0级。</x:v>
      </x:c>
      <x:c r="Q21" s="51" t="str">
        <x:v>FIN-R01</x:v>
      </x:c>
      <x:c r="R21" s="202" t="n">
        <x:v>46260.92880688657</x:v>
      </x:c>
    </x:row>
    <x:row r="22" ht="72" customHeight="1">
      <x:c r="A22" s="50" t="str">
        <x:v>V4-R-Q003-C07</x:v>
      </x:c>
      <x:c r="B22" s="50" t="str">
        <x:v>V4-E-Q003-C07</x:v>
      </x:c>
      <x:c r="C22" s="50" t="str">
        <x:v>V4-Q003</x:v>
      </x:c>
      <x:c r="D22" s="49" t="str">
        <x:v>比亚迪</x:v>
      </x:c>
      <x:c r="E22" s="50" t="str">
        <x:v>002594</x:v>
      </x:c>
      <x:c r="F22" s="81" t="n">
        <x:v>46260.75</x:v>
      </x:c>
      <x:c r="G22" s="65" t="str">
        <x:v>动力电池与储能业务能否形成汽车业务之外的第二增长曲线</x:v>
      </x:c>
      <x:c r="H22" s="50" t="str">
        <x:v>DOC-EVT-002594-00068</x:v>
      </x:c>
      <x:c r="I22" s="65" t="str">
        <x:v>关于召开2023年年度报告网上说明会并征集问题的公告</x:v>
      </x:c>
      <x:c r="J22" s="81" t="n">
        <x:v>45390</x:v>
      </x:c>
      <x:c r="K22" s="87" t="str">
        <x:v>http://static.cninfo.com.cn/finalpage/2024-04-08/1219528536.PDF</x:v>
      </x:c>
      <x:c r="L22" s="49" t="str">
        <x:v>第1页</x:v>
      </x:c>
      <x:c r="M22" s="65" t="str">
        <x:v>证券代码：002594 证券简称：比亚迪 公告编号：2024-042 比亚迪股份有限公司 关于召开2023年年度报告网上说明会并征集问题的公告 本公司及董事会全体成员保证信息披露内容的真实、准确和完整，没有虚假 记载、误导性陈述或重大遗漏。 比亚迪股份有限公司（以下简称“公司”）已于2024年3月27日在巨潮资讯网 (www.cninfo.com.cn)披露公司《2023年年度报告》全文及其摘要，供全体股东和 投资者查询参阅。 为使广大投资者进一步详细了解公司年报信息，公司将于2024年4月10日（星 期三）下午15:00-17:00通过“路演中”平台举行2023年年度报告网上说明会。 本次说明会将采用网络远程方式举行，投资者可登陆“路演中-路演中心”（参 会链接：https://www.roadshowchina.cn/Meet/detail.html?mid=22294）参与 本次说明会。 同时，为更高质量的与投资者沟通交流、提高投资者的参会体验，公司现就 2023年度业绩和经营情况提前向投资者征集相关问题。投资者可扫描下方二维码， 进入问题征集页面。公司将于2023年年度报告网上说明会上对投资者普遍关注的 问题进行回答。</x:v>
      </x:c>
      <x:c r="N22" s="51" t="str">
        <x:v>0-无关</x:v>
      </x:c>
      <x:c r="O22" s="51" t="str">
        <x:v>否</x:v>
      </x:c>
      <x:c r="P22" s="71" t="str">
        <x:v>《关于召开2023年年度报告网上说明会并征集问题的公告》（第1页）内容为“证券代码：002594 证券简称：比亚迪 公告编号：2024-042 比亚迪股份有限公司 关于召开2023年年度报告网上说明会并征集问题的公告 本公司及董…”，属于治理、证券程序或其他非核心事项，不能帮助判断“动力电池与储能业务能否形成汽车业务之外的第二增长曲线”，故判0级。</x:v>
      </x:c>
      <x:c r="Q22" s="51" t="str">
        <x:v>FIN-R01</x:v>
      </x:c>
      <x:c r="R22" s="202" t="n">
        <x:v>46260.92880688657</x:v>
      </x:c>
    </x:row>
    <x:row r="23" ht="72" customHeight="1">
      <x:c r="A23" s="50" t="str">
        <x:v>V4-R-Q003-C05</x:v>
      </x:c>
      <x:c r="B23" s="50" t="str">
        <x:v>V4-E-Q003-C05</x:v>
      </x:c>
      <x:c r="C23" s="50" t="str">
        <x:v>V4-Q003</x:v>
      </x:c>
      <x:c r="D23" s="49" t="str">
        <x:v>比亚迪</x:v>
      </x:c>
      <x:c r="E23" s="50" t="str">
        <x:v>002594</x:v>
      </x:c>
      <x:c r="F23" s="81" t="n">
        <x:v>46260.75</x:v>
      </x:c>
      <x:c r="G23" s="65" t="str">
        <x:v>动力电池与储能业务能否形成汽车业务之外的第二增长曲线</x:v>
      </x:c>
      <x:c r="H23" s="50" t="str">
        <x:v>DOC-EVT-002594-00344</x:v>
      </x:c>
      <x:c r="I23" s="65" t="str">
        <x:v>关于开展外汇衍生品套期保值交易业务的公告</x:v>
      </x:c>
      <x:c r="J23" s="81" t="n">
        <x:v>46109</x:v>
      </x:c>
      <x:c r="K23" s="87" t="str">
        <x:v>http://static.cninfo.com.cn/finalpage/2026-03-28/1225045361.PDF</x:v>
      </x:c>
      <x:c r="L23" s="49" t="str">
        <x:v>第1页</x:v>
      </x:c>
      <x:c r="M23" s="65" t="str">
        <x:v>1 证券代码：002594 证券简称：比亚迪 公告编号：2026-012 比亚迪股份有限公司 关于开展外汇衍生品套期保值交易业务的公告 本公司董事会及全体董事保证本公告内容不存在任何虚假记载、误导性陈述 或者重大遗漏。 重要内容提示： 1、交易类型：比亚迪股份有限公司（以下简称“公司”）及控股子公司拟开 展外汇衍生品交易业务的衍生品交易类型包括：远期、掉期、期权及相关组合产 品。 2、交易金额、交易保证金及权利金：公司及控股子公司拟开展的外汇衍生 品交易业务额度为等值170亿美元，额度使用期限自该事项获第八届董事会第二 十二次会议审议通过之日起12个月内（以下简称“期限内”）。上述额度在期限内 可循环滚动使用，但期限内任一时点的投资余额不超过等值170亿美元；所涉及 的外汇衍生品仅占用公司及控股子公司在合作金融机构的授信额度，不需要缴纳 保证金，在授权期限内任一时点预计占用的授信额度不超过等值8.5亿美元。 3、风险提示：本交易无本金或收益保证，在交易过程中存在市场风险、流 动性风险、履约风险等，敬请投资者注意投资风险。 一、外汇衍生品交易业务情况概述 1、交易目的：伴随公司及控股子公司海外业务快速发展，外汇风险敞口不 断扩大，加之近年来国际政治、经济形势复杂多变，汇率和利率波动加剧，公司 的外汇风险敞口管理需求也进一步增加。为积极开展外汇风险管理，公司及控股 子公司拟根据具体业务情况，开展外汇衍生品交易业务。公司及控股子公司开展 的外汇衍生品交易与日常经营需求紧密相关，是…</x:v>
      </x:c>
      <x:c r="N23" s="51" t="str">
        <x:v>0-无关</x:v>
      </x:c>
      <x:c r="O23" s="51" t="str">
        <x:v>否</x:v>
      </x:c>
      <x:c r="P23" s="71" t="str">
        <x:v>《关于开展外汇衍生品套期保值交易业务的公告》（第1页）内容为“1 证券代码：002594 证券简称：比亚迪 公告编号：2026-012 比亚迪股份有限公司 关于开展外汇衍生品套期保值交易业务的公告 本公司董事会及全体…”，属于治理、证券程序或其他非核心事项，不能帮助判断“动力电池与储能业务能否形成汽车业务之外的第二增长曲线”，故判0级。</x:v>
      </x:c>
      <x:c r="Q23" s="51" t="str">
        <x:v>FIN-R01</x:v>
      </x:c>
      <x:c r="R23" s="202" t="n">
        <x:v>46260.92880688657</x:v>
      </x:c>
    </x:row>
    <x:row r="24" ht="72" customHeight="1">
      <x:c r="A24" s="50" t="str">
        <x:v>V4-R-Q003-C01</x:v>
      </x:c>
      <x:c r="B24" s="50" t="str">
        <x:v>V4-E-Q003-C01</x:v>
      </x:c>
      <x:c r="C24" s="50" t="str">
        <x:v>V4-Q003</x:v>
      </x:c>
      <x:c r="D24" s="49" t="str">
        <x:v>比亚迪</x:v>
      </x:c>
      <x:c r="E24" s="50" t="str">
        <x:v>002594</x:v>
      </x:c>
      <x:c r="F24" s="81" t="n">
        <x:v>46260.75</x:v>
      </x:c>
      <x:c r="G24" s="65" t="str">
        <x:v>动力电池与储能业务能否形成汽车业务之外的第二增长曲线</x:v>
      </x:c>
      <x:c r="H24" s="50" t="str">
        <x:v>DOC-EVT-002594-00097</x:v>
      </x:c>
      <x:c r="I24" s="65" t="str">
        <x:v>关于回购股份用于注销并减少注册资本暨通知债权人的第二次公告</x:v>
      </x:c>
      <x:c r="J24" s="81" t="n">
        <x:v>45427</x:v>
      </x:c>
      <x:c r="K24" s="87" t="str">
        <x:v>http://static.cninfo.com.cn/finalpage/2024-05-15/1220051975.PDF</x:v>
      </x:c>
      <x:c r="L24" s="49" t="str">
        <x:v>第1页</x:v>
      </x:c>
      <x:c r="M24" s="65" t="str">
        <x:v>1 证券代码：002594 证券简称：比亚迪 公告编号：2024-057 比亚迪股份有限公司 关于回购股份用于注销并减少注册资本暨通知债权人的第二次公告 本公司及董事会全体成员保证信息披露的内容真实、准确、完整，没有虚假 记载、误导性陈述或重大遗漏。 一、通知债权人原因 比亚迪股份有限公司（以下简称“本公司”或“公司”）于2024年4月19日 召开2024年第一次临时股东大会、2024年第一次A股类别股东大会及2024年第一 次H股类别股东大会， 审议通过了 《关于审议2024年回购公司股份方案的议案》 ， 同意公司使用自有资金以集中竞价交易或中国证监会认可的其他方式回购公司 部分股份， 用于注销并减少公司注册资本， 回购股份的资金总额为人民币4亿元， 因股票价格导致回购资金总额非亿元整数时，以四舍五入法算取亿元的整数，具 体回购资金总额以回购期限届满时或者回购股份实施完毕时实际回购股份使用 的成交资金总额为准。 本次回购股份的实施期限为自公司股东大会审议通过本次 回购股份方案之日起12个月内。具体内容详见公司在2024年4月20日披露于《证 券时报》、 《中国证券报》、《上海证券报》、《证券日报》及巨潮资讯网 （www.cninfo.com.cn）的《回购报告书》（公告编号：2024-048）。 经中国证券登记结算有限责任公司深圳分公司确认，公司使用自有资金通过 回购专用证券账户以集中竞价交易方式累计回购 的1,877,000股A股股份已于 2024年5月10日注销完成。…</x:v>
      </x:c>
      <x:c r="N24" s="51" t="str">
        <x:v>0-无关</x:v>
      </x:c>
      <x:c r="O24" s="51" t="str">
        <x:v>否</x:v>
      </x:c>
      <x:c r="P24" s="71" t="str">
        <x:v>《关于回购股份用于注销并减少注册资本暨通知债权人的第二次公告》（第1页）内容为“1 证券代码：002594 证券简称：比亚迪 公告编号：2024-057 比亚迪股份有限公司 关于回购股份用于注销并减少注册资本暨通知债权人的第二次公告 …”，属于治理、证券程序或其他非核心事项，不能帮助判断“动力电池与储能业务能否形成汽车业务之外的第二增长曲线”，故判0级。</x:v>
      </x:c>
      <x:c r="Q24" s="51" t="str">
        <x:v>FIN-R01</x:v>
      </x:c>
      <x:c r="R24" s="202" t="n">
        <x:v>46260.92880688657</x:v>
      </x:c>
    </x:row>
    <x:row r="25" ht="72" customHeight="1">
      <x:c r="A25" s="50" t="str">
        <x:v>V4-R-Q003-C03</x:v>
      </x:c>
      <x:c r="B25" s="50" t="str">
        <x:v>V4-E-Q003-C03</x:v>
      </x:c>
      <x:c r="C25" s="50" t="str">
        <x:v>V4-Q003</x:v>
      </x:c>
      <x:c r="D25" s="49" t="str">
        <x:v>比亚迪</x:v>
      </x:c>
      <x:c r="E25" s="50" t="str">
        <x:v>002594</x:v>
      </x:c>
      <x:c r="F25" s="81" t="n">
        <x:v>46260.75</x:v>
      </x:c>
      <x:c r="G25" s="65" t="str">
        <x:v>动力电池与储能业务能否形成汽车业务之外的第二增长曲线</x:v>
      </x:c>
      <x:c r="H25" s="50" t="str">
        <x:v>DOC-EVT-002594-00296</x:v>
      </x:c>
      <x:c r="I25" s="65" t="str">
        <x:v>外汇衍生品交易业务管理制度（2025年10月）</x:v>
      </x:c>
      <x:c r="J25" s="81" t="n">
        <x:v>45961</x:v>
      </x:c>
      <x:c r="K25" s="87" t="str">
        <x:v>http://static.cninfo.com.cn/finalpage/2025-10-31/1224776147.PDF</x:v>
      </x:c>
      <x:c r="L25" s="49" t="str">
        <x:v>第1页</x:v>
      </x:c>
      <x:c r="M25" s="65" t="str">
        <x:v>比亚迪股份有限公司 外汇衍生品交易业务管理制度 第一章 总 则 第一条 为规范比亚迪股份有限公司（以下简称“公司”）及其下属控股子 公司外汇衍生品交易业务，加强对外汇衍生品交易业务的管理，防范投资风险， 维护公司资产安全，依据《中华人民共和国公司法》、《中华人民共和国证券法》、 《中华人民共和国期货和衍生品法》、《深圳证券交易所股票上市规则》、《上 市公司信息披露管理办法》、《深圳证券交易所上市公司自律监管指引第1号— —主板上市公司规范运作》、《深圳证券交易所上市公司自律监管指引第7号— —交易与关联交易》等有关法律、法规、规范性文件的有关规定，结合《公司章 程》及公司实际业务情况，特制定本制度。 第二条 本制度适用于公司及其下属控股子公司的外汇衍生品交易业务。下 属控股子公司进行外汇衍生品交易业务视同公司外汇衍生品交易业务，适用本制 度，但未经公司同意，公司下属子公司不得操作该业务。公司应当参照本制度相 关规定，履行相关审批和信息披露义务。 第三条 本制度所称外汇衍生品交易业务是一种金融合约的交易活动，外汇 衍生品是指从原生资产派生出来的外汇交易工具，其价值取决于一种或多种基础 资产或指数。业务品种具体包括：远期业务、掉期（互换）业务、期权业务等及 以上业务的组合。 第二章 操作原则 第四条 公司开展外汇衍生品交易业务，应符合国家相关法律法规、《公司 章程》和本制度的相关规定。公司开展外汇衍生品交易业务应当以套期保值为目 的。公司从事套期保值业务，是指为管理因其资产、负…</x:v>
      </x:c>
      <x:c r="N25" s="51" t="str">
        <x:v>0-无关</x:v>
      </x:c>
      <x:c r="O25" s="51" t="str">
        <x:v>否</x:v>
      </x:c>
      <x:c r="P25" s="71" t="str">
        <x:v>《外汇衍生品交易业务管理制度（2025年10月）》（第1页）内容为“比亚迪股份有限公司 外汇衍生品交易业务管理制度 第一章 总 则 第一条 为规范比亚迪股份有限公司（以下简称“公司”）及其下属控股子 公司外汇衍生品交易业务…”，属于治理、证券程序或其他非核心事项，不能帮助判断“动力电池与储能业务能否形成汽车业务之外的第二增长曲线”，故判0级。</x:v>
      </x:c>
      <x:c r="Q25" s="51" t="str">
        <x:v>FIN-R01</x:v>
      </x:c>
      <x:c r="R25" s="202" t="n">
        <x:v>46260.92880688657</x:v>
      </x:c>
    </x:row>
    <x:row r="26" ht="72" customHeight="1">
      <x:c r="A26" s="50" t="str">
        <x:v>V4-R-Q004-C02</x:v>
      </x:c>
      <x:c r="B26" s="50" t="str">
        <x:v>V4-E-Q004-C02</x:v>
      </x:c>
      <x:c r="C26" s="50" t="str">
        <x:v>V4-Q004</x:v>
      </x:c>
      <x:c r="D26" s="49" t="str">
        <x:v>比亚迪</x:v>
      </x:c>
      <x:c r="E26" s="50" t="str">
        <x:v>002594</x:v>
      </x:c>
      <x:c r="F26" s="81" t="n">
        <x:v>46260.75</x:v>
      </x:c>
      <x:c r="G26" s="65" t="str">
        <x:v>销量扩张过程中库存与经营现金流能否保持健康</x:v>
      </x:c>
      <x:c r="H26" s="50" t="str">
        <x:v>DOC-EVT-002594-00336</x:v>
      </x:c>
      <x:c r="I26" s="65" t="str">
        <x:v>2025年度非经营性资金占用及其他关联资金往来情况的专项说明</x:v>
      </x:c>
      <x:c r="J26" s="81" t="n">
        <x:v>46109</x:v>
      </x:c>
      <x:c r="K26" s="87" t="str">
        <x:v>http://static.cninfo.com.cn/finalpage/2026-03-28/1225045356.PDF</x:v>
      </x:c>
      <x:c r="L26" s="49" t="str">
        <x:v>第2页</x:v>
      </x:c>
      <x:c r="M26" s="65" t="str">
        <x:v>2 非经营性资金占用及其他关联资金往来情况的专项说明 安永华明（2026）专字第70013328_H01号 比亚迪股份有限公司 比亚迪股份有限公司董事会： 我们审计了比亚迪股份有限公司的2025年度财务报表，包括2025年12月31日的合 并及公司资产负债表，2025年度的合并及公司利润表、股东权益变动表和现金流量表 以及相关财务报表附注，并于2026年3月27日出具了编号为安永华明（2026）审字第 70013328_H01号的无保留意见审计报告。 按照《上市公司监管指引第8号——上市公司资金往来、对外担保的监管要求》的 要求，比亚迪股份有限公司编制了后附的2025年度非经营性资金占用及其他关联资金 往来情况汇总表（以下简称“汇总表”）。 如实编制和对外披露汇总表，并确保其真实性、合法性、完整性是比亚迪股份有 限公司的责任。我们对汇总表所载资料与我们审计比亚迪股份有限公司 2025年度财务 报表时所复核的会计资料和经审计的财务报表的相关内容进行了核对，在所有重大方 面没有发现不一致之处。除了对比亚迪股份有限公司 2025年度财务报表出具审计报告 而执行的审计程序外，我们并未对汇总表所载资料执行额外的审计程序。 为了更好地理解比亚迪股份有限公司2025年度非经营性资金占用及其他关联资金 往来情况，汇总表应当与经审计的财务报表一并阅读。 本专项说明仅供比亚迪股份有限公司为2025年度报告披露使用，不适用于其他用 途。 A member firm of Ernst &amp; Youn…</x:v>
      </x:c>
      <x:c r="N26" s="51" t="str">
        <x:v>1-弱相关</x:v>
      </x:c>
      <x:c r="O26" s="51" t="str">
        <x:v>否</x:v>
      </x:c>
      <x:c r="P26" s="71" t="str">
        <x:v>《2025年度非经营性资金占用及其他关联资金往来情况的专项说明》（第2页）仅披露“2 非经营性资金占用及其他关联资金往来情况的专项说明 安永华明（2026）专字第70013328_H01号 比亚迪股份有限公司 比亚迪股份有限公司董事会：…”，虽与公司经营或相邻主题有关，但不足以验证“销量扩张过程中库存与经营现金流能否保持健康”的关键路径，故判1级。</x:v>
      </x:c>
      <x:c r="Q26" s="51" t="str">
        <x:v>FIN-R01</x:v>
      </x:c>
      <x:c r="R26" s="202" t="n">
        <x:v>46260.92880688657</x:v>
      </x:c>
    </x:row>
    <x:row r="27" ht="72" customHeight="1">
      <x:c r="A27" s="50" t="str">
        <x:v>V4-R-Q004-C08</x:v>
      </x:c>
      <x:c r="B27" s="50" t="str">
        <x:v>V4-E-Q004-C08</x:v>
      </x:c>
      <x:c r="C27" s="50" t="str">
        <x:v>V4-Q004</x:v>
      </x:c>
      <x:c r="D27" s="49" t="str">
        <x:v>比亚迪</x:v>
      </x:c>
      <x:c r="E27" s="50" t="str">
        <x:v>002594</x:v>
      </x:c>
      <x:c r="F27" s="81" t="n">
        <x:v>46260.75</x:v>
      </x:c>
      <x:c r="G27" s="65" t="str">
        <x:v>销量扩张过程中库存与经营现金流能否保持健康</x:v>
      </x:c>
      <x:c r="H27" s="50" t="str">
        <x:v>DOC-EVT-002594-00370</x:v>
      </x:c>
      <x:c r="I27" s="65" t="str">
        <x:v>H股公告（股东周年大会通告）</x:v>
      </x:c>
      <x:c r="J27" s="81" t="n">
        <x:v>46135</x:v>
      </x:c>
      <x:c r="K27" s="87" t="str">
        <x:v>http://static.cninfo.com.cn/finalpage/2026-04-23/1225147070.PDF</x:v>
      </x:c>
      <x:c r="L27" s="49" t="str">
        <x:v>第7页</x:v>
      </x:c>
      <x:c r="M27" s="65" t="str">
        <x:v>– 7 – ൗj (A) ಂ ɚཧɚʬϋʬ˜ ͉ʕӊ ɛ͏࿆1.00ٙH΅  Hٰ  ཀ˒˓ᚃdಂගʔึ೮া ٙHٰࢩ ึɪҳୃfHϞཀ˒˖΁ ٙHཀ˒೮া ؇183 ໮Υձʕː17ᅽ1712-1716 ໮⧕ ፬ ଣ೮া˓ᚃf (B) ΢H඄ϋɽ f (C) H͉ʮ Җό  ࣣϞᗫ͉ ٙ ڌ ʮ ΂ОՉ˼ɛɻᖦ໇f (D) ൗ(C)ٰ׵ ග24ಂɓ ɪʹ ග  ৔༺͉ʮ̡HΧ ؇183 ໮Υձʕː17Mf (E) ̙˸ཥ༑˙ό ཥ༑j(852)2862 8555ٙHಥ ீཀ www.computershare.com/hk/zh/online_feedback ༔f (F) ٰ Չ΂Оᚃึ dϞᗫ બᛆ˖΁  f (G) ʹஷʿ И੖൬͜Іଣf ੂБ໨ԫѐΣජ΋͛ ɾɻf</x:v>
      </x:c>
      <x:c r="N27" s="51" t="str">
        <x:v>0-无关</x:v>
      </x:c>
      <x:c r="O27" s="51" t="str">
        <x:v>否</x:v>
      </x:c>
      <x:c r="P27" s="71" t="str">
        <x:v>《H股公告（股东周年大会通告）》（第7页）内容为“– 7 – ൗj (A) ಂ ɚཧɚʬϋʬ˜ ͉ʕӊ ɛ͏࿆1.00ٙH΅  Hٰ  ཀ˒˓ᚃdಂගʔึ೮া ٙHٰࢩ ึɪҳୃfHϞཀ˒˖΁ ٙ…”，属于治理、证券程序或其他非核心事项，不能帮助判断“销量扩张过程中库存与经营现金流能否保持健康”，故判0级。</x:v>
      </x:c>
      <x:c r="Q27" s="51" t="str">
        <x:v>FIN-R01</x:v>
      </x:c>
      <x:c r="R27" s="202" t="n">
        <x:v>46260.92880688657</x:v>
      </x:c>
    </x:row>
    <x:row r="28" ht="72" customHeight="1">
      <x:c r="A28" s="50" t="str">
        <x:v>V4-R-Q004-C07</x:v>
      </x:c>
      <x:c r="B28" s="50" t="str">
        <x:v>V4-E-Q004-C07</x:v>
      </x:c>
      <x:c r="C28" s="50" t="str">
        <x:v>V4-Q004</x:v>
      </x:c>
      <x:c r="D28" s="49" t="str">
        <x:v>比亚迪</x:v>
      </x:c>
      <x:c r="E28" s="50" t="str">
        <x:v>002594</x:v>
      </x:c>
      <x:c r="F28" s="81" t="n">
        <x:v>46260.75</x:v>
      </x:c>
      <x:c r="G28" s="65" t="str">
        <x:v>销量扩张过程中库存与经营现金流能否保持健康</x:v>
      </x:c>
      <x:c r="H28" s="50" t="str">
        <x:v>DOC-EVT-002594-00273</x:v>
      </x:c>
      <x:c r="I28" s="65" t="str">
        <x:v>2025年半年度报告</x:v>
      </x:c>
      <x:c r="J28" s="81" t="n">
        <x:v>45899</x:v>
      </x:c>
      <x:c r="K28" s="87" t="str">
        <x:v>http://static.cninfo.com.cn/finalpage/2025-08-30/1224626653.PDF</x:v>
      </x:c>
      <x:c r="L28" s="49" t="str">
        <x:v>第7页</x:v>
      </x:c>
      <x:c r="M28" s="65" t="str">
        <x:v>比亚迪股份有限公司 2025年半年度报告全文 7 四、主要会计数据和财务指标 公司是否需追溯调整或重述以前年度会计数据 □是 否 本报告期 上年同期 本报告期比上年同期 增减 营业收入（元） 371,280,948,000.00 301,126,713,000.00 23.30% 归属于上市公司股东的净利润（元） 15,510,533,000.00 13,631,257,000.00 13.79% 归属于上市公司股东的扣除非经常性损益的 净利润（元） 13,599,741,000.00 12,315,414,000.00 10.43% 经营活动产生的现金流量净额（元） 31,833,471,000.00 14,178,310,000.00 124.52% 基本每股收益（元/股） 1.71 1.56 9.62% 稀释每股收益（元/股） 1.71 1.56 9.62% 加权平均净资产收益率 7.43% 9.67% -2.24% 本报告期末 上年度末 本报告期末比上年度 末增减 总资产（元） 846,342,643,000.00 783,355,855,000.00 8.04% 归属于上市公司股东的净资产（元） 232,166,363,000.00 185,251,104,000.00 25.33% 注：于2025年7月，本公司派发红股2,431,252,684股，资本公积转增股本3,646,879,026股，派发后的发行在外 普通股股数为9,117,197,565股。上述变化…</x:v>
      </x:c>
      <x:c r="N28" s="51" t="str">
        <x:v>3-直接相关</x:v>
      </x:c>
      <x:c r="O28" s="51" t="str">
        <x:v>是</x:v>
      </x:c>
      <x:c r="P28" s="71" t="str">
        <x:v>《2025年半年度报告》（第7页）直接披露“比亚迪股份有限公司 2025年半年度报告全文 7 四、主要会计数据和财务指标 公司是否需追溯调整或重述以前年度会计数据 □是 否 本报告期 上年同期 本…”，与“销量扩张过程中库存与经营现金流能否保持健康”的核心变量或结果同口径，可直接用于判断，故判3级。</x:v>
      </x:c>
      <x:c r="Q28" s="51" t="str">
        <x:v>FIN-R01</x:v>
      </x:c>
      <x:c r="R28" s="202" t="n">
        <x:v>46260.92880688657</x:v>
      </x:c>
    </x:row>
    <x:row r="29" ht="72" customHeight="1">
      <x:c r="A29" s="50" t="str">
        <x:v>V4-R-Q004-C06</x:v>
      </x:c>
      <x:c r="B29" s="50" t="str">
        <x:v>V4-E-Q004-C06</x:v>
      </x:c>
      <x:c r="C29" s="50" t="str">
        <x:v>V4-Q004</x:v>
      </x:c>
      <x:c r="D29" s="49" t="str">
        <x:v>比亚迪</x:v>
      </x:c>
      <x:c r="E29" s="50" t="str">
        <x:v>002594</x:v>
      </x:c>
      <x:c r="F29" s="81" t="n">
        <x:v>46260.75</x:v>
      </x:c>
      <x:c r="G29" s="65" t="str">
        <x:v>销量扩张过程中库存与经营现金流能否保持健康</x:v>
      </x:c>
      <x:c r="H29" s="50" t="str">
        <x:v>DOC-EVT-002594-00286</x:v>
      </x:c>
      <x:c r="I29" s="65" t="str">
        <x:v>2025年三季度报告</x:v>
      </x:c>
      <x:c r="J29" s="81" t="n">
        <x:v>45961</x:v>
      </x:c>
      <x:c r="K29" s="87" t="str">
        <x:v>http://static.cninfo.com.cn/finalpage/2025-10-31/1224776127.PDF</x:v>
      </x:c>
      <x:c r="L29" s="49" t="str">
        <x:v>第2页</x:v>
      </x:c>
      <x:c r="M29" s="65" t="str">
        <x:v>比亚迪股份有限公司 2025年第三季度报告 2 一、主要财务数据 （一） 主要会计数据和财务指标 公司是否需追溯调整或重述以前年度会计数据 □是 否 本报告期 本报告期比上年同期 增减 年初至报告期末 年初至报告期末比 上年同期增减 营业收入（元） 194,984,598,000.00 -3.05% 566,265,546,000.00 12.75% 归属于上市公司股东的净 利润（元） 7,822,640,000.00 -32.60% 23,333,173,000.00 -7.55% 归属于上市公司股东的扣 除非经常性损益的净利润 （元） 6,890,751,000.00 -36.65% 20,490,492,000.00 -11.65% 经营活动产生的现金流量 净额（元） — — 40,845,498,000.00 -27.42% 基本每股收益（元/股） 0.85 -36.09% 2.56 -11.42% 稀释每股收益（元/股） 0.85 -36.09% 2.56 -11.42% 加权平均净资产收益率 3.40% -4.08% 10.83% -6.32% 本报告期末 上年度末 本报告期末比上年度末增减 总资产（元） 901,925,091,000.00 783,355,855,000.00 15.14% 归属于上市公司股东的所 有者权益（元） 245,515,455,000.00 185,251,104,000.00 32.53% 注：于 2025年 7月，本公司派发红…</x:v>
      </x:c>
      <x:c r="N29" s="51" t="str">
        <x:v>3-直接相关</x:v>
      </x:c>
      <x:c r="O29" s="51" t="str">
        <x:v>是</x:v>
      </x:c>
      <x:c r="P29" s="71" t="str">
        <x:v>《2025年三季度报告》（第2页）直接披露“比亚迪股份有限公司 2025年第三季度报告 2 一、主要财务数据 （一） 主要会计数据和财务指标 公司是否需追溯调整或重述以前年度会计数据 □是 否 本…”，与“销量扩张过程中库存与经营现金流能否保持健康”的核心变量或结果同口径，可直接用于判断，故判3级。</x:v>
      </x:c>
      <x:c r="Q29" s="51" t="str">
        <x:v>FIN-R01</x:v>
      </x:c>
      <x:c r="R29" s="202" t="n">
        <x:v>46260.92880688657</x:v>
      </x:c>
    </x:row>
    <x:row r="30" ht="72" customHeight="1">
      <x:c r="A30" s="50" t="str">
        <x:v>V4-R-Q004-C04</x:v>
      </x:c>
      <x:c r="B30" s="50" t="str">
        <x:v>V4-E-Q004-C04</x:v>
      </x:c>
      <x:c r="C30" s="50" t="str">
        <x:v>V4-Q004</x:v>
      </x:c>
      <x:c r="D30" s="49" t="str">
        <x:v>比亚迪</x:v>
      </x:c>
      <x:c r="E30" s="50" t="str">
        <x:v>002594</x:v>
      </x:c>
      <x:c r="F30" s="81" t="n">
        <x:v>46260.75</x:v>
      </x:c>
      <x:c r="G30" s="65" t="str">
        <x:v>销量扩张过程中库存与经营现金流能否保持健康</x:v>
      </x:c>
      <x:c r="H30" s="50" t="str">
        <x:v>DOC-EVT-002594-00121</x:v>
      </x:c>
      <x:c r="I30" s="65" t="str">
        <x:v>半年度非经营性资金占用及其他关联资金往来情况汇总表</x:v>
      </x:c>
      <x:c r="J30" s="81" t="n">
        <x:v>45533</x:v>
      </x:c>
      <x:c r="K30" s="87" t="str">
        <x:v>http://static.cninfo.com.cn/finalpage/2024-08-29/1221030549.PDF</x:v>
      </x:c>
      <x:c r="L30" s="49" t="str">
        <x:v>第2页</x:v>
      </x:c>
      <x:c r="M30" s="65" t="str">
        <x:v>单位：万元 往来性质 （经营性往来、非经 营性往来） 控股股东、实际控 制人及其附属企业 不适用 BYD (H.K.) CO., LIMITED 本公司之子公司 其他应收款 1,341,213 90 1,341,303 往来款 非经营性 往来 比亚迪精密制造有限公司 本公司之子公司 其他应收款 502,345 851,902 1,354,247 往来款 非经营性往来 比亚迪汽车有限公司 本公司之子公司 其他应收款 545 533 12 往来款 非经营性往来 深圳比亚迪电子科技有限公司 本公司之子公司 其他应收款 253 43 296 往来款 非经营性往来 深圳比亚迪电子有限公司 本公司之子公司 其他应收款 175 49 126 往来款 非经营性往来 比亚迪半导体股份有限公司 本公司之子公司 其他应收款 35 985 1,020 往来款 非经营性往来 其他子公司 本公司之子公司 其他应收款 313 112 425 往来款 非经营性往来 小计 1,844,879 853,132 - 582 2,697,429 比亚迪股份有限公司2024年半年度非经营性资金占用及其他关联资金往来情况汇总表（续） 编制单位：比亚迪股份有限公司 2024年1-6月占用 资金的利息（如 有） 往来形成 原因 其他关联资金 往来 上市公司的子公司 及其附属企业 资金往来方名称 往来方与上市公司 的关联关系 上市公司核算 的会计科目 2024年期初占用 资金余额 2024年1-6月占用 累计发生金额（不…</x:v>
      </x:c>
      <x:c r="N30" s="51" t="str">
        <x:v>1-弱相关</x:v>
      </x:c>
      <x:c r="O30" s="51" t="str">
        <x:v>否</x:v>
      </x:c>
      <x:c r="P30" s="71" t="str">
        <x:v>《半年度非经营性资金占用及其他关联资金往来情况汇总表》（第2页）仅披露“单位：万元 往来性质 （经营性往来、非经 营性往来） 控股股东、实际控 制人及其附属企业 不适用 BYD (H.K.) CO., LIMITED 本公司之…”，虽与公司经营或相邻主题有关，但不足以验证“销量扩张过程中库存与经营现金流能否保持健康”的关键路径，故判1级。</x:v>
      </x:c>
      <x:c r="Q30" s="51" t="str">
        <x:v>FIN-R01</x:v>
      </x:c>
      <x:c r="R30" s="202" t="n">
        <x:v>46260.92880688657</x:v>
      </x:c>
    </x:row>
    <x:row r="31" ht="72" customHeight="1">
      <x:c r="A31" s="50" t="str">
        <x:v>V4-R-Q004-C05</x:v>
      </x:c>
      <x:c r="B31" s="50" t="str">
        <x:v>V4-E-Q004-C05</x:v>
      </x:c>
      <x:c r="C31" s="50" t="str">
        <x:v>V4-Q004</x:v>
      </x:c>
      <x:c r="D31" s="49" t="str">
        <x:v>比亚迪</x:v>
      </x:c>
      <x:c r="E31" s="50" t="str">
        <x:v>002594</x:v>
      </x:c>
      <x:c r="F31" s="81" t="n">
        <x:v>46260.75</x:v>
      </x:c>
      <x:c r="G31" s="65" t="str">
        <x:v>销量扩张过程中库存与经营现金流能否保持健康</x:v>
      </x:c>
      <x:c r="H31" s="50" t="str">
        <x:v>DOC-EVT-002594-00360</x:v>
      </x:c>
      <x:c r="I31" s="65" t="str">
        <x:v>2025年度独立董事述职报告（蔡洪平）</x:v>
      </x:c>
      <x:c r="J31" s="81" t="n">
        <x:v>46109</x:v>
      </x:c>
      <x:c r="K31" s="87" t="str">
        <x:v>http://static.cninfo.com.cn/finalpage/2026-03-28/1225045374.PDF</x:v>
      </x:c>
      <x:c r="L31" s="49" t="str">
        <x:v>第1页</x:v>
      </x:c>
      <x:c r="M31" s="65" t="str">
        <x:v>1 比亚迪股份有限公司 2025 年度独立董事述职报告 （蔡洪平） 作为比亚迪股份有限公司（以下简称“公司”）的独立董事，2025 年度，本人严格按 照《公司法》、《上市公司独立董事管理办法》、《深圳证券交易所股票上市规则》、《深 圳证券交易所上市公司自律监管指引第 1 号-主板上市公司规范运作》和《公司章程》、 《独立董事制度》等有关法律、法规、规范性文件、公司制度的要求，诚信、勤勉、忠实 履行职责，充分发挥独立董事的作用，切实维护公司和全体股东的合法权益。现将本人在 2025 年度任期内履行独立董事职责情况报告如下： 一、基本情况 本人蔡洪平，1954 年出生，中国香港籍，本科学历。于一九八八年毕业于复旦大学， 获新闻学学士学位。曾任德意志银行投行亚太区执行主席；瑞银投行亚洲区主席；法国巴 黎资本（亚太）有限公司中国区主席；百富勤投资银行高级副总裁、董事总经理；国务院 国家体改委中国企业海外上市指导小组办公室成员及中国H股公司董事会秘书联席会议主 席。现任公司独立非执行董事，汉德资本主席、创始合伙人，并担任上海浦东发展银行股 份有限公司、中国太平保险控股有限公司独立董事。自 2020 年 9 月起，担任公司独立董 事。 报告期内，本人任职符合《上市公司独立董事管理办法》第六条规定的独立性要求， 不存在任何影响独立性的情况。 二、2025 年履职概况 （一）出席股东会及董事会情况 2025 年度，公司共召开 9 次董事会，其中 2 次以现场会议方式召开，7 次以通讯方式…</x:v>
      </x:c>
      <x:c r="N31" s="51" t="str">
        <x:v>0-无关</x:v>
      </x:c>
      <x:c r="O31" s="51" t="str">
        <x:v>否</x:v>
      </x:c>
      <x:c r="P31" s="71" t="str">
        <x:v>《2025年度独立董事述职报告（蔡洪平）》（第1页）内容为“1 比亚迪股份有限公司 2025 年度独立董事述职报告 （蔡洪平） 作为比亚迪股份有限公司（以下简称“公司”）的独立董事，2025 年度，本人严格按 照《…”，属于治理、证券程序或其他非核心事项，不能帮助判断“销量扩张过程中库存与经营现金流能否保持健康”，故判0级。</x:v>
      </x:c>
      <x:c r="Q31" s="51" t="str">
        <x:v>FIN-R01</x:v>
      </x:c>
      <x:c r="R31" s="202" t="n">
        <x:v>46260.92880688657</x:v>
      </x:c>
    </x:row>
    <x:row r="32" ht="72" customHeight="1">
      <x:c r="A32" s="50" t="str">
        <x:v>V4-R-Q004-C01</x:v>
      </x:c>
      <x:c r="B32" s="50" t="str">
        <x:v>V4-E-Q004-C01</x:v>
      </x:c>
      <x:c r="C32" s="50" t="str">
        <x:v>V4-Q004</x:v>
      </x:c>
      <x:c r="D32" s="49" t="str">
        <x:v>比亚迪</x:v>
      </x:c>
      <x:c r="E32" s="50" t="str">
        <x:v>002594</x:v>
      </x:c>
      <x:c r="F32" s="81" t="n">
        <x:v>46260.75</x:v>
      </x:c>
      <x:c r="G32" s="65" t="str">
        <x:v>销量扩张过程中库存与经营现金流能否保持健康</x:v>
      </x:c>
      <x:c r="H32" s="50" t="str">
        <x:v>DOC-EVT-002594-00351</x:v>
      </x:c>
      <x:c r="I32" s="65" t="str">
        <x:v>2025年度非经营性资金占用及其他关联资金往来情况汇总表</x:v>
      </x:c>
      <x:c r="J32" s="81" t="n">
        <x:v>46109</x:v>
      </x:c>
      <x:c r="K32" s="87" t="str">
        <x:v>http://static.cninfo.com.cn/finalpage/2026-03-28/1225045355.PDF</x:v>
      </x:c>
      <x:c r="L32" s="49" t="str">
        <x:v>第2页</x:v>
      </x:c>
      <x:c r="M32" s="65" t="str">
        <x:v>单位：人民币万元 截止时间：2025年12月31日 控股股东、实际控 制人及其附属企业 不适用 BYD (H.K.) CO., LIMITED 本公司之子公司 其他应收款 1,341,430 163 - - 1,341,593 往来款 非经营性往来 比亚迪汽车工业有限公司 本公司之子公司 其他应收款 - 1,353,524 - - 1,353,524 往来款 非经营性往来 比亚迪精密制造有限公司 本公司之子公司 其他应收款 653,188 - - 651,363 1,825 往来款 非经营性往来 比亚迪汽车有限公司 本公司之子公司 其他应收款 478 - - 464 14 往来款 非经营性往来 深圳比亚迪电子科技有限公司 本公司之子公司 其他应收款 323 - - 244 79 往来款 非经营性往来 深圳比亚迪电子有限公司 本公司之子公司 其他应收款 122 - - 32 90 往来款 非经营性往来 比亚迪半导体股份有限公司 本公司之子公司 其他应收款 659 - - 202 457 往来款 非经营性往来 其他子公司 本公司之子公司 其他应收款 446 371 - - 817 往来款 非经营性往来 关联自然人 不适用 比亚迪股份有限公司2025年度非经营性资金占用及其他关联资金往来情况汇总表（续） 其他关联资金 往来 上市公司的子公司 及其附属企业 资金往来方名称 往来方与上市公司 的关联关系 上市公司核算 的会计科目 2025年期初往 来资金余额 2025年度往来累计发…</x:v>
      </x:c>
      <x:c r="N32" s="51" t="str">
        <x:v>1-弱相关</x:v>
      </x:c>
      <x:c r="O32" s="51" t="str">
        <x:v>否</x:v>
      </x:c>
      <x:c r="P32" s="71" t="str">
        <x:v>《2025年度非经营性资金占用及其他关联资金往来情况汇总表》（第2页）仅披露“单位：人民币万元 截止时间：2025年12月31日 控股股东、实际控 制人及其附属企业 不适用 BYD (H.K.) CO., LIMITED 本公司之子…”，虽与公司经营或相邻主题有关，但不足以验证“销量扩张过程中库存与经营现金流能否保持健康”的关键路径，故判1级。</x:v>
      </x:c>
      <x:c r="Q32" s="51" t="str">
        <x:v>FIN-R01</x:v>
      </x:c>
      <x:c r="R32" s="202" t="n">
        <x:v>46260.92880688657</x:v>
      </x:c>
    </x:row>
    <x:row r="33" ht="72" customHeight="1">
      <x:c r="A33" s="50" t="str">
        <x:v>V4-R-Q004-C03</x:v>
      </x:c>
      <x:c r="B33" s="50" t="str">
        <x:v>V4-E-Q004-C03</x:v>
      </x:c>
      <x:c r="C33" s="50" t="str">
        <x:v>V4-Q004</x:v>
      </x:c>
      <x:c r="D33" s="49" t="str">
        <x:v>比亚迪</x:v>
      </x:c>
      <x:c r="E33" s="50" t="str">
        <x:v>002594</x:v>
      </x:c>
      <x:c r="F33" s="81" t="n">
        <x:v>46260.75</x:v>
      </x:c>
      <x:c r="G33" s="65" t="str">
        <x:v>销量扩张过程中库存与经营现金流能否保持健康</x:v>
      </x:c>
      <x:c r="H33" s="50" t="str">
        <x:v>DOC-EVT-002594-00276</x:v>
      </x:c>
      <x:c r="I33" s="65" t="str">
        <x:v>半年度非经营性资金占用及其他关联资金往来情况汇总表</x:v>
      </x:c>
      <x:c r="J33" s="81" t="n">
        <x:v>45899</x:v>
      </x:c>
      <x:c r="K33" s="87" t="str">
        <x:v>http://static.cninfo.com.cn/finalpage/2025-08-30/1224626652.PDF</x:v>
      </x:c>
      <x:c r="L33" s="49" t="str">
        <x:v>第2页</x:v>
      </x:c>
      <x:c r="M33" s="65" t="str">
        <x:v>比亚迪股份有限公司2025年半年度非经营性资金占用及其他关联资金往来情况汇总表（续） 编制单位：比亚迪股份有限公司 单位：万元 其他关联资金 往来 资金往来方名称 往来方与上市公司 的关联关系 上市公司核算 的会计科目 2025年期初占 用资金余额 2025年1-6月占用 累计发生金额（不 含利息） 2025年1-6月占 用资金的利息 （如有） 2025年1-6月偿还 累计发生金额 2025年6月末占 用资金余额 往来形成 原因 往来性质 （经营性往来、非经 营性往来） 控股股东、实际控 制人及其附属企业 不适用 上市公司的子公司 及其附属企业 BYD (H.K.) CO., LIMITED 本公司之子公司 其他应收款 1,341,430 1 1,341,429 往来款 非经营性往来 比亚迪精密制造有限公司 本公司之子公司 其他应收款 653,188 651,748 1,440 往来款 非经营性往来 比亚迪汽车有限公司 本公司之子公司 其他应收款 478 466 12 往来款 非经营性往来 深圳比亚迪电子科技有限公司 本公司之子公司 其他应收款 323 213 110 往来款 非经营性往来 深圳比亚迪电子有限公司 本公司之子公司 其他应收款 122 33 89 往来款 非经营性往来 比亚迪半导体股份有限公司 本公司之子公司 其他应收款 659 227 432 往来款 非经营性往来 其他子公司 本公司之子公司 其他应收款 446 120 326 往来款 非经营性往来 小计 1…</x:v>
      </x:c>
      <x:c r="N33" s="51" t="str">
        <x:v>1-弱相关</x:v>
      </x:c>
      <x:c r="O33" s="51" t="str">
        <x:v>否</x:v>
      </x:c>
      <x:c r="P33" s="71" t="str">
        <x:v>《半年度非经营性资金占用及其他关联资金往来情况汇总表》（第2页）仅披露“比亚迪股份有限公司2025年半年度非经营性资金占用及其他关联资金往来情况汇总表（续） 编制单位：比亚迪股份有限公司 单位：万元 其他关联资金 往来 资金往…”，虽与公司经营或相邻主题有关，但不足以验证“销量扩张过程中库存与经营现金流能否保持健康”的关键路径，故判1级。</x:v>
      </x:c>
      <x:c r="Q33" s="51" t="str">
        <x:v>FIN-R01</x:v>
      </x:c>
      <x:c r="R33" s="202" t="n">
        <x:v>46260.92880688657</x:v>
      </x:c>
    </x:row>
    <x:row r="34" ht="72" customHeight="1">
      <x:c r="A34" s="50" t="str">
        <x:v>V4-R-Q005-C02</x:v>
      </x:c>
      <x:c r="B34" s="50" t="str">
        <x:v>V4-E-Q005-C02</x:v>
      </x:c>
      <x:c r="C34" s="50" t="str">
        <x:v>V4-Q005</x:v>
      </x:c>
      <x:c r="D34" s="49" t="str">
        <x:v>吉利汽车</x:v>
      </x:c>
      <x:c r="E34" s="50" t="str">
        <x:v>00175</x:v>
      </x:c>
      <x:c r="F34" s="81" t="n">
        <x:v>46260.75</x:v>
      </x:c>
      <x:c r="G34" s="65" t="str">
        <x:v>新能源车型渗透率提升能否持续改善销量结构</x:v>
      </x:c>
      <x:c r="H34" s="50" t="str">
        <x:v>DOC-EVT-00175-00323</x:v>
      </x:c>
      <x:c r="I34" s="65" t="str">
        <x:v>未经审核之二零二五年十二月销量及二零二六年销量目标</x:v>
      </x:c>
      <x:c r="J34" s="81" t="n">
        <x:v>46023.75424768519</x:v>
      </x:c>
      <x:c r="K34" s="87" t="str">
        <x:v>http://static.cninfo.com.cn/finalpage/2026-01-01/1224915679.PDF</x:v>
      </x:c>
      <x:c r="L34" s="49" t="str">
        <x:v>第2页</x:v>
      </x:c>
      <x:c r="M34" s="65" t="str">
        <x:v>- 2 - 除上述 所披露 的 銷量外， 寶騰於 二零二 五 年 十 二 月實現 汽車 銷量15,291 部，較去年同期 增 長 約34 % 。 此外， 二零二五年全年 ， 寶騰累計實現 汽車 銷量162,601 部，較去年同期 增長 約7 % 。 董事會 已 將本集團二零二六年的銷量目標定為 3,450,000 部，較二零二五年所實現 的 總銷 量增長約 14 % 。其中，吉利品牌 的 銷量目標 為2,750,000 部，極氪品牌 的 銷量目標 為 300,000 部，領克品牌 的 銷量目標 為400,000 部。此外，新能源汽車 的 銷量目標 為2,220,000 部，較二零二五年所實現 的 新能源汽车銷量增長約32 % 。 敬 請注意，本公佈所披露的數 據為 未經審核 數字 ， 尚 未經本公司核數師確認， 相關數據 或會 作出 調整 ， 並有待最終確認。 股東及潛在投資者 應於 本集團刊發財務業績後， 審慎 閱讀相關財務資料 。 承董事會命 吉利汽車控股有限公司 公司秘書 張頌仁 香港， 二零二 六 年 一 月 一 日 於本公佈日期，本公司執行董事為李書福先生（主席）、李東輝先生（副主席）、桂生悅先生 （行政總裁）、淦家閱先生及毛鑒明先生；而本公司獨立非執行董事為高劼女士、 俞麗萍 女士、朱寒松先生及曾瀞漪女士。</x:v>
      </x:c>
      <x:c r="N34" s="51" t="str">
        <x:v>3-直接相关</x:v>
      </x:c>
      <x:c r="O34" s="51" t="str">
        <x:v>是</x:v>
      </x:c>
      <x:c r="P34" s="71" t="str">
        <x:v>《未经审核之二零二五年十二月销量及二零二六年销量目标》（第2页）直接披露“- 2 - 除上述 所披露 的 銷量外， 寶騰於 二零二 五 年 十 二 月實現 汽車 銷量15,291 部，較去年同期 增 長 約34 % 。 此外， …”，与“新能源车型渗透率提升能否持续改善销量结构”的核心变量或结果同口径，可直接用于判断，故判3级。</x:v>
      </x:c>
      <x:c r="Q34" s="51" t="str">
        <x:v>FIN-R01</x:v>
      </x:c>
      <x:c r="R34" s="202" t="n">
        <x:v>46260.92880688657</x:v>
      </x:c>
    </x:row>
    <x:row r="35" ht="72" customHeight="1">
      <x:c r="A35" s="50" t="str">
        <x:v>V4-R-Q005-C05</x:v>
      </x:c>
      <x:c r="B35" s="50" t="str">
        <x:v>V4-E-Q005-C05</x:v>
      </x:c>
      <x:c r="C35" s="50" t="str">
        <x:v>V4-Q005</x:v>
      </x:c>
      <x:c r="D35" s="49" t="str">
        <x:v>吉利汽车</x:v>
      </x:c>
      <x:c r="E35" s="50" t="str">
        <x:v>00175</x:v>
      </x:c>
      <x:c r="F35" s="81" t="n">
        <x:v>46260.75</x:v>
      </x:c>
      <x:c r="G35" s="65" t="str">
        <x:v>新能源车型渗透率提升能否持续改善销量结构</x:v>
      </x:c>
      <x:c r="H35" s="50" t="str">
        <x:v>DOC-EVT-00175-00211</x:v>
      </x:c>
      <x:c r="I35" s="65" t="str">
        <x:v>(I) 未经审核之二零二五年六月销量 及 (II) 修订二零二五年销量目标</x:v>
      </x:c>
      <x:c r="J35" s="81" t="n">
        <x:v>45839.755891203706</x:v>
      </x:c>
      <x:c r="K35" s="87" t="str">
        <x:v>http://static.cninfo.com.cn/finalpage/2025-07-01/1224057901.PDF</x:v>
      </x:c>
      <x:c r="L35" s="49" t="str">
        <x:v>第1页</x:v>
      </x:c>
      <x:c r="M35"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( 236,036 42 （部） （部） (%) （部） （部） (%) 吉利 193,024 121,540 59 1,164,303 741,860 57 其中: 銀河 90,222 29,892 202 548,408 165,181 232 極氪 16,702 20,106 -17 90,740 87,870 3 領克 26,310 24,439 8 154,137 126,000 22 236,036 166,085 42 1,409,180 955,730 47 其中： 純電動(BEVs) 84,879 37,100 129 510,803 187,047 173 插電式混動(PHEVs) 37,488 28,859 30 214,348 133,138 61 其中： 出口 40,011 35,816 12 184,114 199,417 -8</x:v>
      </x:c>
      <x:c r="N35" s="51" t="str">
        <x:v>3-直接相关</x:v>
      </x:c>
      <x:c r="O35" s="51" t="str">
        <x:v>是</x:v>
      </x:c>
      <x:c r="P35" s="71" t="str">
        <x:v>《(I) 未经审核之二零二五年六月销量 及 (II) 修订二零二五年…》（第1页）直接披露“- 1 - 香港交易及結算所有限公司及香港聯合交易所有限公司對本公佈之內容概不負責，對其 準確性或完整性亦不發表任何聲明，並表明不會就因本公佈全部或任何部…”，与“新能源车型渗透率提升能否持续改善销量结构”的核心变量或结果同口径，可直接用于判断，故判3级。</x:v>
      </x:c>
      <x:c r="Q35" s="51" t="str">
        <x:v>FIN-R01</x:v>
      </x:c>
      <x:c r="R35" s="202" t="n">
        <x:v>46260.92880688657</x:v>
      </x:c>
    </x:row>
    <x:row r="36" ht="72" customHeight="1">
      <x:c r="A36" s="50" t="str">
        <x:v>V4-R-Q005-C07</x:v>
      </x:c>
      <x:c r="B36" s="50" t="str">
        <x:v>V4-E-Q005-C07</x:v>
      </x:c>
      <x:c r="C36" s="50" t="str">
        <x:v>V4-Q005</x:v>
      </x:c>
      <x:c r="D36" s="49" t="str">
        <x:v>吉利汽车</x:v>
      </x:c>
      <x:c r="E36" s="50" t="str">
        <x:v>00175</x:v>
      </x:c>
      <x:c r="F36" s="81" t="n">
        <x:v>46260.75</x:v>
      </x:c>
      <x:c r="G36" s="65" t="str">
        <x:v>新能源车型渗透率提升能否持续改善销量结构</x:v>
      </x:c>
      <x:c r="H36" s="50" t="str">
        <x:v>DOC-EVT-00175-00152</x:v>
      </x:c>
      <x:c r="I36" s="65" t="str">
        <x:v>海外监管公布上市附属公司－ ZEEKR INTELLIGENT TECHNOLOGY HOLDING LIMITED二零二四年年度报告</x:v>
      </x:c>
      <x:c r="J36" s="81" t="n">
        <x:v>45736.86817129629</x:v>
      </x:c>
      <x:c r="K36" s="87" t="str">
        <x:v>http://static.cninfo.com.cn/finalpage/2025-03-20/1222858148.PDF</x:v>
      </x:c>
      <x:c r="L36" s="49" t="str">
        <x:v>第1页</x:v>
      </x:c>
      <x:c r="M36" s="65" t="str">
        <x:v>பd࿁Չ Ͼପ͛ ዄ΂Оப΂f 吉利汽車控股有限公司 GEELY AUTOMOBILE HOLDINGS LIMITED ʮ̡ ΅˾໮j175ಥ࿆ᓞ̨ ʿ80175ɛ͏࿆ᓞ̨ 海外監管公佈 上市附屬公司－ZEEKR INTELLIGENT TECHNOLOGY HOLDING LIMITED 二零二四年年度報告 ʮ̡  本公司ۆ ୋ13.10BૢϾЪ̈f ZEEKR Intelligent Technology Holding Limited 極氪᙮ʮ̡d ɚཧɚʞϋɧ˜ɚɤ˚d ࣸڌ20-Fʫ ਷ᗇ္ึၣ१ https://www.sec.gov/ix?doc=/Archives/edgar/data/00019 54042/000141057825000390/zk-20241231x20f.htmࣸڌ20-Ff ࣸڌ 20-Ff ᄲฐБԫf ໨ԫึն 吉利汽車控股有限公司 ࣣ 張頌仁 ಥdɚཧɚʞϋɧ˜ɚɤ˚ ΋͛ τᅅፅ ΋͛f</x:v>
      </x:c>
      <x:c r="N36" s="51" t="str">
        <x:v>1-弱相关</x:v>
      </x:c>
      <x:c r="O36" s="51" t="str">
        <x:v>否</x:v>
      </x:c>
      <x:c r="P36" s="71" t="str">
        <x:v>《海外监管公布上市附属公司－ ZEEKR INTELLIGENT T…》（第1页）仅披露“பd࿁Չ Ͼପ͛ ዄ΂Оப΂f 吉利汽車控股有限公司 GEELY AUTOMOBILE HOLDINGS LIMITED ʮ̡ ΅˾໮j175ಥ࿆ᓞ̨…”，虽与公司经营或相邻主题有关，但不足以验证“新能源车型渗透率提升能否持续改善销量结构”的关键路径，故判1级。</x:v>
      </x:c>
      <x:c r="Q36" s="51" t="str">
        <x:v>FIN-R01</x:v>
      </x:c>
      <x:c r="R36" s="202" t="n">
        <x:v>46260.92880688657</x:v>
      </x:c>
    </x:row>
    <x:row r="37" ht="72" customHeight="1">
      <x:c r="A37" s="50" t="str">
        <x:v>V4-R-Q005-C03</x:v>
      </x:c>
      <x:c r="B37" s="50" t="str">
        <x:v>V4-E-Q005-C03</x:v>
      </x:c>
      <x:c r="C37" s="50" t="str">
        <x:v>V4-Q005</x:v>
      </x:c>
      <x:c r="D37" s="49" t="str">
        <x:v>吉利汽车</x:v>
      </x:c>
      <x:c r="E37" s="50" t="str">
        <x:v>00175</x:v>
      </x:c>
      <x:c r="F37" s="81" t="n">
        <x:v>46260.75</x:v>
      </x:c>
      <x:c r="G37" s="65" t="str">
        <x:v>新能源车型渗透率提升能否持续改善销量结构</x:v>
      </x:c>
      <x:c r="H37" s="50" t="str">
        <x:v>DOC-EVT-00175-00050</x:v>
      </x:c>
      <x:c r="I37" s="65" t="str">
        <x:v>(I) 未经审核之二零二四年六月销量 及 (II) 修订二零二四年销量目标</x:v>
      </x:c>
      <x:c r="J37" s="81" t="n">
        <x:v>45474.7572337963</x:v>
      </x:c>
      <x:c r="K37" s="87" t="str">
        <x:v>http://static.cninfo.com.cn/finalpage/2024-07-01/1220512041.PDF</x:v>
      </x:c>
      <x:c r="L37" s="49" t="str">
        <x:v>第2页</x:v>
      </x:c>
      <x:c r="M37" s="65" t="str">
        <x:v>-2- 10,8362578,431351,900,0002,000,000 附註1： 雖然總銷量與本集團在特定期間確認之收入並無直接關係，因為它包括領克合併基礎上的所有銷量，但本公司董事會認為這更能反映本集團汽車的潛在需求。 附 註2： 本集團已於二零二三年四月二十八日完成收購寶騰49.9%的股權。有關寶騰的詳情，請參閱本公司日期為二零二三年一月二十日的公佈及二零二三年四月六日的通函。 於本公佈日期，本公司執行董事為李書福先生（主席） 、李東輝先生（副主席） 、桂生悅先生（行政總裁） 、魏梅女士及淦家閱先生；而本公司獨立非執行董事為安慶衡先生、汪洋先生、高劼女士、俞麗萍女士及朱寒松先生。</x:v>
      </x:c>
      <x:c r="N37" s="51" t="str">
        <x:v>1-弱相关</x:v>
      </x:c>
      <x:c r="O37" s="51" t="str">
        <x:v>否</x:v>
      </x:c>
      <x:c r="P37" s="71" t="str">
        <x:v>《(I) 未经审核之二零二四年六月销量 及 (II) 修订二零二四年…》（第2页）仅披露“-2- 10,8362578,431351,900,0002,000,000 附註1： 雖然總銷量與本集團在特定期間確認之收入並無直接關係，因為它包括領克…”，虽与公司经营或相邻主题有关，但不足以验证“新能源车型渗透率提升能否持续改善销量结构”的关键路径，故判1级。</x:v>
      </x:c>
      <x:c r="Q37" s="51" t="str">
        <x:v>FIN-R01</x:v>
      </x:c>
      <x:c r="R37" s="202" t="n">
        <x:v>46260.92880688657</x:v>
      </x:c>
    </x:row>
    <x:row r="38" ht="72" customHeight="1">
      <x:c r="A38" s="50" t="str">
        <x:v>V4-R-Q005-C01</x:v>
      </x:c>
      <x:c r="B38" s="50" t="str">
        <x:v>V4-E-Q005-C01</x:v>
      </x:c>
      <x:c r="C38" s="50" t="str">
        <x:v>V4-Q005</x:v>
      </x:c>
      <x:c r="D38" s="49" t="str">
        <x:v>吉利汽车</x:v>
      </x:c>
      <x:c r="E38" s="50" t="str">
        <x:v>00175</x:v>
      </x:c>
      <x:c r="F38" s="81" t="n">
        <x:v>46260.75</x:v>
      </x:c>
      <x:c r="G38" s="65" t="str">
        <x:v>新能源车型渗透率提升能否持续改善销量结构</x:v>
      </x:c>
      <x:c r="H38" s="50" t="str">
        <x:v>DOC-EVT-00175-00124</x:v>
      </x:c>
      <x:c r="I38" s="65" t="str">
        <x:v>可持续发展委员会职权范围</x:v>
      </x:c>
      <x:c r="J38" s="81" t="n">
        <x:v>45656.7890625</x:v>
      </x:c>
      <x:c r="K38" s="87" t="str">
        <x:v>http://static.cninfo.com.cn/finalpage/2024-12-30/1222182872.PDF</x:v>
      </x:c>
      <x:c r="L38" s="49" t="str">
        <x:v>第1页</x:v>
      </x:c>
      <x:c r="M38" s="65" t="str">
        <x:v>吉利汽車控股有限公司 GEELY AUTOMOBILE HOLDINGS LIMITED (於開曼群島註冊成立之有限公司) 股份代號：175 (港幣櫃台) 及80175 (人民幣櫃台) 可持續發展委員會職權範圍 可持續發展委員會(「委員會」)的成員 請參考不時生效並登載於本公司及香港聯合交易所有限公司網站上的「董事名單與其角色和職能」以識 別委員會的成員。 委員會的組成 委員會的成員應由不少於三名成員組成，其中至少一名為獨立非執行董事。 委員會的主席（「委員會主席」）應由本公司的董事會（「董事會」）委任。 委員會將因應需要而邀請其他董事、行政人員、外部顧問或其他人 士參加委員會的會議，以便協助 委 員會達成其職責目標。 會議及法定人數 委員會按需要可自行決定召開會議之次數，唯應每年召開至少一次會議。委員會主席亦有權召開非 常 務會議。 會議法定人數為兩名委員會成員。除非在特殊情況下，否則其中一名出席的委員會成員必需是委員 會 主席。 委員會的完整會議紀錄應由正式委任的會議秘書保存。委員會會議紀錄的初稿及最後定稿應在會議 後 一段合理時間內先後發送委員會全體成員，初稿供成員表達意見，最後定稿作其紀錄之用。 第一頁，共二頁</x:v>
      </x:c>
      <x:c r="N38" s="51" t="str">
        <x:v>0-无关</x:v>
      </x:c>
      <x:c r="O38" s="51" t="str">
        <x:v>否</x:v>
      </x:c>
      <x:c r="P38" s="71" t="str">
        <x:v>《可持续发展委员会职权范围》（第1页）内容为“吉利汽車控股有限公司 GEELY AUTOMOBILE HOLDINGS LIMITED (於開曼群島註冊成立之有限公司) 股份代號：175 (港幣櫃台)…”，属于治理、证券程序或其他非核心事项，不能帮助判断“新能源车型渗透率提升能否持续改善销量结构”，故判0级。</x:v>
      </x:c>
      <x:c r="Q38" s="51" t="str">
        <x:v>FIN-R01</x:v>
      </x:c>
      <x:c r="R38" s="202" t="n">
        <x:v>46260.92880688657</x:v>
      </x:c>
    </x:row>
    <x:row r="39" ht="72" customHeight="1">
      <x:c r="A39" s="50" t="str">
        <x:v>V4-R-Q005-C06</x:v>
      </x:c>
      <x:c r="B39" s="50" t="str">
        <x:v>V4-E-Q005-C06</x:v>
      </x:c>
      <x:c r="C39" s="50" t="str">
        <x:v>V4-Q005</x:v>
      </x:c>
      <x:c r="D39" s="49" t="str">
        <x:v>吉利汽车</x:v>
      </x:c>
      <x:c r="E39" s="50" t="str">
        <x:v>00175</x:v>
      </x:c>
      <x:c r="F39" s="81" t="n">
        <x:v>46260.75</x:v>
      </x:c>
      <x:c r="G39" s="65" t="str">
        <x:v>新能源车型渗透率提升能否持续改善销量结构</x:v>
      </x:c>
      <x:c r="H39" s="50" t="str">
        <x:v>DOC-EVT-00175-00170</x:v>
      </x:c>
      <x:c r="I39" s="65" t="str">
        <x:v>正面盈利预告截至二零二五年三月三十一日止三个月</x:v>
      </x:c>
      <x:c r="J39" s="81" t="n">
        <x:v>45757.80847222222</x:v>
      </x:c>
      <x:c r="K39" s="87" t="str">
        <x:v>http://static.cninfo.com.cn/finalpage/2025-04-10/1223057117.PDF</x:v>
      </x:c>
      <x:c r="L39" s="49" t="str">
        <x:v>第1页</x:v>
      </x:c>
      <x:c r="M39"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正面盈利預告 截至二零二五年三月三十一日止三個月 本公司根據 《證券及期貨條例》 第XIVA部就內幕消息披露及上市規則第13.09條而作出 本公佈。 誠如二零二五年四月十日本公司同步刊發公佈的會計政策變更所述，董事會批准本公 司的會計政策變更，且自二零二五年一月一日起生效。根據現時獲得之資料，董事會 謹此通知股東及潛在投資者，預期本集團截至二零二五年三月三十一日止三個月錄得 的歸屬本公司股權持有人溢利如下： • 會計政策變更前：預計歸屬本公司股權持有人溢利為人民幣116億至123億元，與 截至二零二四年三月三十一日止三個月錄得的歸屬本公司股權持有人溢利比較， 將錄得約640%至690%的增長； • 會計政策變更後：預計歸屬本公司股權持有人溢利為人民幣52億至58億元，與去 年同期比較將錄得約220%至270%的增長。 股東及潛在投資者在買賣本公司證券時請審慎行事。 本公告由吉利汽車控股有限公司 （ 「本公司」 ，連同其附屬公司統稱為 「本集團」 ） 根據 《證券 及期貨條例》 （香港法例第571章） （ 「 《證券及期貨條例》 」 ） 第XIVA部就內幕消息披露及香港 聯合交易所有…</x:v>
      </x:c>
      <x:c r="N39" s="51" t="str">
        <x:v>1-弱相关</x:v>
      </x:c>
      <x:c r="O39" s="51" t="str">
        <x:v>否</x:v>
      </x:c>
      <x:c r="P39" s="71" t="str">
        <x:v>《正面盈利预告截至二零二五年三月三十一日止三个月》（第1页）仅披露“香港交易及結算所有限公司及香港聯合交易所有限公司對本公佈之內容概不負責，對其 準確性或完整性亦不發表任何聲明，並表明不會就因本公佈全部或任何部份內容而產生…”，虽与公司经营或相邻主题有关，但不足以验证“新能源车型渗透率提升能否持续改善销量结构”的关键路径，故判1级。</x:v>
      </x:c>
      <x:c r="Q39" s="51" t="str">
        <x:v>FIN-R01</x:v>
      </x:c>
      <x:c r="R39" s="202" t="n">
        <x:v>46260.92880688657</x:v>
      </x:c>
    </x:row>
    <x:row r="40" ht="72" customHeight="1">
      <x:c r="A40" s="50" t="str">
        <x:v>V4-R-Q005-C04</x:v>
      </x:c>
      <x:c r="B40" s="50" t="str">
        <x:v>V4-E-Q005-C04</x:v>
      </x:c>
      <x:c r="C40" s="50" t="str">
        <x:v>V4-Q005</x:v>
      </x:c>
      <x:c r="D40" s="49" t="str">
        <x:v>吉利汽车</x:v>
      </x:c>
      <x:c r="E40" s="50" t="str">
        <x:v>00175</x:v>
      </x:c>
      <x:c r="F40" s="81" t="n">
        <x:v>46260.75</x:v>
      </x:c>
      <x:c r="G40" s="65" t="str">
        <x:v>新能源车型渗透率提升能否持续改善销量结构</x:v>
      </x:c>
      <x:c r="H40" s="50" t="str">
        <x:v>DOC-EVT-00175-00002</x:v>
      </x:c>
      <x:c r="I40" s="65" t="str">
        <x:v>未经审核之二零二三年十二月销量及二零二四年销量目标</x:v>
      </x:c>
      <x:c r="J40" s="81" t="n">
        <x:v>45292.77261574074</x:v>
      </x:c>
      <x:c r="K40" s="87" t="str">
        <x:v>http://static.cninfo.com.cn/finalpage/2024-01-01/1218785103.PDF</x:v>
      </x:c>
      <x:c r="L40" s="49" t="str">
        <x:v>第1页</x:v>
      </x:c>
      <x:c r="M40"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未經審核之二零二三年十二月銷量及 二零二四年銷量目標 吉利汽車控股有限公司(「本公司」，連同其附屬公司統稱為「本集團」）董事會欣然宣佈， 本集團於二零二三年十二月之總銷量為150,453部汽車，較去年同期增長約3%。二零二三 年全年之總銷量為1,686,516部，較去年同期增長約18%，超額完成本集團二零二三年之全 年銷量目標1,650,000部。詳細如下： 品牌 本月 （部） 去年同期 （部） 同比變動 (%) 今年累計 （部） 去年同期累計 （部） 同比變動 (%) 吉利 107,382 101,369 6 1,309,580 1,124,780 16 其中：銀河 12,088 – – 83,497 – – 極氪 13,476 11,337 19 118,685 71,941 65 領克附註1 25,695 21,988 17 220,250 180,127 22 睿藍附註1 3,900 11,323 -66 38,001 56,140 -32 合計 150,453 146,017 3 1,686,516 1,432,988 18 其中： 純電動 (BEVs，含換電） 34,156 37,9…</x:v>
      </x:c>
      <x:c r="N40" s="51" t="str">
        <x:v>3-直接相关</x:v>
      </x:c>
      <x:c r="O40" s="51" t="str">
        <x:v>是</x:v>
      </x:c>
      <x:c r="P40" s="71" t="str">
        <x:v>《未经审核之二零二三年十二月销量及二零二四年销量目标》（第1页）直接披露“- 1 - 香港交易及結算所有限公司及香港聯合交易所有限公司對本公佈之內容概不負責，對其 準確性或完整性亦不發表任何聲明，並表明不會就因本公佈全部或任何部…”，与“新能源车型渗透率提升能否持续改善销量结构”的核心变量或结果同口径，可直接用于判断，故判3级。</x:v>
      </x:c>
      <x:c r="Q40" s="51" t="str">
        <x:v>FIN-R01</x:v>
      </x:c>
      <x:c r="R40" s="202" t="n">
        <x:v>46260.92880688657</x:v>
      </x:c>
    </x:row>
    <x:row r="41" ht="72" customHeight="1">
      <x:c r="A41" s="50" t="str">
        <x:v>V4-R-Q005-C08</x:v>
      </x:c>
      <x:c r="B41" s="50" t="str">
        <x:v>V4-E-Q005-C08</x:v>
      </x:c>
      <x:c r="C41" s="50" t="str">
        <x:v>V4-Q005</x:v>
      </x:c>
      <x:c r="D41" s="49" t="str">
        <x:v>吉利汽车</x:v>
      </x:c>
      <x:c r="E41" s="50" t="str">
        <x:v>00175</x:v>
      </x:c>
      <x:c r="F41" s="81" t="n">
        <x:v>46260.75</x:v>
      </x:c>
      <x:c r="G41" s="65" t="str">
        <x:v>新能源车型渗透率提升能否持续改善销量结构</x:v>
      </x:c>
      <x:c r="H41" s="50" t="str">
        <x:v>DOC-EVT-00175-00076</x:v>
      </x:c>
      <x:c r="I41" s="65" t="str">
        <x:v>持续关连交易</x:v>
      </x:c>
      <x:c r="J41" s="81" t="n">
        <x:v>45558.69472222222</x:v>
      </x:c>
      <x:c r="K41" s="87" t="str">
        <x:v>http://static.cninfo.com.cn/finalpage/2024-09-23/1221275188.PDF</x:v>
      </x:c>
      <x:c r="L41" s="49" t="str">
        <x:v>第29页</x:v>
      </x:c>
      <x:c r="M41" s="65" t="str">
        <x:v>導致有關新車型之差旅服務及後台支持服務增加300%以上；及(ii)於二零二四年下半年 開始採購部分營運服務，導致IT及充電服務等增加700%以上。 截至二零二六年十二月三十一日止兩個年度向吉利控股及關聯方集團提供營運服務之建 議年度上限增加，乃主要由於(i)大部分提供予吉利控股及關聯方集團之物流服務將於二 零二五年開展及(ii)預計截至二零二六年十二月三十一日止兩個年度對物流服務、供應商 質量工程服務及其他服務的需求將增加。 經考慮前述事項，董事會 （包括獨立非執行董事） 認為，營運服務協議乃於本集團一般及 日常業務過程中按正常商業條款訂立，且營運服務協議之條款及建議年度上限屬公平合 理，並符合本公司及股東之整體利益。 訂立營運服務協議之理由及裨益 為應對新能源汽車行業競爭加劇，本集團已積極擴大其與能源供應及充電服務供應商的合作。 與吉利控股集團就採購新能源汽車充電服務的合作將提升本集團之議價能力，並降低成本。 預期經濟復甦後，國內外差旅以及展覽及會議的需求將大幅上升。本集團希望透過與吉利科技 集團於營銷及差旅服務方面的合作，達到降低成本的目的。 此外，本集團已透過使用吉利控股集團及領克集團共享之先進軟件及信息系統精簡其生產流 程。為支援營運系統的數字轉型，本集團正透過吉利控股集團提供的人力資源服務聘請額外IT 及研究員工，相關成本按比例分擔。本集團、吉利控股集團、領克集團及極氪集團的資源共享 將改善本集團營運效益及降低技術成本。 此外，本集團希望順應物流業的長遠發展趨勢，…</x:v>
      </x:c>
      <x:c r="N41" s="51" t="str">
        <x:v>1-弱相关</x:v>
      </x:c>
      <x:c r="O41" s="51" t="str">
        <x:v>否</x:v>
      </x:c>
      <x:c r="P41" s="71" t="str">
        <x:v>《持续关连交易》（第29页）仅披露“導致有關新車型之差旅服務及後台支持服務增加300%以上；及(ii)於二零二四年下半年 開始採購部分營運服務，導致IT及充電服務等增加700%以上。 截至二…”，虽与公司经营或相邻主题有关，但不足以验证“新能源车型渗透率提升能否持续改善销量结构”的关键路径，故判1级。</x:v>
      </x:c>
      <x:c r="Q41" s="51" t="str">
        <x:v>FIN-R01</x:v>
      </x:c>
      <x:c r="R41" s="202" t="n">
        <x:v>46260.92880688657</x:v>
      </x:c>
    </x:row>
    <x:row r="42" ht="72" customHeight="1">
      <x:c r="A42" s="50" t="str">
        <x:v>V4-R-Q006-C02</x:v>
      </x:c>
      <x:c r="B42" s="50" t="str">
        <x:v>V4-E-Q006-C02</x:v>
      </x:c>
      <x:c r="C42" s="50" t="str">
        <x:v>V4-Q006</x:v>
      </x:c>
      <x:c r="D42" s="49" t="str">
        <x:v>吉利汽车</x:v>
      </x:c>
      <x:c r="E42" s="50" t="str">
        <x:v>00175</x:v>
      </x:c>
      <x:c r="F42" s="81" t="n">
        <x:v>46260.75</x:v>
      </x:c>
      <x:c r="G42" s="65" t="str">
        <x:v>出口销量增长能否成为吉利汽车的稳定增量来源</x:v>
      </x:c>
      <x:c r="H42" s="50" t="str">
        <x:v>DOC-EVT-00175-00050</x:v>
      </x:c>
      <x:c r="I42" s="65" t="str">
        <x:v>(I) 未经审核之二零二四年六月销量 及 (II) 修订二零二四年销量目标</x:v>
      </x:c>
      <x:c r="J42" s="81" t="n">
        <x:v>45474.7572337963</x:v>
      </x:c>
      <x:c r="K42" s="87" t="str">
        <x:v>http://static.cninfo.com.cn/finalpage/2024-07-01/1220512041.PDF</x:v>
      </x:c>
      <x:c r="L42" s="49" t="str">
        <x:v>第2页</x:v>
      </x:c>
      <x:c r="M42" s="65" t="str">
        <x:v>-2- 10,8362578,431351,900,0002,000,000 附註1： 雖然總銷量與本集團在特定期間確認之收入並無直接關係，因為它包括領克合併基礎上的所有銷量，但本公司董事會認為這更能反映本集團汽車的潛在需求。 附 註2： 本集團已於二零二三年四月二十八日完成收購寶騰49.9%的股權。有關寶騰的詳情，請參閱本公司日期為二零二三年一月二十日的公佈及二零二三年四月六日的通函。 於本公佈日期，本公司執行董事為李書福先生（主席） 、李東輝先生（副主席） 、桂生悅先生（行政總裁） 、魏梅女士及淦家閱先生；而本公司獨立非執行董事為安慶衡先生、汪洋先生、高劼女士、俞麗萍女士及朱寒松先生。</x:v>
      </x:c>
      <x:c r="N42" s="51" t="str">
        <x:v>1-弱相关</x:v>
      </x:c>
      <x:c r="O42" s="51" t="str">
        <x:v>否</x:v>
      </x:c>
      <x:c r="P42" s="71" t="str">
        <x:v>《(I) 未经审核之二零二四年六月销量 及 (II) 修订二零二四年…》（第2页）仅披露“-2- 10,8362578,431351,900,0002,000,000 附註1： 雖然總銷量與本集團在特定期間確認之收入並無直接關係，因為它包括領克…”，虽与公司经营或相邻主题有关，但不足以验证“出口销量增长能否成为吉利汽车的稳定增量来源”的关键路径，故判1级。</x:v>
      </x:c>
      <x:c r="Q42" s="51" t="str">
        <x:v>FIN-R01</x:v>
      </x:c>
      <x:c r="R42" s="202" t="n">
        <x:v>46260.92880688657</x:v>
      </x:c>
    </x:row>
    <x:row r="43" ht="72" customHeight="1">
      <x:c r="A43" s="50" t="str">
        <x:v>V4-R-Q006-C01</x:v>
      </x:c>
      <x:c r="B43" s="50" t="str">
        <x:v>V4-E-Q006-C01</x:v>
      </x:c>
      <x:c r="C43" s="50" t="str">
        <x:v>V4-Q006</x:v>
      </x:c>
      <x:c r="D43" s="49" t="str">
        <x:v>吉利汽车</x:v>
      </x:c>
      <x:c r="E43" s="50" t="str">
        <x:v>00175</x:v>
      </x:c>
      <x:c r="F43" s="81" t="n">
        <x:v>46260.75</x:v>
      </x:c>
      <x:c r="G43" s="65" t="str">
        <x:v>出口销量增长能否成为吉利汽车的稳定增量来源</x:v>
      </x:c>
      <x:c r="H43" s="50" t="str">
        <x:v>DOC-EVT-00175-00323</x:v>
      </x:c>
      <x:c r="I43" s="65" t="str">
        <x:v>未经审核之二零二五年十二月销量及二零二六年销量目标</x:v>
      </x:c>
      <x:c r="J43" s="81" t="n">
        <x:v>46023.75424768519</x:v>
      </x:c>
      <x:c r="K43" s="87" t="str">
        <x:v>http://static.cninfo.com.cn/finalpage/2026-01-01/1224915679.PDF</x:v>
      </x:c>
      <x:c r="L43" s="49" t="str">
        <x:v>第2页</x:v>
      </x:c>
      <x:c r="M43" s="65" t="str">
        <x:v>- 2 - 除上述 所披露 的 銷量外， 寶騰於 二零二 五 年 十 二 月實現 汽車 銷量15,291 部，較去年同期 增 長 約34 % 。 此外， 二零二五年全年 ， 寶騰累計實現 汽車 銷量162,601 部，較去年同期 增長 約7 % 。 董事會 已 將本集團二零二六年的銷量目標定為 3,450,000 部，較二零二五年所實現 的 總銷 量增長約 14 % 。其中，吉利品牌 的 銷量目標 為2,750,000 部，極氪品牌 的 銷量目標 為 300,000 部，領克品牌 的 銷量目標 為400,000 部。此外，新能源汽車 的 銷量目標 為2,220,000 部，較二零二五年所實現 的 新能源汽车銷量增長約32 % 。 敬 請注意，本公佈所披露的數 據為 未經審核 數字 ， 尚 未經本公司核數師確認， 相關數據 或會 作出 調整 ， 並有待最終確認。 股東及潛在投資者 應於 本集團刊發財務業績後， 審慎 閱讀相關財務資料 。 承董事會命 吉利汽車控股有限公司 公司秘書 張頌仁 香港， 二零二 六 年 一 月 一 日 於本公佈日期，本公司執行董事為李書福先生（主席）、李東輝先生（副主席）、桂生悅先生 （行政總裁）、淦家閱先生及毛鑒明先生；而本公司獨立非執行董事為高劼女士、 俞麗萍 女士、朱寒松先生及曾瀞漪女士。</x:v>
      </x:c>
      <x:c r="N43" s="51" t="str">
        <x:v>1-弱相关</x:v>
      </x:c>
      <x:c r="O43" s="51" t="str">
        <x:v>否</x:v>
      </x:c>
      <x:c r="P43" s="71" t="str">
        <x:v>《未经审核之二零二五年十二月销量及二零二六年销量目标》（第2页）仅披露“- 2 - 除上述 所披露 的 銷量外， 寶騰於 二零二 五 年 十 二 月實現 汽車 銷量15,291 部，較去年同期 增 長 約34 % 。 此外， …”，虽与公司经营或相邻主题有关，但不足以验证“出口销量增长能否成为吉利汽车的稳定增量来源”的关键路径，故判1级。</x:v>
      </x:c>
      <x:c r="Q43" s="51" t="str">
        <x:v>FIN-R01</x:v>
      </x:c>
      <x:c r="R43" s="202" t="n">
        <x:v>46260.92880688657</x:v>
      </x:c>
    </x:row>
    <x:row r="44" ht="72" customHeight="1">
      <x:c r="A44" s="50" t="str">
        <x:v>V4-R-Q006-C08</x:v>
      </x:c>
      <x:c r="B44" s="50" t="str">
        <x:v>V4-E-Q006-C08</x:v>
      </x:c>
      <x:c r="C44" s="50" t="str">
        <x:v>V4-Q006</x:v>
      </x:c>
      <x:c r="D44" s="49" t="str">
        <x:v>吉利汽车</x:v>
      </x:c>
      <x:c r="E44" s="50" t="str">
        <x:v>00175</x:v>
      </x:c>
      <x:c r="F44" s="81" t="n">
        <x:v>46260.75</x:v>
      </x:c>
      <x:c r="G44" s="65" t="str">
        <x:v>出口销量增长能否成为吉利汽车的稳定增量来源</x:v>
      </x:c>
      <x:c r="H44" s="50" t="str">
        <x:v>DOC-EVT-00175-00009</x:v>
      </x:c>
      <x:c r="I44" s="65" t="str">
        <x:v>关连交易出售睿蓝汽车之股权</x:v>
      </x:c>
      <x:c r="J44" s="81" t="n">
        <x:v>45342.70166666667</x:v>
      </x:c>
      <x:c r="K44" s="87" t="str">
        <x:v>http://static.cninfo.com.cn/finalpage/2024-02-20/1219142414.PDF</x:v>
      </x:c>
      <x:c r="L44" s="49" t="str">
        <x:v>第1页</x:v>
      </x:c>
      <x:c r="M44"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關連交易 出售睿藍汽車之股權 吉利汽車控股有限公司之財務顧問 出售睿藍汽車之股權 於二零二四年二月二十日 （交易時段後） ，本公司附屬公司浙江吉潤與吉利啟征訂立股 權轉讓協議，據此，浙江吉潤同意出售及吉利啟征同意購買睿藍汽車之45%股權，現 金代價為人民幣504,000,000元。出售事項完成後，本集團將不再擁有睿藍汽車之任何 股權，且預計本集團將錄得出售事項收益約人民幣117,000,000元。 上市規則之涵義 於本公佈日期，吉利啟征由李先生及其聯繫人最終實益全資擁有。於本公佈日期，李 先生為執行董事兼持有本公司已發行股本約41.19%之主要股東，並為本公司之關連人 士。因此，吉利啟征為本公司之關連人士，且根據上市規則，股權轉讓協議項下擬進 行之交易構成本公司之關連交易。 由於股權轉讓協議及其項下擬進行之交易的一項或多項適用百分比率高於0.1%但低於 5%，故根據上市規則第14A章，股權轉讓協議及其項下擬進行之交易須遵守申報及公 告規定，惟獲豁免遵守獨立股東批准之規定。 - 1 -</x:v>
      </x:c>
      <x:c r="N44" s="51" t="str">
        <x:v>0-无关</x:v>
      </x:c>
      <x:c r="O44" s="51" t="str">
        <x:v>否</x:v>
      </x:c>
      <x:c r="P44" s="71" t="str">
        <x:v>《关连交易出售睿蓝汽车之股权》（第1页）内容为“香港交易及結算所有限公司及香港聯合交易所有限公司對本公佈之內容概不負責，對其 準確性或完整性亦不發表任何聲明，並表明不會就因本公佈全部或任何部份內容而產生…”，属于治理、证券程序或其他非核心事项，不能帮助判断“出口销量增长能否成为吉利汽车的稳定增量来源”，故判0级。</x:v>
      </x:c>
      <x:c r="Q44" s="51" t="str">
        <x:v>FIN-R01</x:v>
      </x:c>
      <x:c r="R44" s="202" t="n">
        <x:v>46260.92880688657</x:v>
      </x:c>
    </x:row>
    <x:row r="45" ht="72" customHeight="1">
      <x:c r="A45" s="50" t="str">
        <x:v>V4-R-Q006-C03</x:v>
      </x:c>
      <x:c r="B45" s="50" t="str">
        <x:v>V4-E-Q006-C03</x:v>
      </x:c>
      <x:c r="C45" s="50" t="str">
        <x:v>V4-Q006</x:v>
      </x:c>
      <x:c r="D45" s="49" t="str">
        <x:v>吉利汽车</x:v>
      </x:c>
      <x:c r="E45" s="50" t="str">
        <x:v>00175</x:v>
      </x:c>
      <x:c r="F45" s="81" t="n">
        <x:v>46260.75</x:v>
      </x:c>
      <x:c r="G45" s="65" t="str">
        <x:v>出口销量增长能否成为吉利汽车的稳定增量来源</x:v>
      </x:c>
      <x:c r="H45" s="50" t="str">
        <x:v>DOC-EVT-00175-00002</x:v>
      </x:c>
      <x:c r="I45" s="65" t="str">
        <x:v>未经审核之二零二三年十二月销量及二零二四年销量目标</x:v>
      </x:c>
      <x:c r="J45" s="81" t="n">
        <x:v>45292.77261574074</x:v>
      </x:c>
      <x:c r="K45" s="87" t="str">
        <x:v>http://static.cninfo.com.cn/finalpage/2024-01-01/1218785103.PDF</x:v>
      </x:c>
      <x:c r="L45" s="49" t="str">
        <x:v>第1页</x:v>
      </x:c>
      <x:c r="M45"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未經審核之二零二三年十二月銷量及 二零二四年銷量目標 吉利汽車控股有限公司(「本公司」，連同其附屬公司統稱為「本集團」）董事會欣然宣佈， 本集團於二零二三年十二月之總銷量為150,453部汽車，較去年同期增長約3%。二零二三 年全年之總銷量為1,686,516部，較去年同期增長約18%，超額完成本集團二零二三年之全 年銷量目標1,650,000部。詳細如下： 品牌 本月 （部） 去年同期 （部） 同比變動 (%) 今年累計 （部） 去年同期累計 （部） 同比變動 (%) 吉利 107,382 101,369 6 1,309,580 1,124,780 16 其中：銀河 12,088 – – 83,497 – – 極氪 13,476 11,337 19 118,685 71,941 65 領克附註1 25,695 21,988 17 220,250 180,127 22 睿藍附註1 3,900 11,323 -66 38,001 56,140 -32 合計 150,453 146,017 3 1,686,516 1,432,988 18 其中： 純電動 (BEVs，含換電） 34,156 37,9…</x:v>
      </x:c>
      <x:c r="N45" s="51" t="str">
        <x:v>1-弱相关</x:v>
      </x:c>
      <x:c r="O45" s="51" t="str">
        <x:v>否</x:v>
      </x:c>
      <x:c r="P45" s="71" t="str">
        <x:v>《未经审核之二零二三年十二月销量及二零二四年销量目标》（第1页）仅披露“- 1 - 香港交易及結算所有限公司及香港聯合交易所有限公司對本公佈之內容概不負責，對其 準確性或完整性亦不發表任何聲明，並表明不會就因本公佈全部或任何部…”，虽与公司经营或相邻主题有关，但不足以验证“出口销量增长能否成为吉利汽车的稳定增量来源”的关键路径，故判1级。</x:v>
      </x:c>
      <x:c r="Q45" s="51" t="str">
        <x:v>FIN-R01</x:v>
      </x:c>
      <x:c r="R45" s="202" t="n">
        <x:v>46260.92880688657</x:v>
      </x:c>
    </x:row>
    <x:row r="46" ht="72" customHeight="1">
      <x:c r="A46" s="50" t="str">
        <x:v>V4-R-Q006-C05</x:v>
      </x:c>
      <x:c r="B46" s="50" t="str">
        <x:v>V4-E-Q006-C05</x:v>
      </x:c>
      <x:c r="C46" s="50" t="str">
        <x:v>V4-Q006</x:v>
      </x:c>
      <x:c r="D46" s="49" t="str">
        <x:v>吉利汽车</x:v>
      </x:c>
      <x:c r="E46" s="50" t="str">
        <x:v>00175</x:v>
      </x:c>
      <x:c r="F46" s="81" t="n">
        <x:v>46260.75</x:v>
      </x:c>
      <x:c r="G46" s="65" t="str">
        <x:v>出口销量增长能否成为吉利汽车的稳定增量来源</x:v>
      </x:c>
      <x:c r="H46" s="50" t="str">
        <x:v>DOC-EVT-00175-00126</x:v>
      </x:c>
      <x:c r="I46" s="65" t="str">
        <x:v>未经审核之二零二四年十二月销量及二零二五年销量目标</x:v>
      </x:c>
      <x:c r="J46" s="81" t="n">
        <x:v>45658.75568287037</x:v>
      </x:c>
      <x:c r="K46" s="87" t="str">
        <x:v>http://static.cninfo.com.cn/finalpage/2025-01-01/1222201544.PDF</x:v>
      </x:c>
      <x:c r="L46" s="49" t="str">
        <x:v>第2页</x:v>
      </x:c>
      <x:c r="M46" s="65" t="str">
        <x:v>- 2 - 11,409 152,614 2,710,000 25 。 2,000,000 ， 320,000 390,000 1,500,000 ， 69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46" s="51" t="str">
        <x:v>1-弱相关</x:v>
      </x:c>
      <x:c r="O46" s="51" t="str">
        <x:v>否</x:v>
      </x:c>
      <x:c r="P46" s="71" t="str">
        <x:v>《未经审核之二零二四年十二月销量及二零二五年销量目标》（第2页）仅披露“- 2 - 11,409 152,614 2,710,000 25 。 2,000,000 ， 320,000 390,000 1,500,000 ， 6…”，虽与公司经营或相邻主题有关，但不足以验证“出口销量增长能否成为吉利汽车的稳定增量来源”的关键路径，故判1级。</x:v>
      </x:c>
      <x:c r="Q46" s="51" t="str">
        <x:v>FIN-R01</x:v>
      </x:c>
      <x:c r="R46" s="202" t="n">
        <x:v>46260.92880688657</x:v>
      </x:c>
    </x:row>
    <x:row r="47" ht="72" customHeight="1">
      <x:c r="A47" s="50" t="str">
        <x:v>V4-R-Q006-C07</x:v>
      </x:c>
      <x:c r="B47" s="50" t="str">
        <x:v>V4-E-Q006-C07</x:v>
      </x:c>
      <x:c r="C47" s="50" t="str">
        <x:v>V4-Q006</x:v>
      </x:c>
      <x:c r="D47" s="49" t="str">
        <x:v>吉利汽车</x:v>
      </x:c>
      <x:c r="E47" s="50" t="str">
        <x:v>00175</x:v>
      </x:c>
      <x:c r="F47" s="81" t="n">
        <x:v>46260.75</x:v>
      </x:c>
      <x:c r="G47" s="65" t="str">
        <x:v>出口销量增长能否成为吉利汽车的稳定增量来源</x:v>
      </x:c>
      <x:c r="H47" s="50" t="str">
        <x:v>DOC-EVT-00175-00152</x:v>
      </x:c>
      <x:c r="I47" s="65" t="str">
        <x:v>海外监管公布上市附属公司－ ZEEKR INTELLIGENT TECHNOLOGY HOLDING LIMITED二零二四年年度报告</x:v>
      </x:c>
      <x:c r="J47" s="81" t="n">
        <x:v>45736.86817129629</x:v>
      </x:c>
      <x:c r="K47" s="87" t="str">
        <x:v>http://static.cninfo.com.cn/finalpage/2025-03-20/1222858148.PDF</x:v>
      </x:c>
      <x:c r="L47" s="49" t="str">
        <x:v>第1页</x:v>
      </x:c>
      <x:c r="M47" s="65" t="str">
        <x:v>பd࿁Չ Ͼପ͛ ዄ΂Оப΂f 吉利汽車控股有限公司 GEELY AUTOMOBILE HOLDINGS LIMITED ʮ̡ ΅˾໮j175ಥ࿆ᓞ̨ ʿ80175ɛ͏࿆ᓞ̨ 海外監管公佈 上市附屬公司－ZEEKR INTELLIGENT TECHNOLOGY HOLDING LIMITED 二零二四年年度報告 ʮ̡  本公司ۆ ୋ13.10BૢϾЪ̈f ZEEKR Intelligent Technology Holding Limited 極氪᙮ʮ̡d ɚཧɚʞϋɧ˜ɚɤ˚d ࣸڌ20-Fʫ ਷ᗇ္ึၣ१ https://www.sec.gov/ix?doc=/Archives/edgar/data/00019 54042/000141057825000390/zk-20241231x20f.htmࣸڌ20-Ff ࣸڌ 20-Ff ᄲฐБԫf ໨ԫึն 吉利汽車控股有限公司 ࣣ 張頌仁 ಥdɚཧɚʞϋɧ˜ɚɤ˚ ΋͛ τᅅፅ ΋͛f</x:v>
      </x:c>
      <x:c r="N47" s="51" t="str">
        <x:v>1-弱相关</x:v>
      </x:c>
      <x:c r="O47" s="51" t="str">
        <x:v>否</x:v>
      </x:c>
      <x:c r="P47" s="71" t="str">
        <x:v>《海外监管公布上市附属公司－ ZEEKR INTELLIGENT T…》（第1页）仅披露“பd࿁Չ Ͼପ͛ ዄ΂Оப΂f 吉利汽車控股有限公司 GEELY AUTOMOBILE HOLDINGS LIMITED ʮ̡ ΅˾໮j175ಥ࿆ᓞ̨…”，虽与公司经营或相邻主题有关，但不足以验证“出口销量增长能否成为吉利汽车的稳定增量来源”的关键路径，故判1级。</x:v>
      </x:c>
      <x:c r="Q47" s="51" t="str">
        <x:v>FIN-R01</x:v>
      </x:c>
      <x:c r="R47" s="202" t="n">
        <x:v>46260.92880688657</x:v>
      </x:c>
    </x:row>
    <x:row r="48" ht="72" customHeight="1">
      <x:c r="A48" s="50" t="str">
        <x:v>V4-R-Q006-C06</x:v>
      </x:c>
      <x:c r="B48" s="50" t="str">
        <x:v>V4-E-Q006-C06</x:v>
      </x:c>
      <x:c r="C48" s="50" t="str">
        <x:v>V4-Q006</x:v>
      </x:c>
      <x:c r="D48" s="49" t="str">
        <x:v>吉利汽车</x:v>
      </x:c>
      <x:c r="E48" s="50" t="str">
        <x:v>00175</x:v>
      </x:c>
      <x:c r="F48" s="81" t="n">
        <x:v>46260.75</x:v>
      </x:c>
      <x:c r="G48" s="65" t="str">
        <x:v>出口销量增长能否成为吉利汽车的稳定增量来源</x:v>
      </x:c>
      <x:c r="H48" s="50" t="str">
        <x:v>DOC-EVT-00175-00170</x:v>
      </x:c>
      <x:c r="I48" s="65" t="str">
        <x:v>正面盈利预告截至二零二五年三月三十一日止三个月</x:v>
      </x:c>
      <x:c r="J48" s="81" t="n">
        <x:v>45757.80847222222</x:v>
      </x:c>
      <x:c r="K48" s="87" t="str">
        <x:v>http://static.cninfo.com.cn/finalpage/2025-04-10/1223057117.PDF</x:v>
      </x:c>
      <x:c r="L48" s="49" t="str">
        <x:v>第1页</x:v>
      </x:c>
      <x:c r="M48"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正面盈利預告 截至二零二五年三月三十一日止三個月 本公司根據 《證券及期貨條例》 第XIVA部就內幕消息披露及上市規則第13.09條而作出 本公佈。 誠如二零二五年四月十日本公司同步刊發公佈的會計政策變更所述，董事會批准本公 司的會計政策變更，且自二零二五年一月一日起生效。根據現時獲得之資料，董事會 謹此通知股東及潛在投資者，預期本集團截至二零二五年三月三十一日止三個月錄得 的歸屬本公司股權持有人溢利如下： • 會計政策變更前：預計歸屬本公司股權持有人溢利為人民幣116億至123億元，與 截至二零二四年三月三十一日止三個月錄得的歸屬本公司股權持有人溢利比較， 將錄得約640%至690%的增長； • 會計政策變更後：預計歸屬本公司股權持有人溢利為人民幣52億至58億元，與去 年同期比較將錄得約220%至270%的增長。 股東及潛在投資者在買賣本公司證券時請審慎行事。 本公告由吉利汽車控股有限公司 （ 「本公司」 ，連同其附屬公司統稱為 「本集團」 ） 根據 《證券 及期貨條例》 （香港法例第571章） （ 「 《證券及期貨條例》 」 ） 第XIVA部就內幕消息披露及香港 聯合交易所有…</x:v>
      </x:c>
      <x:c r="N48" s="51" t="str">
        <x:v>1-弱相关</x:v>
      </x:c>
      <x:c r="O48" s="51" t="str">
        <x:v>否</x:v>
      </x:c>
      <x:c r="P48" s="71" t="str">
        <x:v>《正面盈利预告截至二零二五年三月三十一日止三个月》（第1页）仅披露“香港交易及結算所有限公司及香港聯合交易所有限公司對本公佈之內容概不負責，對其 準確性或完整性亦不發表任何聲明，並表明不會就因本公佈全部或任何部份內容而產生…”，虽与公司经营或相邻主题有关，但不足以验证“出口销量增长能否成为吉利汽车的稳定增量来源”的关键路径，故判1级。</x:v>
      </x:c>
      <x:c r="Q48" s="51" t="str">
        <x:v>FIN-R01</x:v>
      </x:c>
      <x:c r="R48" s="202" t="n">
        <x:v>46260.92880688657</x:v>
      </x:c>
    </x:row>
    <x:row r="49" ht="72" customHeight="1">
      <x:c r="A49" s="50" t="str">
        <x:v>V4-R-Q006-C04</x:v>
      </x:c>
      <x:c r="B49" s="50" t="str">
        <x:v>V4-E-Q006-C04</x:v>
      </x:c>
      <x:c r="C49" s="50" t="str">
        <x:v>V4-Q006</x:v>
      </x:c>
      <x:c r="D49" s="49" t="str">
        <x:v>吉利汽车</x:v>
      </x:c>
      <x:c r="E49" s="50" t="str">
        <x:v>00175</x:v>
      </x:c>
      <x:c r="F49" s="81" t="n">
        <x:v>46260.75</x:v>
      </x:c>
      <x:c r="G49" s="65" t="str">
        <x:v>出口销量增长能否成为吉利汽车的稳定增量来源</x:v>
      </x:c>
      <x:c r="H49" s="50" t="str">
        <x:v>DOC-EVT-00175-00211</x:v>
      </x:c>
      <x:c r="I49" s="65" t="str">
        <x:v>(I) 未经审核之二零二五年六月销量 及 (II) 修订二零二五年销量目标</x:v>
      </x:c>
      <x:c r="J49" s="81" t="n">
        <x:v>45839.755891203706</x:v>
      </x:c>
      <x:c r="K49" s="87" t="str">
        <x:v>http://static.cninfo.com.cn/finalpage/2025-07-01/1224057901.PDF</x:v>
      </x:c>
      <x:c r="L49" s="49" t="str">
        <x:v>第1页</x:v>
      </x:c>
      <x:c r="M49"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( 236,036 42 （部） （部） (%) （部） （部） (%) 吉利 193,024 121,540 59 1,164,303 741,860 57 其中: 銀河 90,222 29,892 202 548,408 165,181 232 極氪 16,702 20,106 -17 90,740 87,870 3 領克 26,310 24,439 8 154,137 126,000 22 236,036 166,085 42 1,409,180 955,730 47 其中： 純電動(BEVs) 84,879 37,100 129 510,803 187,047 173 插電式混動(PHEVs) 37,488 28,859 30 214,348 133,138 61 其中： 出口 40,011 35,816 12 184,114 199,417 -8</x:v>
      </x:c>
      <x:c r="N49" s="51" t="str">
        <x:v>3-直接相关</x:v>
      </x:c>
      <x:c r="O49" s="51" t="str">
        <x:v>是</x:v>
      </x:c>
      <x:c r="P49" s="71" t="str">
        <x:v>《(I) 未经审核之二零二五年六月销量 及 (II) 修订二零二五年…》（第1页）直接披露“- 1 - 香港交易及結算所有限公司及香港聯合交易所有限公司對本公佈之內容概不負責，對其 準確性或完整性亦不發表任何聲明，並表明不會就因本公佈全部或任何部…”，与“出口销量增长能否成为吉利汽车的稳定增量来源”的核心变量或结果同口径，可直接用于判断，故判3级。</x:v>
      </x:c>
      <x:c r="Q49" s="51" t="str">
        <x:v>FIN-R01</x:v>
      </x:c>
      <x:c r="R49" s="202" t="n">
        <x:v>46260.92880688657</x:v>
      </x:c>
    </x:row>
    <x:row r="50" ht="72" customHeight="1">
      <x:c r="A50" s="50" t="str">
        <x:v>V4-R-Q007-C07</x:v>
      </x:c>
      <x:c r="B50" s="50" t="str">
        <x:v>V4-E-Q007-C07</x:v>
      </x:c>
      <x:c r="C50" s="50" t="str">
        <x:v>V4-Q007</x:v>
      </x:c>
      <x:c r="D50" s="49" t="str">
        <x:v>吉利汽车</x:v>
      </x:c>
      <x:c r="E50" s="50" t="str">
        <x:v>00175</x:v>
      </x:c>
      <x:c r="F50" s="81" t="n">
        <x:v>46260.75</x:v>
      </x:c>
      <x:c r="G50" s="65" t="str">
        <x:v>极氪与领克渠道协同能否转化为销售效率提升</x:v>
      </x:c>
      <x:c r="H50" s="50" t="str">
        <x:v>DOC-EVT-00175-00152</x:v>
      </x:c>
      <x:c r="I50" s="65" t="str">
        <x:v>海外监管公布上市附属公司－ ZEEKR INTELLIGENT TECHNOLOGY HOLDING LIMITED二零二四年年度报告</x:v>
      </x:c>
      <x:c r="J50" s="81" t="n">
        <x:v>45736.86817129629</x:v>
      </x:c>
      <x:c r="K50" s="87" t="str">
        <x:v>http://static.cninfo.com.cn/finalpage/2025-03-20/1222858148.PDF</x:v>
      </x:c>
      <x:c r="L50" s="49" t="str">
        <x:v>第1页</x:v>
      </x:c>
      <x:c r="M50" s="65" t="str">
        <x:v>பd࿁Չ Ͼପ͛ ዄ΂Оப΂f 吉利汽車控股有限公司 GEELY AUTOMOBILE HOLDINGS LIMITED ʮ̡ ΅˾໮j175ಥ࿆ᓞ̨ ʿ80175ɛ͏࿆ᓞ̨ 海外監管公佈 上市附屬公司－ZEEKR INTELLIGENT TECHNOLOGY HOLDING LIMITED 二零二四年年度報告 ʮ̡  本公司ۆ ୋ13.10BૢϾЪ̈f ZEEKR Intelligent Technology Holding Limited 極氪᙮ʮ̡d ɚཧɚʞϋɧ˜ɚɤ˚d ࣸڌ20-Fʫ ਷ᗇ္ึၣ१ https://www.sec.gov/ix?doc=/Archives/edgar/data/00019 54042/000141057825000390/zk-20241231x20f.htmࣸڌ20-Ff ࣸڌ 20-Ff ᄲฐБԫf ໨ԫึն 吉利汽車控股有限公司 ࣣ 張頌仁 ಥdɚཧɚʞϋɧ˜ɚɤ˚ ΋͛ τᅅፅ ΋͛f</x:v>
      </x:c>
      <x:c r="N50" s="51" t="str">
        <x:v>1-弱相关</x:v>
      </x:c>
      <x:c r="O50" s="51" t="str">
        <x:v>否</x:v>
      </x:c>
      <x:c r="P50" s="71" t="str">
        <x:v>《海外监管公布上市附属公司－ ZEEKR INTELLIGENT T…》（第1页）仅披露“பd࿁Չ Ͼପ͛ ዄ΂Оப΂f 吉利汽車控股有限公司 GEELY AUTOMOBILE HOLDINGS LIMITED ʮ̡ ΅˾໮j175ಥ࿆ᓞ̨…”，虽与公司经营或相邻主题有关，但不足以验证“极氪与领克渠道协同能否转化为销售效率提升”的关键路径，故判1级。</x:v>
      </x:c>
      <x:c r="Q50" s="51" t="str">
        <x:v>FIN-R01</x:v>
      </x:c>
      <x:c r="R50" s="202" t="n">
        <x:v>46260.92880688657</x:v>
      </x:c>
    </x:row>
    <x:row r="51" ht="72" customHeight="1">
      <x:c r="A51" s="50" t="str">
        <x:v>V4-R-Q007-C04</x:v>
      </x:c>
      <x:c r="B51" s="50" t="str">
        <x:v>V4-E-Q007-C04</x:v>
      </x:c>
      <x:c r="C51" s="50" t="str">
        <x:v>V4-Q007</x:v>
      </x:c>
      <x:c r="D51" s="49" t="str">
        <x:v>吉利汽车</x:v>
      </x:c>
      <x:c r="E51" s="50" t="str">
        <x:v>00175</x:v>
      </x:c>
      <x:c r="F51" s="81" t="n">
        <x:v>46260.75</x:v>
      </x:c>
      <x:c r="G51" s="65" t="str">
        <x:v>极氪与领克渠道协同能否转化为销售效率提升</x:v>
      </x:c>
      <x:c r="H51" s="50" t="str">
        <x:v>DOC-EVT-00175-00305</x:v>
      </x:c>
      <x:c r="I51" s="65" t="str">
        <x:v>极氪私有化合资格极氪持有人选择结果最新进展根据上市规则第13.18条作出之公布</x:v>
      </x:c>
      <x:c r="J51" s="81" t="n">
        <x:v>46000.70287037037</x:v>
      </x:c>
      <x:c r="K51" s="87" t="str">
        <x:v>http://static.cninfo.com.cn/finalpage/2025-12-09/1224860940.PDF</x:v>
      </x:c>
      <x:c r="L51" s="49" t="str">
        <x:v>第1页</x:v>
      </x:c>
      <x:c r="M51"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極氪私有化合資格極氪持有人選擇結果 最新進展 根據上市規則第13.18條作出之公佈 茲提述本公司日期為二零二五年五月七日、二零二五年七月十五日、二零二五年九月五 日及二零二五年九月十五日之公佈 （ 「該等公佈」 ） 、本公司日期為二零二五年八月十八日 之通函 （ 「該通函」 ） ，及本公司日期為二零二五年十一月二十一日有關合併協議項下擬進 行交易 （包括私有化及合併事項） 之海外監管公佈 （ 「海外監管公佈」 ） 。 除本公佈另有界定或文義另有所指外，本公佈所用詞彙與該通函所界定者具有相同涵 義。 合資格極氪持有人選擇結果最新進展 誠如該等公佈及海外監管公佈所載，於適用選擇截止時間二零二五年十二月三日 （就極氪 美國存託股份登記持有人而言） 及二零二五年十二月五日 （就極氪股份持有人而言） 前，每 名合資格極氪持有人 （香港非專業投資者除外，彼等將僅可收取現金代價） 可就其持有的 任何極氪股份或極氪美國存託股份 （如適用） 選擇：(i)就每股極氪股份收取2.687美元現金 或1.23股代價股份；或(ii)就每股極氪美國存託股份收取26.87美元現金或12.3股代價股份 （將以吉利美…</x:v>
      </x:c>
      <x:c r="N51" s="51" t="str">
        <x:v>0-无关</x:v>
      </x:c>
      <x:c r="O51" s="51" t="str">
        <x:v>否</x:v>
      </x:c>
      <x:c r="P51" s="71" t="str">
        <x:v>《极氪私有化合资格极氪持有人选择结果最新进展根据上市规则第13.18…》（第1页）内容为“香港交易及結算所有限公司及香港聯合交易所有限公司對本公佈之內容概不負責，對其 準確性或完整性亦不發表任何聲明，並表明不會就因本公佈全部或任何部份內容而產生…”，属于治理、证券程序或其他非核心事项，不能帮助判断“极氪与领克渠道协同能否转化为销售效率提升”，故判0级。</x:v>
      </x:c>
      <x:c r="Q51" s="51" t="str">
        <x:v>FIN-R01</x:v>
      </x:c>
      <x:c r="R51" s="202" t="n">
        <x:v>46260.92880688657</x:v>
      </x:c>
    </x:row>
    <x:row r="52" ht="72" customHeight="1">
      <x:c r="A52" s="50" t="str">
        <x:v>V4-R-Q007-C06</x:v>
      </x:c>
      <x:c r="B52" s="50" t="str">
        <x:v>V4-E-Q007-C06</x:v>
      </x:c>
      <x:c r="C52" s="50" t="str">
        <x:v>V4-Q007</x:v>
      </x:c>
      <x:c r="D52" s="49" t="str">
        <x:v>吉利汽车</x:v>
      </x:c>
      <x:c r="E52" s="50" t="str">
        <x:v>00175</x:v>
      </x:c>
      <x:c r="F52" s="81" t="n">
        <x:v>46260.75</x:v>
      </x:c>
      <x:c r="G52" s="65" t="str">
        <x:v>极氪与领克渠道协同能否转化为销售效率提升</x:v>
      </x:c>
      <x:c r="H52" s="50" t="str">
        <x:v>DOC-EVT-00175-00170</x:v>
      </x:c>
      <x:c r="I52" s="65" t="str">
        <x:v>正面盈利预告截至二零二五年三月三十一日止三个月</x:v>
      </x:c>
      <x:c r="J52" s="81" t="n">
        <x:v>45757.80847222222</x:v>
      </x:c>
      <x:c r="K52" s="87" t="str">
        <x:v>http://static.cninfo.com.cn/finalpage/2025-04-10/1223057117.PDF</x:v>
      </x:c>
      <x:c r="L52" s="49" t="str">
        <x:v>第1页</x:v>
      </x:c>
      <x:c r="M52"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正面盈利預告 截至二零二五年三月三十一日止三個月 本公司根據 《證券及期貨條例》 第XIVA部就內幕消息披露及上市規則第13.09條而作出 本公佈。 誠如二零二五年四月十日本公司同步刊發公佈的會計政策變更所述，董事會批准本公 司的會計政策變更，且自二零二五年一月一日起生效。根據現時獲得之資料，董事會 謹此通知股東及潛在投資者，預期本集團截至二零二五年三月三十一日止三個月錄得 的歸屬本公司股權持有人溢利如下： • 會計政策變更前：預計歸屬本公司股權持有人溢利為人民幣116億至123億元，與 截至二零二四年三月三十一日止三個月錄得的歸屬本公司股權持有人溢利比較， 將錄得約640%至690%的增長； • 會計政策變更後：預計歸屬本公司股權持有人溢利為人民幣52億至58億元，與去 年同期比較將錄得約220%至270%的增長。 股東及潛在投資者在買賣本公司證券時請審慎行事。 本公告由吉利汽車控股有限公司 （ 「本公司」 ，連同其附屬公司統稱為 「本集團」 ） 根據 《證券 及期貨條例》 （香港法例第571章） （ 「 《證券及期貨條例》 」 ） 第XIVA部就內幕消息披露及香港 聯合交易所有…</x:v>
      </x:c>
      <x:c r="N52" s="51" t="str">
        <x:v>1-弱相关</x:v>
      </x:c>
      <x:c r="O52" s="51" t="str">
        <x:v>否</x:v>
      </x:c>
      <x:c r="P52" s="71" t="str">
        <x:v>《正面盈利预告截至二零二五年三月三十一日止三个月》（第1页）仅披露“香港交易及結算所有限公司及香港聯合交易所有限公司對本公佈之內容概不負責，對其 準確性或完整性亦不發表任何聲明，並表明不會就因本公佈全部或任何部份內容而產生…”，虽与公司经营或相邻主题有关，但不足以验证“极氪与领克渠道协同能否转化为销售效率提升”的关键路径，故判1级。</x:v>
      </x:c>
      <x:c r="Q52" s="51" t="str">
        <x:v>FIN-R01</x:v>
      </x:c>
      <x:c r="R52" s="202" t="n">
        <x:v>46260.92880688657</x:v>
      </x:c>
    </x:row>
    <x:row r="53" ht="72" customHeight="1">
      <x:c r="A53" s="50" t="str">
        <x:v>V4-R-Q007-C03</x:v>
      </x:c>
      <x:c r="B53" s="50" t="str">
        <x:v>V4-E-Q007-C03</x:v>
      </x:c>
      <x:c r="C53" s="50" t="str">
        <x:v>V4-Q007</x:v>
      </x:c>
      <x:c r="D53" s="49" t="str">
        <x:v>吉利汽车</x:v>
      </x:c>
      <x:c r="E53" s="50" t="str">
        <x:v>00175</x:v>
      </x:c>
      <x:c r="F53" s="81" t="n">
        <x:v>46260.75</x:v>
      </x:c>
      <x:c r="G53" s="65" t="str">
        <x:v>极氪与领克渠道协同能否转化为销售效率提升</x:v>
      </x:c>
      <x:c r="H53" s="50" t="str">
        <x:v>DOC-EVT-00175-00380</x:v>
      </x:c>
      <x:c r="I53" s="65" t="str">
        <x:v>自愿公布有关领克欧洲业务之非约束性谅解备忘录</x:v>
      </x:c>
      <x:c r="J53" s="81" t="n">
        <x:v>46111.91837962963</x:v>
      </x:c>
      <x:c r="K53" s="87" t="str">
        <x:v>http://static.cninfo.com.cn/finalpage/2026-03-30/1225063574.PDF</x:v>
      </x:c>
      <x:c r="L53" s="49" t="str">
        <x:v>第1页</x:v>
      </x:c>
      <x:c r="M53"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有關領克歐洲業務之非約束性諒解備忘錄 本公佈乃由吉利汽車控股有限公司 （ 「本公司」 ，連同其附屬公司統稱 「本集團」 ） 自願作 出。 本公司董事會 （ 「董事會」 ） 謹此宣布，本公司透過其間接全資附屬公司，已與Volvo Car Corporation （ 「Volvo Car」 ） 訂立一份非約束性諒解備忘錄 （ 「諒解備忘錄」 ） ，內容有關本集 團間接全資附屬公司領克汽車科技有限公司 （ 「領克」 ） 於歐洲之業務營運。 根據諒解備忘錄，Volvo Car將負責領克品牌於歐洲地區之區域營運事宜，包括但不限於 市場推廣、銷售及售後服務，以加快領克於歐洲市場之可規模化增長。建議安排涵蓋若 干主要歐洲市場，包括德國、法國、西班牙及意大利。 是次合作擬透過Volvo Car成熟之中央商業營運平台、可靠的經銷商網絡及售後服務據 點，以支援領克於歐洲之銷售、市場推廣及客戶服務功能，從而提升營運效率，並加快 擴展步伐以支持更高銷售量。 領克將繼續保留其產品組合之整體設計、研發及產品認證責任。 諒解備忘錄屬非約束性，其項下擬進行之任何交易 （如有） 仍須待進一步磋商、簽訂具約…</x:v>
      </x:c>
      <x:c r="N53" s="51" t="str">
        <x:v>2-间接相关</x:v>
      </x:c>
      <x:c r="O53" s="51" t="str">
        <x:v>是</x:v>
      </x:c>
      <x:c r="P53" s="71" t="str">
        <x:v>《自愿公布有关领克欧洲业务之非约束性谅解备忘录》（第1页）披露“香港交易及結算所有限公司及香港聯合交易所有限公司對本公佈之內容概不負責，對其 準確性或完整性亦不發表任何聲明，並表明不會就因本公佈全部或任何部份內容而產生…”，可建立公告事项到“极氪与领克渠道协同能否转化为销售效率提升”的一阶业务传导链；但未直接给出最终结果，故判2级。</x:v>
      </x:c>
      <x:c r="Q53" s="51" t="str">
        <x:v>FIN-R01</x:v>
      </x:c>
      <x:c r="R53" s="202" t="n">
        <x:v>46260.92880688657</x:v>
      </x:c>
    </x:row>
    <x:row r="54" ht="72" customHeight="1">
      <x:c r="A54" s="50" t="str">
        <x:v>V4-R-Q007-C02</x:v>
      </x:c>
      <x:c r="B54" s="50" t="str">
        <x:v>V4-E-Q007-C02</x:v>
      </x:c>
      <x:c r="C54" s="50" t="str">
        <x:v>V4-Q007</x:v>
      </x:c>
      <x:c r="D54" s="49" t="str">
        <x:v>吉利汽车</x:v>
      </x:c>
      <x:c r="E54" s="50" t="str">
        <x:v>00175</x:v>
      </x:c>
      <x:c r="F54" s="81" t="n">
        <x:v>46260.75</x:v>
      </x:c>
      <x:c r="G54" s="65" t="str">
        <x:v>极氪与领克渠道协同能否转化为销售效率提升</x:v>
      </x:c>
      <x:c r="H54" s="50" t="str">
        <x:v>DOC-EVT-00175-00114</x:v>
      </x:c>
      <x:c r="I54" s="65" t="str">
        <x:v>须予披露及关连交易－战略整合交易(1) 极氪收购领克销售股份；及(2) 极氪认购领克新增资本</x:v>
      </x:c>
      <x:c r="J54" s="81" t="n">
        <x:v>45645.69461805555</x:v>
      </x:c>
      <x:c r="K54" s="87" t="str">
        <x:v>http://static.cninfo.com.cn/finalpage/2024-12-19/1222075507.PDF</x:v>
      </x:c>
      <x:c r="L54" s="49" t="str">
        <x:v>第1页</x:v>
      </x:c>
      <x:c r="M54" s="65" t="str">
        <x:v>閣下對本通函任何部份內容或應採取之行動如有任何疑問，應諮詢閣下之股票經紀或其他註冊 證券交易商、銀行經理、律師、專業會計師或其他專業顧問。 閣下如已售出或轉讓所有名下之吉利汽車控股有限公司股份，應立即將本通函連同隨附之代表 委任表格送交買主或承讓人或經手買賣或轉讓之銀行、股票經紀或其他代理商，以便轉交買主 或承讓人。 香港交易及結算所有限公司及香港聯合交易所有限公司對本通函之內容概不負責，對其準確性 或完整性亦不發表任何聲明，並表明不會就因本通函全部或任何部份內容而產生或因倚賴該等 內容而引致之任何損失承擔任何責任。 G E E L Y A U T O M O B IL E H O L D IN G S L IM I T E D 17 5 80 175 須予披露及關連交易－戰略整合交易 (1) 極氪收購領克銷售股份；及 (2) 極氪認購領克新增資本 本公司財務顧問 獨立董事委員會及獨立股東之獨立財務顧問 董事會函件載於本通函第11至31頁。獨立董事委員會函件載於本通函第32至33頁。獨立財務 顧問函件載於本通函第34至64頁，當中載有其致獨立董事委員會及獨立股東之意見。本公司謹 訂於二零二五年一月十日 （星期五） 下午四時正假座香港灣仔港灣道一號香港萬麗海景酒店閣樓 3-4號會議室舉行股東特別大會，大會通告載於本通函第EGM-1至EGM-3頁。無論 閣下能否 親身出席股東特別大會及╱或於會上投票，務請盡快將隨附之代表委任表格按其列印之指示填 妥，並無論如何須於股東特別大會或…</x:v>
      </x:c>
      <x:c r="N54" s="51" t="str">
        <x:v>2-间接相关</x:v>
      </x:c>
      <x:c r="O54" s="51" t="str">
        <x:v>是</x:v>
      </x:c>
      <x:c r="P54" s="71" t="str">
        <x:v>《须予披露及关连交易－战略整合交易(1) 极氪收购领克销售股份；及(…》（第1页）披露“閣下對本通函任何部份內容或應採取之行動如有任何疑問，應諮詢閣下之股票經紀或其他註冊 證券交易商、銀行經理、律師、專業會計師或其他專業顧問。 閣下如已售出或…”，可建立公告事项到“极氪与领克渠道协同能否转化为销售效率提升”的一阶业务传导链；但未直接给出最终结果，故判2级。</x:v>
      </x:c>
      <x:c r="Q54" s="51" t="str">
        <x:v>FIN-R01</x:v>
      </x:c>
      <x:c r="R54" s="202" t="n">
        <x:v>46260.92880688657</x:v>
      </x:c>
    </x:row>
    <x:row r="55" ht="72" customHeight="1">
      <x:c r="A55" s="50" t="str">
        <x:v>V4-R-Q007-C08</x:v>
      </x:c>
      <x:c r="B55" s="50" t="str">
        <x:v>V4-E-Q007-C08</x:v>
      </x:c>
      <x:c r="C55" s="50" t="str">
        <x:v>V4-Q007</x:v>
      </x:c>
      <x:c r="D55" s="49" t="str">
        <x:v>吉利汽车</x:v>
      </x:c>
      <x:c r="E55" s="50" t="str">
        <x:v>00175</x:v>
      </x:c>
      <x:c r="F55" s="81" t="n">
        <x:v>46260.75</x:v>
      </x:c>
      <x:c r="G55" s="65" t="str">
        <x:v>极氪与领克渠道协同能否转化为销售效率提升</x:v>
      </x:c>
      <x:c r="H55" s="50" t="str">
        <x:v>DOC-EVT-00175-00091</x:v>
      </x:c>
      <x:c r="I55" s="65" t="str">
        <x:v>关连交易本公司收购极氪销售股份</x:v>
      </x:c>
      <x:c r="J55" s="81" t="n">
        <x:v>45610.69184027778</x:v>
      </x:c>
      <x:c r="K55" s="87" t="str">
        <x:v>http://static.cninfo.com.cn/finalpage/2024-11-14/1221724437.PDF</x:v>
      </x:c>
      <x:c r="L55" s="49" t="str">
        <x:v>第1页</x:v>
      </x:c>
      <x:c r="M55"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關連交易 本公司收購極氪銷售股份 本公司收購極氪銷售股份 吉利國際香港 （作為賣方） 與Luckview （作為買方） 於二零二四年十一月十四日 （交易時 段後） 訂立極氪買賣協議，據此，吉利國際香港有條件同意出售，而Luckview有條件 同意購買極氪銷售股份，相當於吉利國際香港於本公佈日期持有之極氪已發行股本的 約11.3% （按悉數攤薄基準） ，代價為806,100,000美元 （相當於約人民幣5,835,116,070 元） 。 於本公佈日期，本公司持有極氪已發行股本總額的約51.5% （按悉數攤薄基準） 。緊隨 極氪收購事項完成後，本公司於極氪之持股將增至約62.8% （按悉數攤薄基準） 。 上市規則之涵義 於本公佈日期，吉利國際香港為吉利控股 （即本公司之主要股東） 之間接全資附屬公 司，而其由李先生及其聯繫人最終實益全資擁有…</x:v>
      </x:c>
      <x:c r="N55" s="51" t="str">
        <x:v>1-弱相关</x:v>
      </x:c>
      <x:c r="O55" s="51" t="str">
        <x:v>否</x:v>
      </x:c>
      <x:c r="P55" s="71" t="str">
        <x:v>《关连交易本公司收购极氪销售股份》（第1页）仅披露“香港交易及結算所有限公司及香港聯合交易所有限公司對本公佈之內容概不負責，對其 準確性或完整性亦不發表任何聲明，並表明不會就因本公佈全部或任何部份內容而產生…”，虽与公司经营或相邻主题有关，但不足以验证“极氪与领克渠道协同能否转化为销售效率提升”的关键路径，故判1级。</x:v>
      </x:c>
      <x:c r="Q55" s="51" t="str">
        <x:v>FIN-R01</x:v>
      </x:c>
      <x:c r="R55" s="202" t="n">
        <x:v>46260.92880688657</x:v>
      </x:c>
    </x:row>
    <x:row r="56" ht="72" customHeight="1">
      <x:c r="A56" s="50" t="str">
        <x:v>V4-R-Q007-C01</x:v>
      </x:c>
      <x:c r="B56" s="50" t="str">
        <x:v>V4-E-Q007-C01</x:v>
      </x:c>
      <x:c r="C56" s="50" t="str">
        <x:v>V4-Q007</x:v>
      </x:c>
      <x:c r="D56" s="49" t="str">
        <x:v>吉利汽车</x:v>
      </x:c>
      <x:c r="E56" s="50" t="str">
        <x:v>00175</x:v>
      </x:c>
      <x:c r="F56" s="81" t="n">
        <x:v>46260.75</x:v>
      </x:c>
      <x:c r="G56" s="65" t="str">
        <x:v>极氪与领克渠道协同能否转化为销售效率提升</x:v>
      </x:c>
      <x:c r="H56" s="50" t="str">
        <x:v>DOC-EVT-00175-00316</x:v>
      </x:c>
      <x:c r="I56" s="65" t="str">
        <x:v>完成极氪私有化</x:v>
      </x:c>
      <x:c r="J56" s="81" t="n">
        <x:v>46013.927881944444</x:v>
      </x:c>
      <x:c r="K56" s="87" t="str">
        <x:v>http://static.cninfo.com.cn/finalpage/2025-12-22/1224892690.PDF</x:v>
      </x:c>
      <x:c r="L56" s="49" t="str">
        <x:v>第1页</x:v>
      </x:c>
      <x:c r="M56"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完成極氪私有化 茲提述本公司日期為二零二五年五月七日、二零二五年七月十五日、二零二五年九月五 日、二零二五年九月十五日及二零二五年十二月九日之公佈 （統稱 「該等公佈」 ） 、本公司 日期為二零二五年八月十八日之通函 （ 「該通函」 ） ，以及本公司日期為二零二五年十一月 二十一日有關合併協議項下擬進行交易 （包括私有化及合併事項） 之海外監管公佈。除文 義另有所指外，本公佈所用詞彙與該等公佈及該通函所界定者具有相同涵義。 本公司董事會 （ 「董事會」 ） 欣然宣佈，合併協議項下擬進行交易 （包括私有化及合併事項） 的所有先決條件已達成，有關交易已於二零二五年十二月二十二日完成。 於合併協議項下擬進行交易完成後： 1. 根據私有化安排，本公司已收購所有已發行及發行在外的極氪股份及極氪美國存託 股份。 2. 根據合併事項，合併附屬公司已與極氪合併，而極氪作為存續實體持續經營。 3. 因此，極氪已私有化成為本公司的全資附屬公司，並於紐交所退市。 對本集團的財務影響 極氪先前為本公司之間接非全資附屬公司，現已轉變為本公司之間接全資附屬公司。其 財務業績將繼續全部併入本集團的綜合財務報表。…</x:v>
      </x:c>
      <x:c r="N56" s="51" t="str">
        <x:v>1-弱相关</x:v>
      </x:c>
      <x:c r="O56" s="51" t="str">
        <x:v>否</x:v>
      </x:c>
      <x:c r="P56" s="71" t="str">
        <x:v>《完成极氪私有化》（第1页）仅披露“香港交易及結算所有限公司及香港聯合交易所有限公司對本公佈之內容概不負責，對其 準確性或完整性亦不發表任何聲明，並表明不會就因本公佈全部或任何部份內容而產生…”，虽与公司经营或相邻主题有关，但不足以验证“极氪与领克渠道协同能否转化为销售效率提升”的关键路径，故判1级。</x:v>
      </x:c>
      <x:c r="Q56" s="51" t="str">
        <x:v>FIN-R01</x:v>
      </x:c>
      <x:c r="R56" s="202" t="n">
        <x:v>46260.92880688657</x:v>
      </x:c>
    </x:row>
    <x:row r="57" ht="72" customHeight="1">
      <x:c r="A57" s="50" t="str">
        <x:v>V4-R-Q007-C05</x:v>
      </x:c>
      <x:c r="B57" s="50" t="str">
        <x:v>V4-E-Q007-C05</x:v>
      </x:c>
      <x:c r="C57" s="50" t="str">
        <x:v>V4-Q007</x:v>
      </x:c>
      <x:c r="D57" s="49" t="str">
        <x:v>吉利汽车</x:v>
      </x:c>
      <x:c r="E57" s="50" t="str">
        <x:v>00175</x:v>
      </x:c>
      <x:c r="F57" s="81" t="n">
        <x:v>46260.75</x:v>
      </x:c>
      <x:c r="G57" s="65" t="str">
        <x:v>极氪与领克渠道协同能否转化为销售效率提升</x:v>
      </x:c>
      <x:c r="H57" s="50" t="str">
        <x:v>DOC-EVT-00175-00015</x:v>
      </x:c>
      <x:c r="I57" s="65" t="str">
        <x:v>有关建议分拆极氪并将其独立上市之最新进展</x:v>
      </x:c>
      <x:c r="J57" s="81" t="n">
        <x:v>45372.71344907407</x:v>
      </x:c>
      <x:c r="K57" s="87" t="str">
        <x:v>http://static.cninfo.com.cn/finalpage/2024-03-21/1219373257.PDF</x:v>
      </x:c>
      <x:c r="L57" s="49" t="str">
        <x:v>第1页</x:v>
      </x:c>
      <x:c r="M57"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本公佈僅供參考，並不構成且不擬作為在香港、美國或其他地區邀請或要約收購、購買 或認購證券，或要約出售或招攬任何要約購買證券。在並無登記或不獲豁免登記情況 下，證券不得在美國提呈發售或出售。本公佈及其所載任何內容概不構成任何合約或承 諾之基準。有關發售或邀請將僅可以招股章程形式作出，而有關招股章程可自發行人取 得，當中將載有發行人及管理層以及財務報表之詳細資料，且僅可在該等要約或邀請可 能合法有效作出之司法權區作出。 GEELY AUTO MOBILE HOL DINGS LIMI TED 175 80175 有關建議分拆極氪並將其獨立上市之 最新進展 茲提述吉利汽車控股有限公司 （ 「本公司」 ） 日期為二零二二年十月三十一日、二零二二年 十二月十三日、二零二三年八月二十五日、二零二三年十一月十日及二零二三年十一月 二十六日之公佈 （統稱 「該等公佈」 ） ，內容有關建議分拆及極氪發售。除文義另有所指 外，本公佈所用詞彙與該等公佈所界定者具有相同涵義。 董事會宣佈，於二零二四年三月二十日 （紐約時間） ，極氪遵照美國－九三三年 證券法 （經修訂） 就極氪發售向美國證交會公開提交其註冊聲明之第3號修訂 （ 「經更新註冊聲明」 ） 。經更新註冊聲明之副本可於 https://w…</x:v>
      </x:c>
      <x:c r="N57" s="51" t="str">
        <x:v>0-无关</x:v>
      </x:c>
      <x:c r="O57" s="51" t="str">
        <x:v>否</x:v>
      </x:c>
      <x:c r="P57" s="71" t="str">
        <x:v>《有关建议分拆极氪并将其独立上市之最新进展》（第1页）内容为“香港交易及結算所有限公司及香港聯合交易所有限公司對本公佈之內容概不負責，對其 準確性或完整性亦不發表任何聲明，並表明不會就因本公佈全部或任何部份內容而產生…”，属于治理、证券程序或其他非核心事项，不能帮助判断“极氪与领克渠道协同能否转化为销售效率提升”，故判0级。</x:v>
      </x:c>
      <x:c r="Q57" s="51" t="str">
        <x:v>FIN-R01</x:v>
      </x:c>
      <x:c r="R57" s="202" t="n">
        <x:v>46260.92880688657</x:v>
      </x:c>
    </x:row>
    <x:row r="58" ht="72" customHeight="1">
      <x:c r="A58" s="50" t="str">
        <x:v>V4-R-Q008-C05</x:v>
      </x:c>
      <x:c r="B58" s="50" t="str">
        <x:v>V4-E-Q008-C05</x:v>
      </x:c>
      <x:c r="C58" s="50" t="str">
        <x:v>V4-Q008</x:v>
      </x:c>
      <x:c r="D58" s="49" t="str">
        <x:v>小鹏汽车</x:v>
      </x:c>
      <x:c r="E58" s="50" t="str">
        <x:v>09868</x:v>
      </x:c>
      <x:c r="F58" s="81" t="n">
        <x:v>46260.75</x:v>
      </x:c>
      <x:c r="G58" s="65" t="str">
        <x:v>新车型上市后的交付放量能否推动季度销量持续增长</x:v>
      </x:c>
      <x:c r="H58" s="50" t="str">
        <x:v>DOC-EVT-09868-00086</x:v>
      </x:c>
      <x:c r="I58" s="65" t="str">
        <x:v>自愿公告 2025年3月及第一季度智能车交付数据</x:v>
      </x:c>
      <x:c r="J58" s="81" t="n">
        <x:v>45748.34893518518</x:v>
      </x:c>
      <x:c r="K58" s="87" t="str">
        <x:v>http://static.cninfo.com.cn/finalpage/2025-04-01/1222978782.PDF</x:v>
      </x:c>
      <x:c r="L58" s="49" t="str">
        <x:v>第1页</x:v>
      </x:c>
      <x:c r="M58"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年3 月及第一季度智能車交付數據 XPeng Inc. （「本公司」或「小鵬汽車」）之董事會欣然宣佈其2025年3月及第一季度 車輛交付數據。 2025年3月，小鵬汽車共交付智能電動汽車33,205輛，同比增長268%。小鵬汽車已連續 第五個月交付量超過了30,000輛。2025年第一季度，小鵬汽車共累計交付94,008輛智能 電動車，同比增長331%。 2025年3月13日，在其2025年春季發佈會上，小鵬汽車發佈了2025款小鵬G6和2025款小 鵬G9。兩款升級版車型均全系標配5C超充AI電池和圖靈AI智駕功能。 2025年3月，小鵬汽車智能導航輔助駕駛（XNGP）的城區智駕月度活躍用戶滲透率達 86%。同時，小鵬汽車通過進入印度尼西亞市場擴大其全球業務佈局。 本公司股東及潛在投資者於買賣本公司證券時，務請謹慎行事。 承董事會命 XPeng Inc. 董事長 何小鵬 香港，2025年4月1日（星期二） 本公告載有前瞻性陳述。前瞻性陳述涉及固有風險和不確定性。多種因素可能導致實際結果與 任何前瞻性陳述中的結果產生實質性差異，包括但不限於以下方面： 本公司的目標及戰略；本 公司的拓展計劃；其未來的業務發展、財務狀況和經營成果；中國智能電動汽車市場的…</x:v>
      </x:c>
      <x:c r="N58" s="51" t="str">
        <x:v>3-直接相关</x:v>
      </x:c>
      <x:c r="O58" s="51" t="str">
        <x:v>是</x:v>
      </x:c>
      <x:c r="P58" s="71" t="str">
        <x:v>《自愿公告 2025年3月及第一季度智能车交付数据》（第1页）直接披露“1 香港交易及結算所有限公司及香港聯合交易所有限公司對本公告之內容概不負責，對其準確性或完整性亦 不發表聲明，並明確表示概不會就本公告全部或任何部分內容而…”，与“新车型上市后的交付放量能否推动季度销量持续增长”的核心变量或结果同口径，可直接用于判断，故判3级。</x:v>
      </x:c>
      <x:c r="Q58" s="51" t="str">
        <x:v>FIN-R01</x:v>
      </x:c>
      <x:c r="R58" s="202" t="n">
        <x:v>46260.92880688657</x:v>
      </x:c>
    </x:row>
    <x:row r="59" ht="72" customHeight="1">
      <x:c r="A59" s="50" t="str">
        <x:v>V4-R-Q008-C01</x:v>
      </x:c>
      <x:c r="B59" s="50" t="str">
        <x:v>V4-E-Q008-C01</x:v>
      </x:c>
      <x:c r="C59" s="50" t="str">
        <x:v>V4-Q008</x:v>
      </x:c>
      <x:c r="D59" s="49" t="str">
        <x:v>小鹏汽车</x:v>
      </x:c>
      <x:c r="E59" s="50" t="str">
        <x:v>09868</x:v>
      </x:c>
      <x:c r="F59" s="81" t="n">
        <x:v>46260.75</x:v>
      </x:c>
      <x:c r="G59" s="65" t="str">
        <x:v>新车型上市后的交付放量能否推动季度销量持续增长</x:v>
      </x:c>
      <x:c r="H59" s="50" t="str">
        <x:v>DOC-EVT-09868-00178</x:v>
      </x:c>
      <x:c r="I59" s="65" t="str">
        <x:v>自愿公告 2026年6月及第二季度智能车交付数据</x:v>
      </x:c>
      <x:c r="J59" s="81" t="n">
        <x:v>46204.78644675926</x:v>
      </x:c>
      <x:c r="K59" s="87" t="str">
        <x:v>http://static.cninfo.com.cn/finalpage/2026-07-01/1225403961.PDF</x:v>
      </x:c>
      <x:c r="L59" s="49" t="str">
        <x:v>第1页</x:v>
      </x:c>
      <x:c r="M59"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年6 月及第二季度智能車交付數據 XPeng Inc. （「本公司」或「小鵬集團」）之董事會欣然宣佈其2026年6月及第二季度 車輛交付數據。 2026年6月，小鵬集團共交付新車 40,126輛，第二季度 累計交付量達 103,295輛。GX 2026年6月交付量達6,739輛，該車型第10,000輛整車今日正式下線。 本公司預計2026年7月2日於中國發佈小鵬MONA L03，同日開啟預售，並於2026年7月 登陸全球市場。 2026年1至6月，小鵬集團交付的電動汽車，相比内燃機汽車，全生命週期溫室氣體預 計減排逾266萬噸，相當於4,392萬棵小樹十年的碳吸收量。 本公司股東及潛在投資者於買賣本公司證券時，務請謹慎行事。 承董事會命 XPeng Inc. 董事長 何小鵬 香港，2026年7月1日（星期三） 本公告載有前瞻性陳述。前瞻性陳述涉及固有風險和不確定性。多種因素可能導致實際結果與 任何前瞻性陳述中的結果產生實質性差異，包括但不限於以下方面： 本公司的目標及戰略；本 公司的拓展計劃；其未來的業務發展、財務狀況和經營成果；中國智能電動…</x:v>
      </x:c>
      <x:c r="N59" s="51" t="str">
        <x:v>3-直接相关</x:v>
      </x:c>
      <x:c r="O59" s="51" t="str">
        <x:v>是</x:v>
      </x:c>
      <x:c r="P59" s="71" t="str">
        <x:v>《自愿公告 2026年6月及第二季度智能车交付数据》（第1页）直接披露“1 香港交易及結算所有限公司及香港聯合交易所有限公司對本公告之內容概不負責，對其準確性或完整性亦 不發表聲明，並明確表示概不會就本公告全部或任何部分內容而…”，与“新车型上市后的交付放量能否推动季度销量持续增长”的核心变量或结果同口径，可直接用于判断，故判3级。</x:v>
      </x:c>
      <x:c r="Q59" s="51" t="str">
        <x:v>FIN-R01</x:v>
      </x:c>
      <x:c r="R59" s="202" t="n">
        <x:v>46260.92880688657</x:v>
      </x:c>
    </x:row>
    <x:row r="60" ht="72" customHeight="1">
      <x:c r="A60" s="50" t="str">
        <x:v>V4-R-Q008-C04</x:v>
      </x:c>
      <x:c r="B60" s="50" t="str">
        <x:v>V4-E-Q008-C04</x:v>
      </x:c>
      <x:c r="C60" s="50" t="str">
        <x:v>V4-Q008</x:v>
      </x:c>
      <x:c r="D60" s="49" t="str">
        <x:v>小鹏汽车</x:v>
      </x:c>
      <x:c r="E60" s="50" t="str">
        <x:v>09868</x:v>
      </x:c>
      <x:c r="F60" s="81" t="n">
        <x:v>46260.75</x:v>
      </x:c>
      <x:c r="G60" s="65" t="str">
        <x:v>新车型上市后的交付放量能否推动季度销量持续增长</x:v>
      </x:c>
      <x:c r="H60" s="50" t="str">
        <x:v>DOC-EVT-09868-00154</x:v>
      </x:c>
      <x:c r="I60" s="65" t="str">
        <x:v>自愿公告 2026年3月及第一季度智能车交付数据</x:v>
      </x:c>
      <x:c r="J60" s="81" t="n">
        <x:v>46113.72652777778</x:v>
      </x:c>
      <x:c r="K60" s="87" t="str">
        <x:v>http://static.cninfo.com.cn/finalpage/2026-04-01/1225071189.PDF</x:v>
      </x:c>
      <x:c r="L60" s="49" t="str">
        <x:v>第1页</x:v>
      </x:c>
      <x:c r="M60"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 3 月及第一季度智能車交付數據 XPeng Inc. （「本公司」或「小鵬集團」）之董事會欣然宣佈其2026年3月及第一季度 車輛交付數據。 2026年3月，小鵬集團共交付新車27,415輛，較上一個月增長80%。2026年第一季度， 小鵬集團的累計交付量為62,682輛。 2026年3月25日，小鵬集團就拉丁美洲發佈三年戰略，並正式進入墨西哥市場，標志其 全球擴張的重要里程碑。在此戰略下，本 公司計劃於2027年推出純電動及增程電動車 型，為擴大市場版圖奠定基礎，並目標於2028年在當地取得領先地位。 本公司股東及潛在投資者於買賣本公司證券時，務請謹慎行事。 承董事會命 XPeng Inc. 董事長 何小鵬 香港，2026年4月1日（星期三） 本公告載有前瞻性陳述。前瞻性陳述涉及固有風險和不確定性。多種因素可能導致實際結果與 任何前瞻性陳述中的結果產生實質性差異，包括但不限於以下方面：本公司的目標及戰略； 本 公司的拓展計劃；其未來的業務發展、財務狀況和經營成果；中國智能電動汽車市場的發展 趨 勢和規模；本公司對於其產品及服務的需求及市…</x:v>
      </x:c>
      <x:c r="N60" s="51" t="str">
        <x:v>3-直接相关</x:v>
      </x:c>
      <x:c r="O60" s="51" t="str">
        <x:v>是</x:v>
      </x:c>
      <x:c r="P60" s="71" t="str">
        <x:v>《自愿公告 2026年3月及第一季度智能车交付数据》（第1页）直接披露“1 香港交易及結算所有限公司及香港聯合交易所有限公司對本公告之內容概不負責，對其準確性或完整性亦 不發表聲明，並明確表示概不會就本公告全部或任何部分內容而…”，与“新车型上市后的交付放量能否推动季度销量持续增长”的核心变量或结果同口径，可直接用于判断，故判3级。</x:v>
      </x:c>
      <x:c r="Q60" s="51" t="str">
        <x:v>FIN-R01</x:v>
      </x:c>
      <x:c r="R60" s="202" t="n">
        <x:v>46260.92880688657</x:v>
      </x:c>
    </x:row>
    <x:row r="61" ht="72" customHeight="1">
      <x:c r="A61" s="50" t="str">
        <x:v>V4-R-Q008-C06</x:v>
      </x:c>
      <x:c r="B61" s="50" t="str">
        <x:v>V4-E-Q008-C06</x:v>
      </x:c>
      <x:c r="C61" s="50" t="str">
        <x:v>V4-Q008</x:v>
      </x:c>
      <x:c r="D61" s="49" t="str">
        <x:v>小鹏汽车</x:v>
      </x:c>
      <x:c r="E61" s="50" t="str">
        <x:v>09868</x:v>
      </x:c>
      <x:c r="F61" s="81" t="n">
        <x:v>46260.75</x:v>
      </x:c>
      <x:c r="G61" s="65" t="str">
        <x:v>新车型上市后的交付放量能否推动季度销量持续增长</x:v>
      </x:c>
      <x:c r="H61" s="50" t="str">
        <x:v>DOC-EVT-09868-00158</x:v>
      </x:c>
      <x:c r="I61" s="65" t="str">
        <x:v>2025年度报告</x:v>
      </x:c>
      <x:c r="J61" s="81" t="n">
        <x:v>46128.769594907404</x:v>
      </x:c>
      <x:c r="K61" s="87" t="str">
        <x:v>http://static.cninfo.com.cn/finalpage/2026-04-16/1225111807.PDF</x:v>
      </x:c>
      <x:c r="L61" s="49" t="str">
        <x:v>第1页</x:v>
      </x:c>
      <x:c r="M61" s="65" t="str">
        <x:v>XPeng Inc.2025 年度報告 2025 年度報告 * 僅供識別 XPeng Inc. （於開曼群島註冊成立以不同投票權控制的有限公司） 紐交所代號 : XPEV 港交所代號 : 9868 小鵬集團* 小鵬集團*</x:v>
      </x:c>
      <x:c r="N61" s="51" t="str">
        <x:v>1-弱相关</x:v>
      </x:c>
      <x:c r="O61" s="51" t="str">
        <x:v>否</x:v>
      </x:c>
      <x:c r="P61" s="71" t="str">
        <x:v>《2025年度报告》（第1页）仅披露“XPeng Inc.2025 年度報告 2025 年度報告 * 僅供識別 XPeng Inc. （於開曼群島註冊成立以不同投票權控制的有限公司） 紐交所代…”，虽与公司经营或相邻主题有关，但不足以验证“新车型上市后的交付放量能否推动季度销量持续增长”的关键路径，故判1级。</x:v>
      </x:c>
      <x:c r="Q61" s="51" t="str">
        <x:v>FIN-R01</x:v>
      </x:c>
      <x:c r="R61" s="202" t="n">
        <x:v>46260.92880688657</x:v>
      </x:c>
    </x:row>
    <x:row r="62" ht="72" customHeight="1">
      <x:c r="A62" s="50" t="str">
        <x:v>V4-R-Q008-C07</x:v>
      </x:c>
      <x:c r="B62" s="50" t="str">
        <x:v>V4-E-Q008-C07</x:v>
      </x:c>
      <x:c r="C62" s="50" t="str">
        <x:v>V4-Q008</x:v>
      </x:c>
      <x:c r="D62" s="49" t="str">
        <x:v>小鹏汽车</x:v>
      </x:c>
      <x:c r="E62" s="50" t="str">
        <x:v>09868</x:v>
      </x:c>
      <x:c r="F62" s="81" t="n">
        <x:v>46260.75</x:v>
      </x:c>
      <x:c r="G62" s="65" t="str">
        <x:v>新车型上市后的交付放量能否推动季度销量持续增长</x:v>
      </x:c>
      <x:c r="H62" s="50" t="str">
        <x:v>DOC-EVT-09868-00090</x:v>
      </x:c>
      <x:c r="I62" s="65" t="str">
        <x:v>2024年度报告</x:v>
      </x:c>
      <x:c r="J62" s="81" t="n">
        <x:v>45763.319548611114</x:v>
      </x:c>
      <x:c r="K62" s="87" t="str">
        <x:v>http://static.cninfo.com.cn/finalpage/2025-04-16/1223106245.PDF</x:v>
      </x:c>
      <x:c r="L62" s="49" t="str">
        <x:v>第4页</x:v>
      </x:c>
      <x:c r="M62" s="65" t="str">
        <x:v>ࠅ 2 小鵬汽車有限公司 ڌ ࿚Ї12˜31ܓ 2020ϋ 2021ϋ 2022ϋ 2023ϋ 2024ϋ ɛ͏࿆ɷʩ ᐼϗɝ 5,844,321 20,988,131 26,855,119 30,676,067 40,866,309 ᐼቖਯϓ͉ (5,578,332) (18,365,576) (23,766,728) (30,224,912) (35,020,541) ˣ๐л 265,989 2,622,555 3,088,391 451,155 5,845,768 ຾ᐄක˕ᐼᕘ (4,646,555) (9,419,700) (11,903,082) (11,835,516) (13,327,378) ຾ᐄᑦฦ (4,293,736) (6,579,405) (8,705,523) (10,889,434) (6,658,138) ٙ ᑦฦ (2,730,762) (4,837,106) (9,118,358) (10,393,705) (5,830,975) ଋᑦฦ (2,731,985) (4,863,096) (9,138,972) (10,375,775) (5,790,264) ؇ٰٰ cᏐЦଋᑦฦ (4,889,729) (4,863,096) (9,138,972) (10,375,775) (5,790,264) ؇ٰٰ cᏐЦၝΥᑦฦᐼᕘ (3,456,418) (5,781,264) (5,946,399) (10,089,161) (5,52…</x:v>
      </x:c>
      <x:c r="N62" s="51" t="str">
        <x:v>1-弱相关</x:v>
      </x:c>
      <x:c r="O62" s="51" t="str">
        <x:v>否</x:v>
      </x:c>
      <x:c r="P62" s="71" t="str">
        <x:v>《2024年度报告》（第4页）仅披露“ࠅ 2 小鵬汽車有限公司 ڌ ࿚Ї12˜31ܓ 2020ϋ 2021ϋ 2022ϋ 2023ϋ 2024ϋ ɛ͏࿆ɷʩ ᐼϗɝ 5,844,321 2…”，虽与公司经营或相邻主题有关，但不足以验证“新车型上市后的交付放量能否推动季度销量持续增长”的关键路径，故判1级。</x:v>
      </x:c>
      <x:c r="Q62" s="51" t="str">
        <x:v>FIN-R01</x:v>
      </x:c>
      <x:c r="R62" s="202" t="n">
        <x:v>46260.92880688657</x:v>
      </x:c>
    </x:row>
    <x:row r="63" ht="72" customHeight="1">
      <x:c r="A63" s="50" t="str">
        <x:v>V4-R-Q008-C02</x:v>
      </x:c>
      <x:c r="B63" s="50" t="str">
        <x:v>V4-E-Q008-C02</x:v>
      </x:c>
      <x:c r="C63" s="50" t="str">
        <x:v>V4-Q008</x:v>
      </x:c>
      <x:c r="D63" s="49" t="str">
        <x:v>小鹏汽车</x:v>
      </x:c>
      <x:c r="E63" s="50" t="str">
        <x:v>09868</x:v>
      </x:c>
      <x:c r="F63" s="81" t="n">
        <x:v>46260.75</x:v>
      </x:c>
      <x:c r="G63" s="65" t="str">
        <x:v>新车型上市后的交付放量能否推动季度销量持续增长</x:v>
      </x:c>
      <x:c r="H63" s="50" t="str">
        <x:v>DOC-EVT-09868-00129</x:v>
      </x:c>
      <x:c r="I63" s="65" t="str">
        <x:v>自愿公告 2025年9月及第三季度智能车交付数据</x:v>
      </x:c>
      <x:c r="J63" s="81" t="n">
        <x:v>45932.99998842592</x:v>
      </x:c>
      <x:c r="K63" s="87" t="str">
        <x:v>http://static.cninfo.com.cn/finalpage/2025-10-02/1224699173.PDF</x:v>
      </x:c>
      <x:c r="L63" s="49" t="str">
        <x:v>第1页</x:v>
      </x:c>
      <x:c r="M63"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年9 月及第三季度智能車交付數據 XPeng Inc. （「本公司」或「小鵬汽車」）之董事會欣然宣佈其2025年9月及第三季度 車輛交付數據。 2025年9月，小鵬汽車創記錄交付智能電動汽車41,581 輛，同比增長95%，較上月增長 10%，超過每月交付40,000輛的里程碑。2025年第三季度，小鵬汽車共交付智能電動汽 車116,007輛，同比增長149% 。2025年前九個月，小鵬汽車累計交付量達到313,196 輛， 較2024年同期增長218%。 2025年9月，第10,000輛全新小鵬P7正式下線，小鵬P7成為本公司車型中在新生產線上 最快達成40JPH（每小時下線40輛車）的車型。 2025年9月，小鵬汽車連續三年獲得MSCI ESG 評級「AAA」全球最高評級，維持本公 司在全球汽車行業的領先地位。 2025年9月，小鵬汽車智能導航輔助駕駛（XNGP ）的城區智駕月度活躍用戶滲透率達 83%。本公司已推出VLA 驅動版XNGP，具備全場景車位到車位智能輔助駕駛系統 （ADAS）功能，並已首先應用於全新小鵬P7和G7 Ultra車型。 本公司股東及潛在投資者於買賣本公司證券時，務請謹慎行事。 承董事會命 XPeng Inc. 董事長 何…</x:v>
      </x:c>
      <x:c r="N63" s="51" t="str">
        <x:v>3-直接相关</x:v>
      </x:c>
      <x:c r="O63" s="51" t="str">
        <x:v>是</x:v>
      </x:c>
      <x:c r="P63" s="71" t="str">
        <x:v>《自愿公告 2025年9月及第三季度智能车交付数据》（第1页）直接披露“1 香港交易及結算所有限公司及香港聯合交易所有限公司對本公告之內容概不負責，對其準確性或完整性亦 不發表聲明，並明確表示概不會就本公告全部或任何部分內容而…”，与“新车型上市后的交付放量能否推动季度销量持续增长”的核心变量或结果同口径，可直接用于判断，故判3级。</x:v>
      </x:c>
      <x:c r="Q63" s="51" t="str">
        <x:v>FIN-R01</x:v>
      </x:c>
      <x:c r="R63" s="202" t="n">
        <x:v>46260.92880688657</x:v>
      </x:c>
    </x:row>
    <x:row r="64" ht="72" customHeight="1">
      <x:c r="A64" s="50" t="str">
        <x:v>V4-R-Q008-C03</x:v>
      </x:c>
      <x:c r="B64" s="50" t="str">
        <x:v>V4-E-Q008-C03</x:v>
      </x:c>
      <x:c r="C64" s="50" t="str">
        <x:v>V4-Q008</x:v>
      </x:c>
      <x:c r="D64" s="49" t="str">
        <x:v>小鹏汽车</x:v>
      </x:c>
      <x:c r="E64" s="50" t="str">
        <x:v>09868</x:v>
      </x:c>
      <x:c r="F64" s="81" t="n">
        <x:v>46260.75</x:v>
      </x:c>
      <x:c r="G64" s="65" t="str">
        <x:v>新车型上市后的交付放量能否推动季度销量持续增长</x:v>
      </x:c>
      <x:c r="H64" s="50" t="str">
        <x:v>DOC-EVT-09868-00073</x:v>
      </x:c>
      <x:c r="I64" s="65" t="str">
        <x:v>自愿公告2024年12 月及第四季度智能车交付数据</x:v>
      </x:c>
      <x:c r="J64" s="81" t="n">
        <x:v>45659.79876157407</x:v>
      </x:c>
      <x:c r="K64" s="87" t="str">
        <x:v>http://static.cninfo.com.cn/finalpage/2025-01-02/1222207381.PDF</x:v>
      </x:c>
      <x:c r="L64" s="49" t="str">
        <x:v>第1页</x:v>
      </x:c>
      <x:c r="M64"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2024 年12 月及第四季度智能車交付數據 XPeng Inc. （「本公司」或「小鵬汽車」）之董事會欣然宣佈其2024年12月及第四季度 車輛交付數據。 2024年12月，小鵬汽車共交付智能電動汽車36,695輛，同比增長82%，環比增長19%。 其中，小鵬MONA M03交付量超過了15,000輛，小鵬P7+交付量超過了10,000輛。2024 年第四季度，小鵬汽車累計交付91,507輛智能電動汽車，較去年同期增長52%。2024年 全年總交付量達到190,068輛，較前一年增長34%。 小鵬MONA M03自上市以來，連續第四個月交付量超過了10,000輛。小鵬MONA M03 自上市以來，僅用四個月就實現了第50,000輛車的生產里程碑，創下了小鵬汽車最快生 產推出的新紀錄，並持續打破中國新興汽車製造商中純電電動汽車生產的交付紀錄。 2024年12月，小鵬P7+ 推出了第二次OTA升級，同時開啟了XOS 5.5.0的公測。最新版 本的XOS帶來了先進的智能駕駛功能，包括業內首個由統一軟件套件驅動 的「門到門」 的智能輔助駕駛系統（ADAS），確保在停車、高速公路和城市道路等不同駕駛場景中 的無縫體驗。 2024年12月，小鵬汽車智能導航輔助駕駛（XN…</x:v>
      </x:c>
      <x:c r="N64" s="51" t="str">
        <x:v>3-直接相关</x:v>
      </x:c>
      <x:c r="O64" s="51" t="str">
        <x:v>是</x:v>
      </x:c>
      <x:c r="P64" s="71" t="str">
        <x:v>《自愿公告2024年12 月及第四季度智能车交付数据》（第1页）直接披露“1 香港交易及結算所有限公司及香港聯合交易所有限公司對本公告之內容概不負責，對其準確性或完整性亦 不發表聲明，並明確表示概不會就本公告全部或任何部分內容而…”，与“新车型上市后的交付放量能否推动季度销量持续增长”的核心变量或结果同口径，可直接用于判断，故判3级。</x:v>
      </x:c>
      <x:c r="Q64" s="51" t="str">
        <x:v>FIN-R01</x:v>
      </x:c>
      <x:c r="R64" s="202" t="n">
        <x:v>46260.92880688657</x:v>
      </x:c>
    </x:row>
    <x:row r="65" ht="72" customHeight="1">
      <x:c r="A65" s="50" t="str">
        <x:v>V4-R-Q008-C08</x:v>
      </x:c>
      <x:c r="B65" s="50" t="str">
        <x:v>V4-E-Q008-C08</x:v>
      </x:c>
      <x:c r="C65" s="50" t="str">
        <x:v>V4-Q008</x:v>
      </x:c>
      <x:c r="D65" s="49" t="str">
        <x:v>小鹏汽车</x:v>
      </x:c>
      <x:c r="E65" s="50" t="str">
        <x:v>09868</x:v>
      </x:c>
      <x:c r="F65" s="81" t="n">
        <x:v>46260.75</x:v>
      </x:c>
      <x:c r="G65" s="65" t="str">
        <x:v>新车型上市后的交付放量能否推动季度销量持续增长</x:v>
      </x:c>
      <x:c r="H65" s="50" t="str">
        <x:v>DOC-EVT-09868-00002</x:v>
      </x:c>
      <x:c r="I65" s="65" t="str">
        <x:v>持续关连交易 与广东汇天签订合作框架协议</x:v>
      </x:c>
      <x:c r="J65" s="81" t="n">
        <x:v>45293.87863425926</x:v>
      </x:c>
      <x:c r="K65" s="87" t="str">
        <x:v>http://static.cninfo.com.cn/finalpage/2024-01-02/1218792795.PDF</x:v>
      </x:c>
      <x:c r="L65" s="49" t="str">
        <x:v>第1页</x:v>
      </x:c>
      <x:c r="M65" s="65" t="str">
        <x:v>1 香港交易及結算所有限公司及香港聯合交易所有限公司對本公告的內容概不負責，對其準確性或完 整性亦不發表任何聲明，並明確表示概不會就因本公告全部或任何部分內容而產生或因倚賴該等內 容而引致的任何損失承擔任何責任。 （於開曼群島註冊成立以不同投票權控制的有限公司） （股份代號：9868） 持續關連交易 與廣東匯天簽訂 合作框架協議 與廣東匯天訂立合作框架協議 董事會宣佈，於2024 年 1 月2 日，廣東小鵬與廣東匯天訂立合作框架協議，據此，廣東小鵬及廣東 匯天同意在飛行汽車的研發、製造、銷售及售後服務方面進行合作，廣東小鵬將為廣東匯天提供研 發服務、技術諮詢服務及銷售代理服務。 上市規則的涵義 截至本公告日期，本公司控股股東何小鵬先生控制 廣東匯天，因此，廣東匯天根據上市規則第 14A.07條構成何小鵬先生的聯繫人及本公司的關連人士。因此，根據上市規則第十四A 章，合作框 架協議項下擬進行的交易構成本公司的持續關連交易。 由於最高年度上限的最高適用百分比率預計將高於 0.1%但低於 5%，因此，根據上市規則第十四A 章，合作框架協議項下擬進行的交易須遵守申報、公告及年度審核規定，惟獲豁免遵守獨立股東批 准規定。 與廣東匯天訂立合作框架協議 背景 截至2021年6月18日，本公司之附屬公司與廣州匯天訂立技術諮詢服務框架協議（「 技術諮詢服 務框架協議」），據此，我們向 廣州匯天提供技術諮詢、技術培訓及技術服務，以及若干運 營支 援服務，包括人力資源管理及服務。技術諮詢服務框架…</x:v>
      </x:c>
      <x:c r="N65" s="51" t="str">
        <x:v>0-无关</x:v>
      </x:c>
      <x:c r="O65" s="51" t="str">
        <x:v>否</x:v>
      </x:c>
      <x:c r="P65" s="71" t="str">
        <x:v>《持续关连交易 与广东汇天签订合作框架协议》（第1页）内容为“1 香港交易及結算所有限公司及香港聯合交易所有限公司對本公告的內容概不負責，對其準確性或完 整性亦不發表任何聲明，並明確表示概不會就因本公告全部或任何部分…”，属于治理、证券程序或其他非核心事项，不能帮助判断“新车型上市后的交付放量能否推动季度销量持续增长”，故判0级。</x:v>
      </x:c>
      <x:c r="Q65" s="51" t="str">
        <x:v>FIN-R01</x:v>
      </x:c>
      <x:c r="R65" s="202" t="n">
        <x:v>46260.92880688657</x:v>
      </x:c>
    </x:row>
    <x:row r="66" ht="72" customHeight="1">
      <x:c r="A66" s="50" t="str">
        <x:v>V4-R-Q009-C05</x:v>
      </x:c>
      <x:c r="B66" s="50" t="str">
        <x:v>V4-E-Q009-C05</x:v>
      </x:c>
      <x:c r="C66" s="50" t="str">
        <x:v>V4-Q009</x:v>
      </x:c>
      <x:c r="D66" s="49" t="str">
        <x:v>小鹏汽车</x:v>
      </x:c>
      <x:c r="E66" s="50" t="str">
        <x:v>09868</x:v>
      </x:c>
      <x:c r="F66" s="81" t="n">
        <x:v>46260.75</x:v>
      </x:c>
      <x:c r="G66" s="65" t="str">
        <x:v>与大众汽车的技术合作能否形成可持续的技术服务收入</x:v>
      </x:c>
      <x:c r="H66" s="50" t="str">
        <x:v>DOC-EVT-09868-00135</x:v>
      </x:c>
      <x:c r="I66" s="65" t="str">
        <x:v>小鹏汽车发布2025年第三季度的未经审计财务业绩</x:v>
      </x:c>
      <x:c r="J66" s="81" t="n">
        <x:v>45978.71258101852</x:v>
      </x:c>
      <x:c r="K66" s="87" t="str">
        <x:v>http://static.cninfo.com.cn/finalpage/2025-11-17/1224809208.PDF</x:v>
      </x:c>
      <x:c r="L66" s="49" t="str">
        <x:v>第1页</x:v>
      </x:c>
      <x:c r="M66" s="65" t="str">
        <x:v>1 ڌ ዄ΂Оப ΂f XPeng Inc. ʮ̡ * ʮ̡ ΅˾໮j 9868 ʃᘄӛԓ೯б 2025ৌਕุᐶ ୋ 13.09ኽᗇՎʿಂ஬ૢԷ Էୋ 571௝ ୋXIVA௅Ͼ̊೯f h ࿚Ї2025ϋ9˜30ɛ͏ ࿆483.3ᄂ ʩ67.9ʩ h ɛ͏࿆ 203.8ϋᄣ̋ 101.8% h މ20.1%d༰2024ϋΝಂɪʺ 4.8ϵʱᓃ h މ13.1%d༰2024ϋΝಂɪʺ 4.5ϵʱᓃ ʕ਷ᄿψ d2025ϋ11˜17˚ { ౽ঐཥਗӛԓ  ౽ঐཥਗӛԓ ʮ ̡XPeng Inc. ʃᘄӛԓ͉ʮ̡˾໮jXPEV˾໮j 9868 ʦ˂ʮбՉ࿚Ї2025 ϋ9˜30ৌਕุᐶf ࿚Ї2025ϋ9˜30ࠅ 2025ϋ ܓ֙ 2025ϋ ܓ֙ 2025ϋ ܓ֙ 2024ϋ ܓ֙ 2024ϋ ܓ֙ 2024ϋ ܓ֙ ᐼʹ˹ඎ 116,007 103,181 94,008 91,507 46,533 30,207 h 2025ܓ֙ӛԓᐼʹ˹ඎމ116,007ሿd༰2024ٙ46,533ሿᄣ̋ 149.3%f h ࿚Ї2025ϋ9˜30˚dྼ᜗ቖਯၣഖ ΍Ϟ690dᔧႊ 242̹f</x:v>
      </x:c>
      <x:c r="N66" s="51" t="str">
        <x:v>1-弱相关</x:v>
      </x:c>
      <x:c r="O66" s="51" t="str">
        <x:v>否</x:v>
      </x:c>
      <x:c r="P66" s="71" t="str">
        <x:v>《小鹏汽车发布2025年第三季度的未经审计财务业绩》（第1页）仅披露“1 ڌ ዄ΂Оப ΂f XPeng Inc. ʮ̡ * ʮ̡ ΅˾໮j 9868 ʃᘄӛԓ೯б 2025ৌਕุᐶ ୋ 13.09ኽᗇՎʿಂ஬ૢԷ Էୋ…”，虽与公司经营或相邻主题有关，但不足以验证“与大众汽车的技术合作能否形成可持续的技术服务收入”的关键路径，故判1级。</x:v>
      </x:c>
      <x:c r="Q66" s="51" t="str">
        <x:v>FIN-R01</x:v>
      </x:c>
      <x:c r="R66" s="202" t="n">
        <x:v>46260.92880688657</x:v>
      </x:c>
    </x:row>
    <x:row r="67" ht="72" customHeight="1">
      <x:c r="A67" s="50" t="str">
        <x:v>V4-R-Q009-C01</x:v>
      </x:c>
      <x:c r="B67" s="50" t="str">
        <x:v>V4-E-Q009-C01</x:v>
      </x:c>
      <x:c r="C67" s="50" t="str">
        <x:v>V4-Q009</x:v>
      </x:c>
      <x:c r="D67" s="49" t="str">
        <x:v>小鹏汽车</x:v>
      </x:c>
      <x:c r="E67" s="50" t="str">
        <x:v>09868</x:v>
      </x:c>
      <x:c r="F67" s="81" t="n">
        <x:v>46260.75</x:v>
      </x:c>
      <x:c r="G67" s="65" t="str">
        <x:v>与大众汽车的技术合作能否形成可持续的技术服务收入</x:v>
      </x:c>
      <x:c r="H67" s="50" t="str">
        <x:v>DOC-EVT-09868-00009</x:v>
      </x:c>
      <x:c r="I67" s="65" t="str">
        <x:v>自愿公告 与大众汽车集团签订战略技术合作联合开发协议及订立联合采购计划</x:v>
      </x:c>
      <x:c r="J67" s="81" t="n">
        <x:v>45351.337743055556</x:v>
      </x:c>
      <x:c r="K67" s="87" t="str">
        <x:v>http://static.cninfo.com.cn/finalpage/2024-02-29/1219211448.PDF</x:v>
      </x:c>
      <x:c r="L67" s="49" t="str">
        <x:v>第1页</x:v>
      </x:c>
      <x:c r="M67"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與大眾汽車集團簽訂戰略技術合作聯合開發協議及訂立聯合採購計劃 XPeng Inc. （「本公司」或「小鵬汽車」）與大眾汽車集團共同宣佈，繼小鵬汽車日期 為2023年7月26日及2023年12月6日有關大眾收購小鵬汽車4.99%股份及雙方達成戰略技 術合作框架協議的相關公告（「該等公告」）後，小鵬汽車與大眾汽車集團簽訂平臺 與軟件戰略技術合作聯合開發協議（「聯合開發協議」），標誌著雙方戰略合作取得 里程碑式重大進展。聯合開發協議的簽訂不僅將加速兩款B級純電動汽車的聯合研發， 也為雙方更廣泛、深入的戰略合作奠定了堅實的基礎。 除另有界定者外，本公告所用 詞彙與該等公告所界定者具有相同涵義。 作為聯合開發協議的重要組成部分，小鵬 汽車與大眾汽車還就雙方車型及平臺的共用 零部件訂立了聯合採購計劃。通過整合雙方規模優勢以及依託大眾汽車集團世界級的 供應鏈能力，聯合採購計劃旨在合力降低平臺成本，充分發揮戰略合作的協同效應， 提升雙方共同開發的B級純電車型的產品力。 “聯合開發協議的簽署標誌著我們與大眾汽車集團的戰略合作的又一重大里程碑。大 眾汽車集團與小鵬汽車之間的戰略合作模式在汽車行業沒有先例可循，雙方對於戰略 合作的深度共識和過去八個月來雙方研發團隊間締造的堅固信任紐…</x:v>
      </x:c>
      <x:c r="N67" s="51" t="str">
        <x:v>2-间接相关</x:v>
      </x:c>
      <x:c r="O67" s="51" t="str">
        <x:v>是</x:v>
      </x:c>
      <x:c r="P67" s="71" t="str">
        <x:v>《自愿公告 与大众汽车集团签订战略技术合作联合开发协议及订立联合采购…》（第1页）披露“1 香港交易及結算所有限公司及香港聯合交易所有限公司對本公告之內容概不負責，對其準確性或完整性亦 不發表聲明，並明確表示概不會就本公告全部或任何部分內容而…”，可建立公告事项到“与大众汽车的技术合作能否形成可持续的技术服务收入”的一阶业务传导链；但未直接给出最终结果，故判2级。</x:v>
      </x:c>
      <x:c r="Q67" s="51" t="str">
        <x:v>FIN-R01</x:v>
      </x:c>
      <x:c r="R67" s="202" t="n">
        <x:v>46260.92880688657</x:v>
      </x:c>
    </x:row>
    <x:row r="68" ht="72" customHeight="1">
      <x:c r="A68" s="50" t="str">
        <x:v>V4-R-Q009-C02</x:v>
      </x:c>
      <x:c r="B68" s="50" t="str">
        <x:v>V4-E-Q009-C02</x:v>
      </x:c>
      <x:c r="C68" s="50" t="str">
        <x:v>V4-Q009</x:v>
      </x:c>
      <x:c r="D68" s="49" t="str">
        <x:v>小鹏汽车</x:v>
      </x:c>
      <x:c r="E68" s="50" t="str">
        <x:v>09868</x:v>
      </x:c>
      <x:c r="F68" s="81" t="n">
        <x:v>46260.75</x:v>
      </x:c>
      <x:c r="G68" s="65" t="str">
        <x:v>与大众汽车的技术合作能否形成可持续的技术服务收入</x:v>
      </x:c>
      <x:c r="H68" s="50" t="str">
        <x:v>DOC-EVT-09868-00117</x:v>
      </x:c>
      <x:c r="I68" s="65" t="str">
        <x:v>自愿公告 小鹏汽车与大众汽车集团签订扩大电子电气架构技术战略合作的协议</x:v>
      </x:c>
      <x:c r="J68" s="81" t="n">
        <x:v>45884.34873842593</x:v>
      </x:c>
      <x:c r="K68" s="87" t="str">
        <x:v>http://static.cninfo.com.cn/finalpage/2025-08-15/1224488608.PDF</x:v>
      </x:c>
      <x:c r="L68" s="49" t="str">
        <x:v>第1页</x:v>
      </x:c>
      <x:c r="M68"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小鵬汽車與大眾汽車集團簽訂擴大電子電氣架構技術戰略合作的協議 茲提述XPeng Inc. （「本公司」或「小鵬汽車」）日期為2024年7月22日有關電子電氣 架構技術戰略合作聯合開發協議的公告。小鵬汽車與大眾汽車集團共同宣佈，繼小鵬 汽車與大眾汽車集團於2024年7月22日簽訂電子電氣架構技術戰略合作聯合開發協議後 （「聯合開發協議」），雙方聯合開發的行業領先的電子電氣架構正以「中國速度」 加速開發，並取得了項目關鍵的里程碑。基於雙方對於擴大電子電氣架構的應用範圍， 在大眾集團實現跨平臺跨動力能源形式的電子電氣架構平臺化的共識，雙方已簽訂擴 大電子電氣架構技術戰略合作的協議（「 擴大合作協議」）。該擴大合作協定的簽署 標誌著雙方聯合開發的行業領先的電子電氣架構不 僅將集成到大眾在中國市場純電車 型平臺，也將部署到大眾在中國市場的燃油和插電混動車型平臺，雙方的技術 戰略合 作將擴展到更廣闊的市場。 同時，這也將加速實現大眾汽車集團 軟件定義汽車的戰略，加強大眾汽車集團車型的 全球競爭力。並通過電子電氣架構平臺化實現軟件的快速迭代和遠程升級，大幅度縮 短車型的開發週期。 雙方研發團隊堅持極致的平臺化設計理念，設計並驗證了雙方為純電 車型平臺開發的 電子電氣架構也能…</x:v>
      </x:c>
      <x:c r="N68" s="51" t="str">
        <x:v>2-间接相关</x:v>
      </x:c>
      <x:c r="O68" s="51" t="str">
        <x:v>是</x:v>
      </x:c>
      <x:c r="P68" s="71" t="str">
        <x:v>《自愿公告 小鹏汽车与大众汽车集团签订扩大电子电气架构技术战略合作的…》（第1页）披露“1 香港交易及結算所有限公司及香港聯合交易所有限公司對本公告之內容概不負責，對其準確性或完整性亦 不發表聲明，並明確表示概不會就本公告全部或任何部分內容而…”，可建立公告事项到“与大众汽车的技术合作能否形成可持续的技术服务收入”的一阶业务传导链；但未直接给出最终结果，故判2级。</x:v>
      </x:c>
      <x:c r="Q68" s="51" t="str">
        <x:v>FIN-R01</x:v>
      </x:c>
      <x:c r="R68" s="202" t="n">
        <x:v>46260.92880688657</x:v>
      </x:c>
    </x:row>
    <x:row r="69" ht="72" customHeight="1">
      <x:c r="A69" s="50" t="str">
        <x:v>V4-R-Q009-C06</x:v>
      </x:c>
      <x:c r="B69" s="50" t="str">
        <x:v>V4-E-Q009-C06</x:v>
      </x:c>
      <x:c r="C69" s="50" t="str">
        <x:v>V4-Q009</x:v>
      </x:c>
      <x:c r="D69" s="49" t="str">
        <x:v>小鹏汽车</x:v>
      </x:c>
      <x:c r="E69" s="50" t="str">
        <x:v>09868</x:v>
      </x:c>
      <x:c r="F69" s="81" t="n">
        <x:v>46260.75</x:v>
      </x:c>
      <x:c r="G69" s="65" t="str">
        <x:v>与大众汽车的技术合作能否形成可持续的技术服务收入</x:v>
      </x:c>
      <x:c r="H69" s="50" t="str">
        <x:v>DOC-EVT-09868-00158</x:v>
      </x:c>
      <x:c r="I69" s="65" t="str">
        <x:v>2025年度报告</x:v>
      </x:c>
      <x:c r="J69" s="81" t="n">
        <x:v>46128.769594907404</x:v>
      </x:c>
      <x:c r="K69" s="87" t="str">
        <x:v>http://static.cninfo.com.cn/finalpage/2026-04-16/1225111807.PDF</x:v>
      </x:c>
      <x:c r="L69" s="49" t="str">
        <x:v>第1页</x:v>
      </x:c>
      <x:c r="M69" s="65" t="str">
        <x:v>XPeng Inc.2025 年度報告 2025 年度報告 * 僅供識別 XPeng Inc. （於開曼群島註冊成立以不同投票權控制的有限公司） 紐交所代號 : XPEV 港交所代號 : 9868 小鵬集團* 小鵬集團*</x:v>
      </x:c>
      <x:c r="N69" s="51" t="str">
        <x:v>1-弱相关</x:v>
      </x:c>
      <x:c r="O69" s="51" t="str">
        <x:v>否</x:v>
      </x:c>
      <x:c r="P69" s="71" t="str">
        <x:v>《2025年度报告》（第1页）仅披露“XPeng Inc.2025 年度報告 2025 年度報告 * 僅供識別 XPeng Inc. （於開曼群島註冊成立以不同投票權控制的有限公司） 紐交所代…”，虽与公司经营或相邻主题有关，但不足以验证“与大众汽车的技术合作能否形成可持续的技术服务收入”的关键路径，故判1级。</x:v>
      </x:c>
      <x:c r="Q69" s="51" t="str">
        <x:v>FIN-R01</x:v>
      </x:c>
      <x:c r="R69" s="202" t="n">
        <x:v>46260.92880688657</x:v>
      </x:c>
    </x:row>
    <x:row r="70" ht="72" customHeight="1">
      <x:c r="A70" s="50" t="str">
        <x:v>V4-R-Q009-C03</x:v>
      </x:c>
      <x:c r="B70" s="50" t="str">
        <x:v>V4-E-Q009-C03</x:v>
      </x:c>
      <x:c r="C70" s="50" t="str">
        <x:v>V4-Q009</x:v>
      </x:c>
      <x:c r="D70" s="49" t="str">
        <x:v>小鹏汽车</x:v>
      </x:c>
      <x:c r="E70" s="50" t="str">
        <x:v>09868</x:v>
      </x:c>
      <x:c r="F70" s="81" t="n">
        <x:v>46260.75</x:v>
      </x:c>
      <x:c r="G70" s="65" t="str">
        <x:v>与大众汽车的技术合作能否形成可持续的技术服务收入</x:v>
      </x:c>
      <x:c r="H70" s="50" t="str">
        <x:v>DOC-EVT-09868-00047</x:v>
      </x:c>
      <x:c r="I70" s="65" t="str">
        <x:v>自愿公告 小鹏汽车与大众汽车集团签订电子电气架构技术战略合作联合开发协议</x:v>
      </x:c>
      <x:c r="J70" s="81" t="n">
        <x:v>45495.34458333333</x:v>
      </x:c>
      <x:c r="K70" s="87" t="str">
        <x:v>http://static.cninfo.com.cn/finalpage/2024-07-22/1220697504.PDF</x:v>
      </x:c>
      <x:c r="L70" s="49" t="str">
        <x:v>第1页</x:v>
      </x:c>
      <x:c r="M70" s="65" t="str">
        <x:v>產，體現了大眾汽車集團和小鵬汽車在戰略合作夥伴關係 中的深厚互信 和堅定投入。 此外，根據本聯合開發協議，小鵬汽車與大眾汽車集團將積極探索進一步合作 的機會， 以擴大雙方聯合開發的電子電氣架構的應用範圍。雙方對於推廣電子電氣架構戰略合 作達成共識，並期望以此進一步加強戰略合作夥伴關係。 “電子電氣架構合作是我們與大眾汽車集團長期戰略合作夥伴關係在一年內實現的第 三個重要里程碑。憑藉大眾汽車和小鵬汽車的高度信任以及雙方工程師的通力協作， 我們的合作項目的開發進展迅速，並且已經實現了顯著的協同效應。 我非常期待擴大 我們的技術合作範圍並且深化雙贏的戰略合作夥伴關係 ”，小鵬汽車董事長兼首席執 行官何小鵬表示。 大眾汽車集團負責中國區業務的管理董事，大眾汽車集團（中國）董事長兼首 席執行 官貝瑞德表示：“大眾汽車集團與小鵬汽車的緊密合作取得的快速進展，彰顯了雙方 夥伴關係的巨大潛力。雙方貢獻各自技術專長，共同開發先進的電子電氣架構，現在， 我們的合作邁出全新一步。這是大眾汽車集團持續踐行“在中國，為中國”戰略的又 一里程碑，明確聚焦中國客戶需求、推進技術創新。 2026年起，大眾汽車品牌在中國 市場推出的所有純電動車型都將搭載這一強大、高效的電子電氣架構。” 本公司股東及潛在投資者於買賣本公司證券時，務請謹慎行事。</x:v>
      </x:c>
      <x:c r="N70" s="51" t="str">
        <x:v>2-间接相关</x:v>
      </x:c>
      <x:c r="O70" s="51" t="str">
        <x:v>是</x:v>
      </x:c>
      <x:c r="P70" s="71" t="str">
        <x:v>《自愿公告 小鹏汽车与大众汽车集团签订电子电气架构技术战略合作联合开…》（第1页）披露“產，體現了大眾汽車集團和小鵬汽車在戰略合作夥伴關係 中的深厚互信 和堅定投入。 此外，根據本聯合開發協議，小鵬汽車與大眾汽車集團將積極探索進一步合作 的機…”，可建立公告事项到“与大众汽车的技术合作能否形成可持续的技术服务收入”的一阶业务传导链；但未直接给出最终结果，故判2级。</x:v>
      </x:c>
      <x:c r="Q70" s="51" t="str">
        <x:v>FIN-R01</x:v>
      </x:c>
      <x:c r="R70" s="202" t="n">
        <x:v>46260.92880688657</x:v>
      </x:c>
    </x:row>
    <x:row r="71" ht="72" customHeight="1">
      <x:c r="A71" s="50" t="str">
        <x:v>V4-R-Q009-C07</x:v>
      </x:c>
      <x:c r="B71" s="50" t="str">
        <x:v>V4-E-Q009-C07</x:v>
      </x:c>
      <x:c r="C71" s="50" t="str">
        <x:v>V4-Q009</x:v>
      </x:c>
      <x:c r="D71" s="49" t="str">
        <x:v>小鹏汽车</x:v>
      </x:c>
      <x:c r="E71" s="50" t="str">
        <x:v>09868</x:v>
      </x:c>
      <x:c r="F71" s="81" t="n">
        <x:v>46260.75</x:v>
      </x:c>
      <x:c r="G71" s="65" t="str">
        <x:v>与大众汽车的技术合作能否形成可持续的技术服务收入</x:v>
      </x:c>
      <x:c r="H71" s="50" t="str">
        <x:v>DOC-EVT-09868-00090</x:v>
      </x:c>
      <x:c r="I71" s="65" t="str">
        <x:v>2024年度报告</x:v>
      </x:c>
      <x:c r="J71" s="81" t="n">
        <x:v>45763.319548611114</x:v>
      </x:c>
      <x:c r="K71" s="87" t="str">
        <x:v>http://static.cninfo.com.cn/finalpage/2025-04-16/1223106245.PDF</x:v>
      </x:c>
      <x:c r="L71" s="49" t="str">
        <x:v>第4页</x:v>
      </x:c>
      <x:c r="M71" s="65" t="str">
        <x:v>ࠅ 2 小鵬汽車有限公司 ڌ ࿚Ї12˜31ܓ 2020ϋ 2021ϋ 2022ϋ 2023ϋ 2024ϋ ɛ͏࿆ɷʩ ᐼϗɝ 5,844,321 20,988,131 26,855,119 30,676,067 40,866,309 ᐼቖਯϓ͉ (5,578,332) (18,365,576) (23,766,728) (30,224,912) (35,020,541) ˣ๐л 265,989 2,622,555 3,088,391 451,155 5,845,768 ຾ᐄක˕ᐼᕘ (4,646,555) (9,419,700) (11,903,082) (11,835,516) (13,327,378) ຾ᐄᑦฦ (4,293,736) (6,579,405) (8,705,523) (10,889,434) (6,658,138) ٙ ᑦฦ (2,730,762) (4,837,106) (9,118,358) (10,393,705) (5,830,975) ଋᑦฦ (2,731,985) (4,863,096) (9,138,972) (10,375,775) (5,790,264) ؇ٰٰ cᏐЦଋᑦฦ (4,889,729) (4,863,096) (9,138,972) (10,375,775) (5,790,264) ؇ٰٰ cᏐЦၝΥᑦฦᐼᕘ (3,456,418) (5,781,264) (5,946,399) (10,089,161) (5,52…</x:v>
      </x:c>
      <x:c r="N71" s="51" t="str">
        <x:v>1-弱相关</x:v>
      </x:c>
      <x:c r="O71" s="51" t="str">
        <x:v>否</x:v>
      </x:c>
      <x:c r="P71" s="71" t="str">
        <x:v>《2024年度报告》（第4页）仅披露“ࠅ 2 小鵬汽車有限公司 ڌ ࿚Ї12˜31ܓ 2020ϋ 2021ϋ 2022ϋ 2023ϋ 2024ϋ ɛ͏࿆ɷʩ ᐼϗɝ 5,844,321 2…”，虽与公司经营或相邻主题有关，但不足以验证“与大众汽车的技术合作能否形成可持续的技术服务收入”的关键路径，故判1级。</x:v>
      </x:c>
      <x:c r="Q71" s="51" t="str">
        <x:v>FIN-R01</x:v>
      </x:c>
      <x:c r="R71" s="202" t="n">
        <x:v>46260.92880688657</x:v>
      </x:c>
    </x:row>
    <x:row r="72" ht="72" customHeight="1">
      <x:c r="A72" s="50" t="str">
        <x:v>V4-R-Q009-C08</x:v>
      </x:c>
      <x:c r="B72" s="50" t="str">
        <x:v>V4-E-Q009-C08</x:v>
      </x:c>
      <x:c r="C72" s="50" t="str">
        <x:v>V4-Q009</x:v>
      </x:c>
      <x:c r="D72" s="49" t="str">
        <x:v>小鹏汽车</x:v>
      </x:c>
      <x:c r="E72" s="50" t="str">
        <x:v>09868</x:v>
      </x:c>
      <x:c r="F72" s="81" t="n">
        <x:v>46260.75</x:v>
      </x:c>
      <x:c r="G72" s="65" t="str">
        <x:v>与大众汽车的技术合作能否形成可持续的技术服务收入</x:v>
      </x:c>
      <x:c r="H72" s="50" t="str">
        <x:v>DOC-EVT-09868-00166</x:v>
      </x:c>
      <x:c r="I72" s="65" t="str">
        <x:v>股东周年大会的委托投票说明书／通函</x:v>
      </x:c>
      <x:c r="J72" s="81" t="n">
        <x:v>46153.79320601852</x:v>
      </x:c>
      <x:c r="K72" s="87" t="str">
        <x:v>http://static.cninfo.com.cn/finalpage/2026-05-11/1225292319.PDF</x:v>
      </x:c>
      <x:c r="L72" s="49" t="str">
        <x:v>第4页</x:v>
      </x:c>
      <x:c r="M72" s="65" t="str">
        <x:v>39875 \ (XPeng Inc_AGM) Notice_AGM_Chi \ 07/05/2026 \ M08 / Size (210x297) — 4 — ೮া˚ ໨ԫึʊਗ਼ 2026ϋ5˜14࠽ٰࠦ0.00001ٙAאBᗳ౷ ೮া˚  ΅೮া˚͉ʮ̡AאBٰࢩ ึɪҳୃf Ϟ͉ʮ̡ AאBٰ ׵ڭ2026ϋ5˜14˚ɨʹ 4ࣛ30කਟ໊ ΅ཀ˒೮াஈ Ascentium (Cayman) Limitedމ4th Floor, Harbour Place, 103 South Church Street, P.O. Box 10240, Grand Cayman KY 1-1002, Cayman IslandsϞ͉ʮ̡ A޴׵ڭ Νಂග у2026ϋ5˜14˚ɨʹ 4ࣛ30΅ཀ 䅳༸ 16ፄʕː 17ᅽf ࿚Ї2026ϋ5˜14ග  ೮া˚Ϟɛν૧БԴՉ ᗫAͪf ඄ϋɽึ ٙAאBจd ඄ϋ ˸౬՟ AdԨЪ̈τર ۃ ᗫ Af ೯৔ཥɿඉ΁Ї gm@x-peng.cn ཫ΋೮াf ٙ ஝ආБf f ͪ̔ ٙAאB਷πৄ ٙڌA࿩ ఱ AאB਷ ϞɛϾԊ  ͪ̔ŊஷՌf։ৄҳ ͉ʮ̡ၣ१ ir.xiaopeng.com ၣ१ www.hkexnews.hk ቡf</x:v>
      </x:c>
      <x:c r="N72" s="51" t="str">
        <x:v>0-无关</x:v>
      </x:c>
      <x:c r="O72" s="51" t="str">
        <x:v>否</x:v>
      </x:c>
      <x:c r="P72" s="71" t="str">
        <x:v>《股东周年大会的委托投票说明书／通函》（第4页）内容为“39875 \ (XPeng Inc_AGM) Notice_AGM_Chi \ 07/05/2026 \ M08 / Size (210x297) — …”，属于治理、证券程序或其他非核心事项，不能帮助判断“与大众汽车的技术合作能否形成可持续的技术服务收入”，故判0级。</x:v>
      </x:c>
      <x:c r="Q72" s="51" t="str">
        <x:v>FIN-R01</x:v>
      </x:c>
      <x:c r="R72" s="202" t="n">
        <x:v>46260.92880688657</x:v>
      </x:c>
    </x:row>
    <x:row r="73" ht="72" customHeight="1">
      <x:c r="A73" s="50" t="str">
        <x:v>V4-R-Q009-C04</x:v>
      </x:c>
      <x:c r="B73" s="50" t="str">
        <x:v>V4-E-Q009-C04</x:v>
      </x:c>
      <x:c r="C73" s="50" t="str">
        <x:v>V4-Q009</x:v>
      </x:c>
      <x:c r="D73" s="49" t="str">
        <x:v>小鹏汽车</x:v>
      </x:c>
      <x:c r="E73" s="50" t="str">
        <x:v>09868</x:v>
      </x:c>
      <x:c r="F73" s="81" t="n">
        <x:v>46260.75</x:v>
      </x:c>
      <x:c r="G73" s="65" t="str">
        <x:v>与大众汽车的技术合作能否形成可持续的技术服务收入</x:v>
      </x:c>
      <x:c r="H73" s="50" t="str">
        <x:v>DOC-EVT-09868-00002</x:v>
      </x:c>
      <x:c r="I73" s="65" t="str">
        <x:v>持续关连交易 与广东汇天签订合作框架协议</x:v>
      </x:c>
      <x:c r="J73" s="81" t="n">
        <x:v>45293.87863425926</x:v>
      </x:c>
      <x:c r="K73" s="87" t="str">
        <x:v>http://static.cninfo.com.cn/finalpage/2024-01-02/1218792795.PDF</x:v>
      </x:c>
      <x:c r="L73" s="49" t="str">
        <x:v>第1页</x:v>
      </x:c>
      <x:c r="M73" s="65" t="str">
        <x:v>1 香港交易及結算所有限公司及香港聯合交易所有限公司對本公告的內容概不負責，對其準確性或完 整性亦不發表任何聲明，並明確表示概不會就因本公告全部或任何部分內容而產生或因倚賴該等內 容而引致的任何損失承擔任何責任。 （於開曼群島註冊成立以不同投票權控制的有限公司） （股份代號：9868） 持續關連交易 與廣東匯天簽訂 合作框架協議 與廣東匯天訂立合作框架協議 董事會宣佈，於2024 年 1 月2 日，廣東小鵬與廣東匯天訂立合作框架協議，據此，廣東小鵬及廣東 匯天同意在飛行汽車的研發、製造、銷售及售後服務方面進行合作，廣東小鵬將為廣東匯天提供研 發服務、技術諮詢服務及銷售代理服務。 上市規則的涵義 截至本公告日期，本公司控股股東何小鵬先生控制 廣東匯天，因此，廣東匯天根據上市規則第 14A.07條構成何小鵬先生的聯繫人及本公司的關連人士。因此，根據上市規則第十四A 章，合作框 架協議項下擬進行的交易構成本公司的持續關連交易。 由於最高年度上限的最高適用百分比率預計將高於 0.1%但低於 5%，因此，根據上市規則第十四A 章，合作框架協議項下擬進行的交易須遵守申報、公告及年度審核規定，惟獲豁免遵守獨立股東批 准規定。 與廣東匯天訂立合作框架協議 背景 截至2021年6月18日，本公司之附屬公司與廣州匯天訂立技術諮詢服務框架協議（「 技術諮詢服 務框架協議」），據此，我們向 廣州匯天提供技術諮詢、技術培訓及技術服務，以及若干運 營支 援服務，包括人力資源管理及服務。技術諮詢服務框架…</x:v>
      </x:c>
      <x:c r="N73" s="51" t="str">
        <x:v>0-无关</x:v>
      </x:c>
      <x:c r="O73" s="51" t="str">
        <x:v>否</x:v>
      </x:c>
      <x:c r="P73" s="71" t="str">
        <x:v>《持续关连交易 与广东汇天签订合作框架协议》（第1页）内容为“1 香港交易及結算所有限公司及香港聯合交易所有限公司對本公告的內容概不負責，對其準確性或完 整性亦不發表任何聲明，並明確表示概不會就因本公告全部或任何部分…”，属于治理、证券程序或其他非核心事项，不能帮助判断“与大众汽车的技术合作能否形成可持续的技术服务收入”，故判0级。</x:v>
      </x:c>
      <x:c r="Q73" s="51" t="str">
        <x:v>FIN-R01</x:v>
      </x:c>
      <x:c r="R73" s="202" t="n">
        <x:v>46260.92880688657</x:v>
      </x:c>
    </x:row>
    <x:row r="74" ht="72" customHeight="1">
      <x:c r="A74" s="50" t="str">
        <x:v>V4-R-Q010-C08</x:v>
      </x:c>
      <x:c r="B74" s="50" t="str">
        <x:v>V4-E-Q010-C08</x:v>
      </x:c>
      <x:c r="C74" s="50" t="str">
        <x:v>V4-Q010</x:v>
      </x:c>
      <x:c r="D74" s="49" t="str">
        <x:v>小鹏汽车</x:v>
      </x:c>
      <x:c r="E74" s="50" t="str">
        <x:v>09868</x:v>
      </x:c>
      <x:c r="F74" s="81" t="n">
        <x:v>46260.75</x:v>
      </x:c>
      <x:c r="G74" s="65" t="str">
        <x:v>智能驾驶研发投入能否转化为产品差异化与毛利改善</x:v>
      </x:c>
      <x:c r="H74" s="50" t="str">
        <x:v>DOC-EVT-09868-00166</x:v>
      </x:c>
      <x:c r="I74" s="65" t="str">
        <x:v>股东周年大会的委托投票说明书／通函</x:v>
      </x:c>
      <x:c r="J74" s="81" t="n">
        <x:v>46153.79320601852</x:v>
      </x:c>
      <x:c r="K74" s="87" t="str">
        <x:v>http://static.cninfo.com.cn/finalpage/2026-05-11/1225292319.PDF</x:v>
      </x:c>
      <x:c r="L74" s="49" t="str">
        <x:v>第4页</x:v>
      </x:c>
      <x:c r="M74" s="65" t="str">
        <x:v>39875 \ (XPeng Inc_AGM) Notice_AGM_Chi \ 07/05/2026 \ M08 / Size (210x297) — 4 — ೮া˚ ໨ԫึʊਗ਼ 2026ϋ5˜14࠽ٰࠦ0.00001ٙAאBᗳ౷ ೮া˚  ΅೮া˚͉ʮ̡AאBٰࢩ ึɪҳୃf Ϟ͉ʮ̡ AאBٰ ׵ڭ2026ϋ5˜14˚ɨʹ 4ࣛ30කਟ໊ ΅ཀ˒೮াஈ Ascentium (Cayman) Limitedމ4th Floor, Harbour Place, 103 South Church Street, P.O. Box 10240, Grand Cayman KY 1-1002, Cayman IslandsϞ͉ʮ̡ A޴׵ڭ Νಂග у2026ϋ5˜14˚ɨʹ 4ࣛ30΅ཀ 䅳༸ 16ፄʕː 17ᅽf ࿚Ї2026ϋ5˜14ග  ೮া˚Ϟɛν૧БԴՉ ᗫAͪf ඄ϋɽึ ٙAאBจd ඄ϋ ˸౬՟ AdԨЪ̈τર ۃ ᗫ Af ೯৔ཥɿඉ΁Ї gm@x-peng.cn ཫ΋೮াf ٙ ஝ආБf f ͪ̔ ٙAאB਷πৄ ٙڌA࿩ ఱ AאB਷ ϞɛϾԊ  ͪ̔ŊஷՌf։ৄҳ ͉ʮ̡ၣ१ ir.xiaopeng.com ၣ१ www.hkexnews.hk ቡf</x:v>
      </x:c>
      <x:c r="N74" s="51" t="str">
        <x:v>0-无关</x:v>
      </x:c>
      <x:c r="O74" s="51" t="str">
        <x:v>否</x:v>
      </x:c>
      <x:c r="P74" s="71" t="str">
        <x:v>《股东周年大会的委托投票说明书／通函》（第4页）内容为“39875 \ (XPeng Inc_AGM) Notice_AGM_Chi \ 07/05/2026 \ M08 / Size (210x297) — …”，属于治理、证券程序或其他非核心事项，不能帮助判断“智能驾驶研发投入能否转化为产品差异化与毛利改善”，故判0级。</x:v>
      </x:c>
      <x:c r="Q74" s="51" t="str">
        <x:v>FIN-R01</x:v>
      </x:c>
      <x:c r="R74" s="202" t="n">
        <x:v>46260.92880688657</x:v>
      </x:c>
    </x:row>
    <x:row r="75" ht="72" customHeight="1">
      <x:c r="A75" s="50" t="str">
        <x:v>V4-R-Q010-C03</x:v>
      </x:c>
      <x:c r="B75" s="50" t="str">
        <x:v>V4-E-Q010-C03</x:v>
      </x:c>
      <x:c r="C75" s="50" t="str">
        <x:v>V4-Q010</x:v>
      </x:c>
      <x:c r="D75" s="49" t="str">
        <x:v>小鹏汽车</x:v>
      </x:c>
      <x:c r="E75" s="50" t="str">
        <x:v>09868</x:v>
      </x:c>
      <x:c r="F75" s="81" t="n">
        <x:v>46260.75</x:v>
      </x:c>
      <x:c r="G75" s="65" t="str">
        <x:v>智能驾驶研发投入能否转化为产品差异化与毛利改善</x:v>
      </x:c>
      <x:c r="H75" s="50" t="str">
        <x:v>DOC-EVT-09868-00067</x:v>
      </x:c>
      <x:c r="I75" s="65" t="str">
        <x:v>自愿公告 2024年10月智能车交付数据</x:v>
      </x:c>
      <x:c r="J75" s="81" t="n">
        <x:v>45597.69329861111</x:v>
      </x:c>
      <x:c r="K75" s="87" t="str">
        <x:v>http://static.cninfo.com.cn/finalpage/2024-11-01/1221602018.PDF</x:v>
      </x:c>
      <x:c r="L75" s="49" t="str">
        <x:v>第1页</x:v>
      </x:c>
      <x:c r="M75"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2024 年10 月智能車交付數據 XPeng Inc. （「本公司」或「小鵬汽車」）之董事會欣然宣佈其2024年10月車輛交付數 據。 2024年10月，小鵬汽車共交付智能電動汽車23,917輛，創下了月度交付量的新紀錄，同 比增長20%，環比增長12%。小鵬MONA M03 連續第二個月交付量超過 了10,000輛。 2024年前十個月，小鵬汽車共交付了智能電動汽車122,478輛，较去年同期增長了21%。 2024年10月，小鵬汽車智能導航輔助駕駛（XNGP）的城區智駕月度活躍用戶滲透率達 到了86%。在2024年10月24日的XPENG科技分享會上，本公司展示了其AI驅動的智能 輔助駕駛系統（ADAS）技術在小鵬 P7+上的應用，並發佈了AI天璣XOS 5.4.0版本。本 公司還宣佈小鵬 P7+將全系標配端到端AI驅動的智能輔助駕駛系統（ADAS）。 小鵬汽車已成為唯一一家不依賴高清地圖或激光雷達而提供行業領先的城市ADAS的中 國汽車製造商，在中國市場中展現出最具競爭力的成本優勢，加速 自動駕駛技術的普 及應用。 此外，小鵬汽車於2024年10月正式進入阿聯酋市場，並在迪拜舉辦了G9和G6車型的發 布活動。截止目前，小鵬汽車已將其智能電動汽車引入多個…</x:v>
      </x:c>
      <x:c r="N75" s="51" t="str">
        <x:v>3-直接相关</x:v>
      </x:c>
      <x:c r="O75" s="51" t="str">
        <x:v>是</x:v>
      </x:c>
      <x:c r="P75" s="71" t="str">
        <x:v>《自愿公告 2024年10月智能车交付数据》（第1页）直接披露“1 香港交易及結算所有限公司及香港聯合交易所有限公司對本公告之內容概不負責，對其準確性或完整性亦 不發表聲明，並明確表示概不會就本公告全部或任何部分內容而…”，与“智能驾驶研发投入能否转化为产品差异化与毛利改善”的核心变量或结果同口径，可直接用于判断，故判3级。</x:v>
      </x:c>
      <x:c r="Q75" s="51" t="str">
        <x:v>FIN-R01</x:v>
      </x:c>
      <x:c r="R75" s="202" t="n">
        <x:v>46260.92880688657</x:v>
      </x:c>
    </x:row>
    <x:row r="76" ht="72" customHeight="1">
      <x:c r="A76" s="50" t="str">
        <x:v>V4-R-Q010-C04</x:v>
      </x:c>
      <x:c r="B76" s="50" t="str">
        <x:v>V4-E-Q010-C04</x:v>
      </x:c>
      <x:c r="C76" s="50" t="str">
        <x:v>V4-Q010</x:v>
      </x:c>
      <x:c r="D76" s="49" t="str">
        <x:v>小鹏汽车</x:v>
      </x:c>
      <x:c r="E76" s="50" t="str">
        <x:v>09868</x:v>
      </x:c>
      <x:c r="F76" s="81" t="n">
        <x:v>46260.75</x:v>
      </x:c>
      <x:c r="G76" s="65" t="str">
        <x:v>智能驾驶研发投入能否转化为产品差异化与毛利改善</x:v>
      </x:c>
      <x:c r="H76" s="50" t="str">
        <x:v>DOC-EVT-09868-00173</x:v>
      </x:c>
      <x:c r="I76" s="65" t="str">
        <x:v>自愿公告 2026年5月智能车交付数据</x:v>
      </x:c>
      <x:c r="J76" s="81" t="n">
        <x:v>46174.52096064815</x:v>
      </x:c>
      <x:c r="K76" s="87" t="str">
        <x:v>http://static.cninfo.com.cn/finalpage/2026-06-01/1225341300.PDF</x:v>
      </x:c>
      <x:c r="L76" s="49" t="str">
        <x:v>第1页</x:v>
      </x:c>
      <x:c r="M76"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年5 月智能車交付數據 XPeng Inc. （「本公司」或「小鵬集團」）之董事會欣然宣佈其2026年5月車輛交付數 據。 2026年5月，小鵬集團共交付新車32,158輛，較上月增長4%。 2026年1至5月，小鵬集團交付的電動汽車，相比内燃機汽車，全生命週期溫室氣體預 計減排超2百萬噸，相當於3316萬棵小樹十年的碳吸收量。 本公司股東及潛在投資者於買賣本公司證券時，務請謹慎行事。 承董事會命 XPeng Inc. 董事長 何小鵬 香港，2026年6月1日（星期一） 本公告載有前瞻性陳述。前瞻性陳述涉及固有風險和不確定性。多種因素可能導致實際結果與 任何前瞻性陳述中的結果產生實質性差異，包括但不限於以下方面： 本公司的目標及戰略；本 公司的拓展計劃；其未來的業務發展、財務狀況和經營成果；中國智能電動汽車市場的 發展趨 勢和規模；本公司對於其產品及服務 的需求及市場接受程度的期待； 本公司對於其與客戶、合 作廠商、供應商、第三方服務提供商、戰略合作夥伴及其他持份者的關係 的期待；總體經濟及 商業狀況；及與上述任何一項有關或與之相關的假設。本…</x:v>
      </x:c>
      <x:c r="N76" s="51" t="str">
        <x:v>1-弱相关</x:v>
      </x:c>
      <x:c r="O76" s="51" t="str">
        <x:v>否</x:v>
      </x:c>
      <x:c r="P76" s="71" t="str">
        <x:v>《自愿公告 2026年5月智能车交付数据》（第1页）仅披露“1 香港交易及結算所有限公司及香港聯合交易所有限公司對本公告之內容概不負責，對其準確性或完整性亦 不發表聲明，並明確表示概不會就本公告全部或任何部分內容而…”，虽与公司经营或相邻主题有关，但不足以验证“智能驾驶研发投入能否转化为产品差异化与毛利改善”的关键路径，故判1级。</x:v>
      </x:c>
      <x:c r="Q76" s="51" t="str">
        <x:v>FIN-R01</x:v>
      </x:c>
      <x:c r="R76" s="202" t="n">
        <x:v>46260.92880688657</x:v>
      </x:c>
    </x:row>
    <x:row r="77" ht="72" customHeight="1">
      <x:c r="A77" s="50" t="str">
        <x:v>V4-R-Q010-C02</x:v>
      </x:c>
      <x:c r="B77" s="50" t="str">
        <x:v>V4-E-Q010-C02</x:v>
      </x:c>
      <x:c r="C77" s="50" t="str">
        <x:v>V4-Q010</x:v>
      </x:c>
      <x:c r="D77" s="49" t="str">
        <x:v>小鹏汽车</x:v>
      </x:c>
      <x:c r="E77" s="50" t="str">
        <x:v>09868</x:v>
      </x:c>
      <x:c r="F77" s="81" t="n">
        <x:v>46260.75</x:v>
      </x:c>
      <x:c r="G77" s="65" t="str">
        <x:v>智能驾驶研发投入能否转化为产品差异化与毛利改善</x:v>
      </x:c>
      <x:c r="H77" s="50" t="str">
        <x:v>DOC-EVT-09868-00137</x:v>
      </x:c>
      <x:c r="I77" s="65" t="str">
        <x:v>自愿公告 2025年11月智能车交付数据</x:v>
      </x:c>
      <x:c r="J77" s="81" t="n">
        <x:v>45992.75171296296</x:v>
      </x:c>
      <x:c r="K77" s="87" t="str">
        <x:v>http://static.cninfo.com.cn/finalpage/2025-12-01/1224840760.PDF</x:v>
      </x:c>
      <x:c r="L77" s="49" t="str">
        <x:v>第1页</x:v>
      </x:c>
      <x:c r="M77"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年11 月智能車交付數據 XPeng Inc. （「本公司」或「小鵬汽車」）之董事會欣然宣佈其2025年11月車輛交付數 據。 2025年11月，小鵬汽車共交付智能電動汽車36,728 輛，同比增長19% 。自2025年1月至 11月，小鵬汽車的累計交付量達到391,937輛，同比增長156%。 2025年1月至11月，小鵬汽車的海外交付量達到39,773輛，同比增長95%。 2025年11月5日，小鵬汽車成功舉辦2025小鵬科技日活動，推出了一系列突破性的「物 理AI」應用，其中包括小鵬第二代視覺語言動作模型（XPENG VLA 2.0 ）、自動駕駛 出租車（Robotaxi）和全新一代IRON人形機器人。這些AI 應用預計將於2026年開始量 產。 2025年11月，小鵬汽車智能導航輔助駕駛（XNGP）的城區智駕月度活躍用戶滲透率達 84%。2025年12月下旬，小鵬汽車將邀請中國用戶參與第二代視覺語言動作模型的試 點計劃。 本公司股東及潛在投資者於買賣本公司證券時，務請謹慎行事。 承董事會命 XPeng Inc. 董事長 何小鵬 香港，2025年12月1日（星期一） 本公告載有前瞻性陳述。前瞻性陳述涉及固有風險和不確定性。多種因素可能導致實際結…</x:v>
      </x:c>
      <x:c r="N77" s="51" t="str">
        <x:v>2-间接相关</x:v>
      </x:c>
      <x:c r="O77" s="51" t="str">
        <x:v>是</x:v>
      </x:c>
      <x:c r="P77" s="71" t="str">
        <x:v>《自愿公告 2025年11月智能车交付数据》（第1页）披露“1 香港交易及結算所有限公司及香港聯合交易所有限公司對本公告之內容概不負責，對其準確性或完整性亦 不發表聲明，並明確表示概不會就本公告全部或任何部分內容而…”，可建立公告事项到“智能驾驶研发投入能否转化为产品差异化与毛利改善”的一阶业务传导链；但未直接给出最终结果，故判2级。</x:v>
      </x:c>
      <x:c r="Q77" s="51" t="str">
        <x:v>FIN-R01</x:v>
      </x:c>
      <x:c r="R77" s="202" t="n">
        <x:v>46260.92880688657</x:v>
      </x:c>
    </x:row>
    <x:row r="78" ht="72" customHeight="1">
      <x:c r="A78" s="50" t="str">
        <x:v>V4-R-Q010-C01</x:v>
      </x:c>
      <x:c r="B78" s="50" t="str">
        <x:v>V4-E-Q010-C01</x:v>
      </x:c>
      <x:c r="C78" s="50" t="str">
        <x:v>V4-Q010</x:v>
      </x:c>
      <x:c r="D78" s="49" t="str">
        <x:v>小鹏汽车</x:v>
      </x:c>
      <x:c r="E78" s="50" t="str">
        <x:v>09868</x:v>
      </x:c>
      <x:c r="F78" s="81" t="n">
        <x:v>46260.75</x:v>
      </x:c>
      <x:c r="G78" s="65" t="str">
        <x:v>智能驾驶研发投入能否转化为产品差异化与毛利改善</x:v>
      </x:c>
      <x:c r="H78" s="50" t="str">
        <x:v>DOC-EVT-09868-00182</x:v>
      </x:c>
      <x:c r="I78" s="65" t="str">
        <x:v>自愿公告 2026年7月智能车交付数据</x:v>
      </x:c>
      <x:c r="J78" s="81" t="n">
        <x:v>46237.772569444445</x:v>
      </x:c>
      <x:c r="K78" s="87" t="str">
        <x:v>http://static.cninfo.com.cn/finalpage/2026-08-03/1225455539.PDF</x:v>
      </x:c>
      <x:c r="L78" s="49" t="str">
        <x:v>第1页</x:v>
      </x:c>
      <x:c r="M78"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年7 月智能車交付數據 XPeng Inc. （「本公司」或「小鵬集團」）之董事會欣然宣佈其2026年7月車輛交付數 據。 2026年7月，小鵬集團共交付新車38,027輛，按年增長4%。截至2026年7月31日，本公 司全球累計交付量突破120萬輛，創下全新里程碑。 2026年7月16日，小鵬集團於德國慕尼黑舉辦品牌日暨L03全球發布會。這款全新全球 車型將於今年登陸65個國家及地區，擴充小鵬集團的國際產品陣容。 在全球拓展方面，小鵬集團於本月初正式公布澳大利亞市場長期策略，計劃於2026 年 下半年推出五款全新車型，並持續擴充當地銷售及服務網絡。小鵬集團 同時宣佈，搭 載自研第二代視覺語言動作模型（VLA 2.0）的NGP（新一代輔助駕駛）系統將於2027 年起在全球推出，把智能駕駛技術帶往全球各地市場。 2026年1至7月，小鵬集團交付的電動汽車，相比内燃機汽車，全生命週期溫室氣體預 計減排超323萬噸，相當於5,375萬棵小樹十年的碳吸收量。 本公司股東及潛在投資者於買賣本公司證券時，務請謹慎行事。 承董事會命 XPeng Inc.…</x:v>
      </x:c>
      <x:c r="N78" s="51" t="str">
        <x:v>2-间接相关</x:v>
      </x:c>
      <x:c r="O78" s="51" t="str">
        <x:v>是</x:v>
      </x:c>
      <x:c r="P78" s="71" t="str">
        <x:v>《自愿公告 2026年7月智能车交付数据》（第1页）披露“1 香港交易及結算所有限公司及香港聯合交易所有限公司對本公告之內容概不負責，對其準確性或完整性亦 不發表聲明，並明確表示概不會就本公告全部或任何部分內容而…”，可建立公告事项到“智能驾驶研发投入能否转化为产品差异化与毛利改善”的一阶业务传导链；但未直接给出最终结果，故判2级。</x:v>
      </x:c>
      <x:c r="Q78" s="51" t="str">
        <x:v>FIN-R01</x:v>
      </x:c>
      <x:c r="R78" s="202" t="n">
        <x:v>46260.92880688657</x:v>
      </x:c>
    </x:row>
    <x:row r="79" ht="72" customHeight="1">
      <x:c r="A79" s="50" t="str">
        <x:v>V4-R-Q010-C06</x:v>
      </x:c>
      <x:c r="B79" s="50" t="str">
        <x:v>V4-E-Q010-C06</x:v>
      </x:c>
      <x:c r="C79" s="50" t="str">
        <x:v>V4-Q010</x:v>
      </x:c>
      <x:c r="D79" s="49" t="str">
        <x:v>小鹏汽车</x:v>
      </x:c>
      <x:c r="E79" s="50" t="str">
        <x:v>09868</x:v>
      </x:c>
      <x:c r="F79" s="81" t="n">
        <x:v>46260.75</x:v>
      </x:c>
      <x:c r="G79" s="65" t="str">
        <x:v>智能驾驶研发投入能否转化为产品差异化与毛利改善</x:v>
      </x:c>
      <x:c r="H79" s="50" t="str">
        <x:v>DOC-EVT-09868-00158</x:v>
      </x:c>
      <x:c r="I79" s="65" t="str">
        <x:v>2025年度报告</x:v>
      </x:c>
      <x:c r="J79" s="81" t="n">
        <x:v>46128.769594907404</x:v>
      </x:c>
      <x:c r="K79" s="87" t="str">
        <x:v>http://static.cninfo.com.cn/finalpage/2026-04-16/1225111807.PDF</x:v>
      </x:c>
      <x:c r="L79" s="49" t="str">
        <x:v>第1页</x:v>
      </x:c>
      <x:c r="M79" s="65" t="str">
        <x:v>XPeng Inc.2025 年度報告 2025 年度報告 * 僅供識別 XPeng Inc. （於開曼群島註冊成立以不同投票權控制的有限公司） 紐交所代號 : XPEV 港交所代號 : 9868 小鵬集團* 小鵬集團*</x:v>
      </x:c>
      <x:c r="N79" s="51" t="str">
        <x:v>1-弱相关</x:v>
      </x:c>
      <x:c r="O79" s="51" t="str">
        <x:v>否</x:v>
      </x:c>
      <x:c r="P79" s="71" t="str">
        <x:v>《2025年度报告》（第1页）仅披露“XPeng Inc.2025 年度報告 2025 年度報告 * 僅供識別 XPeng Inc. （於開曼群島註冊成立以不同投票權控制的有限公司） 紐交所代…”，虽与公司经营或相邻主题有关，但不足以验证“智能驾驶研发投入能否转化为产品差异化与毛利改善”的关键路径，故判1级。</x:v>
      </x:c>
      <x:c r="Q79" s="51" t="str">
        <x:v>FIN-R01</x:v>
      </x:c>
      <x:c r="R79" s="202" t="n">
        <x:v>46260.92880688657</x:v>
      </x:c>
    </x:row>
    <x:row r="80" ht="72" customHeight="1">
      <x:c r="A80" s="50" t="str">
        <x:v>V4-R-Q010-C05</x:v>
      </x:c>
      <x:c r="B80" s="50" t="str">
        <x:v>V4-E-Q010-C05</x:v>
      </x:c>
      <x:c r="C80" s="50" t="str">
        <x:v>V4-Q010</x:v>
      </x:c>
      <x:c r="D80" s="49" t="str">
        <x:v>小鹏汽车</x:v>
      </x:c>
      <x:c r="E80" s="50" t="str">
        <x:v>09868</x:v>
      </x:c>
      <x:c r="F80" s="81" t="n">
        <x:v>46260.75</x:v>
      </x:c>
      <x:c r="G80" s="65" t="str">
        <x:v>智能驾驶研发投入能否转化为产品差异化与毛利改善</x:v>
      </x:c>
      <x:c r="H80" s="50" t="str">
        <x:v>DOC-EVT-09868-00164</x:v>
      </x:c>
      <x:c r="I80" s="65" t="str">
        <x:v>自愿公告 2026年4月智能车交付数据</x:v>
      </x:c>
      <x:c r="J80" s="81" t="n">
        <x:v>46146.512604166666</x:v>
      </x:c>
      <x:c r="K80" s="87" t="str">
        <x:v>http://static.cninfo.com.cn/finalpage/2026-05-04/1225276107.PDF</x:v>
      </x:c>
      <x:c r="L80" s="49" t="str">
        <x:v>第1页</x:v>
      </x:c>
      <x:c r="M80"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 4 月智能車交付數據 XPeng Inc. （「本公司」或「小鵬集團」）之董事會欣然宣佈其2026年4月車輛交付數 據。 2026年4月，小鵬集團共交付新車31,011輛，較上月增長13%。 此外，繼第二代視覺語言動作模型（VLA 2.0 ）於2026年3月正式發布後，截至2026年4 月底，小鵬集團門店的試駕滿意度錄得顯著提升。消費者試駕後 作出訂購決定的平均 用時亦按月縮短44.7%，進一步印证智能駕駛成為帶動銷售增長的核心動力。 2026年4月15日，本公司發布小鵬GX，標志著搭載其最先進的跨域技術的首款全尺寸 旗艦SUV正式登場。 2026年4月7日，小鵬集團與歐洲生產合作夥伴麥格納，在位於奧地利格拉茨的麥格納 工廠見證首批本地生產P7+下線。P7+是繼G6與G9之後第三款在奧地利實現本地化生產 的車型，標誌著小鵬集團通過合作關係進一步夯實歐洲生產佈局。 本公司股東及潛在投資者於買賣本公司證券時，務請謹慎行事。 承董事會命 XPeng Inc. 董事長 何小鵬 香港，2026年5月4日（星期一） 本公告載有前瞻性陳述。前瞻性陳述涉…</x:v>
      </x:c>
      <x:c r="N80" s="51" t="str">
        <x:v>3-直接相关</x:v>
      </x:c>
      <x:c r="O80" s="51" t="str">
        <x:v>是</x:v>
      </x:c>
      <x:c r="P80" s="71" t="str">
        <x:v>《自愿公告 2026年4月智能车交付数据》（第1页）直接披露“1 香港交易及結算所有限公司及香港聯合交易所有限公司對本公告之內容概不負責，對其準確性或完整性亦 不發表聲明，並明確表示概不會就本公告全部或任何部分內容而…”，与“智能驾驶研发投入能否转化为产品差异化与毛利改善”的核心变量或结果同口径，可直接用于判断，故判3级。</x:v>
      </x:c>
      <x:c r="Q80" s="51" t="str">
        <x:v>FIN-R01</x:v>
      </x:c>
      <x:c r="R80" s="202" t="n">
        <x:v>46260.92880688657</x:v>
      </x:c>
    </x:row>
    <x:row r="81" ht="72" customHeight="1">
      <x:c r="A81" s="50" t="str">
        <x:v>V4-R-Q010-C07</x:v>
      </x:c>
      <x:c r="B81" s="50" t="str">
        <x:v>V4-E-Q010-C07</x:v>
      </x:c>
      <x:c r="C81" s="50" t="str">
        <x:v>V4-Q010</x:v>
      </x:c>
      <x:c r="D81" s="49" t="str">
        <x:v>小鹏汽车</x:v>
      </x:c>
      <x:c r="E81" s="50" t="str">
        <x:v>09868</x:v>
      </x:c>
      <x:c r="F81" s="81" t="n">
        <x:v>46260.75</x:v>
      </x:c>
      <x:c r="G81" s="65" t="str">
        <x:v>智能驾驶研发投入能否转化为产品差异化与毛利改善</x:v>
      </x:c>
      <x:c r="H81" s="50" t="str">
        <x:v>DOC-EVT-09868-00090</x:v>
      </x:c>
      <x:c r="I81" s="65" t="str">
        <x:v>2024年度报告</x:v>
      </x:c>
      <x:c r="J81" s="81" t="n">
        <x:v>45763.319548611114</x:v>
      </x:c>
      <x:c r="K81" s="87" t="str">
        <x:v>http://static.cninfo.com.cn/finalpage/2025-04-16/1223106245.PDF</x:v>
      </x:c>
      <x:c r="L81" s="49" t="str">
        <x:v>第4页</x:v>
      </x:c>
      <x:c r="M81" s="65" t="str">
        <x:v>ࠅ 2 小鵬汽車有限公司 ڌ ࿚Ї12˜31ܓ 2020ϋ 2021ϋ 2022ϋ 2023ϋ 2024ϋ ɛ͏࿆ɷʩ ᐼϗɝ 5,844,321 20,988,131 26,855,119 30,676,067 40,866,309 ᐼቖਯϓ͉ (5,578,332) (18,365,576) (23,766,728) (30,224,912) (35,020,541) ˣ๐л 265,989 2,622,555 3,088,391 451,155 5,845,768 ຾ᐄක˕ᐼᕘ (4,646,555) (9,419,700) (11,903,082) (11,835,516) (13,327,378) ຾ᐄᑦฦ (4,293,736) (6,579,405) (8,705,523) (10,889,434) (6,658,138) ٙ ᑦฦ (2,730,762) (4,837,106) (9,118,358) (10,393,705) (5,830,975) ଋᑦฦ (2,731,985) (4,863,096) (9,138,972) (10,375,775) (5,790,264) ؇ٰٰ cᏐЦଋᑦฦ (4,889,729) (4,863,096) (9,138,972) (10,375,775) (5,790,264) ؇ٰٰ cᏐЦၝΥᑦฦᐼᕘ (3,456,418) (5,781,264) (5,946,399) (10,089,161) (5,52…</x:v>
      </x:c>
      <x:c r="N81" s="51" t="str">
        <x:v>1-弱相关</x:v>
      </x:c>
      <x:c r="O81" s="51" t="str">
        <x:v>否</x:v>
      </x:c>
      <x:c r="P81" s="71" t="str">
        <x:v>《2024年度报告》（第4页）仅披露“ࠅ 2 小鵬汽車有限公司 ڌ ࿚Ї12˜31ܓ 2020ϋ 2021ϋ 2022ϋ 2023ϋ 2024ϋ ɛ͏࿆ɷʩ ᐼϗɝ 5,844,321 2…”，虽与公司经营或相邻主题有关，但不足以验证“智能驾驶研发投入能否转化为产品差异化与毛利改善”的关键路径，故判1级。</x:v>
      </x:c>
      <x:c r="Q81" s="51" t="str">
        <x:v>FIN-R01</x:v>
      </x:c>
      <x:c r="R81" s="202" t="n">
        <x:v>46260.92880688657</x:v>
      </x:c>
    </x:row>
    <x:row r="82" ht="72" customHeight="1">
      <x:c r="A82" s="50" t="str">
        <x:v>V4-R-Q011-C05</x:v>
      </x:c>
      <x:c r="B82" s="50" t="str">
        <x:v>V4-E-Q011-C05</x:v>
      </x:c>
      <x:c r="C82" s="50" t="str">
        <x:v>V4-Q011</x:v>
      </x:c>
      <x:c r="D82" s="49" t="str">
        <x:v>北方华创</x:v>
      </x:c>
      <x:c r="E82" s="50" t="str">
        <x:v>002371</x:v>
      </x:c>
      <x:c r="F82" s="81" t="n">
        <x:v>46260.75</x:v>
      </x:c>
      <x:c r="G82" s="65" t="str">
        <x:v>半导体设备订单增长能否持续转化为营业收入</x:v>
      </x:c>
      <x:c r="H82" s="50" t="str">
        <x:v>DOC-EVT-002371-00187</x:v>
      </x:c>
      <x:c r="I82" s="65" t="str">
        <x:v>关于协议受让沈阳中科天盛自动化技术有限公司所持沈阳芯源微电子设备股份有限公司股份的公告</x:v>
      </x:c>
      <x:c r="J82" s="81" t="n">
        <x:v>45748</x:v>
      </x:c>
      <x:c r="K82" s="87" t="str">
        <x:v>http://static.cninfo.com.cn/finalpage/2025-04-01/1222974267.PDF</x:v>
      </x:c>
      <x:c r="L82" s="49" t="str">
        <x:v>第1页</x:v>
      </x:c>
      <x:c r="M82" s="65" t="str">
        <x:v>证券代码：002371 证券简称：北方华创 公告编号：2025-019 北方华创科技集团股份有限公司 关于协议受让沈阳中科天盛自动化技术有限公司 所持沈阳芯源微电子设备股份有限公司股份的公告 本公司及董事会全体成员保证信息披露的内容真实、准确、完整，没有虚假 记载、误导性陈述或者重大遗漏。 沈阳中科天盛自动化技术有限公司（以下简称“中科天盛” ）通过公开征集 转让的方式协议转让其所持沈阳芯源微电子设备股份有限公司（股票代码： 688037， 以下简称 “芯源微” ）8.41%股份， 合计16,899,750 股， 公开征集期为2025 年3 月 12 日至 2025 年 3 月 25 日。 北方华创科技集团股份有限公司（以下简称“北方华创”或“公司”）于2025 年 3 月 20 日召开公司第八届董事会第二十二次会议，审议通过了《关于参与沈 阳芯源微电子设备股份有限公司股份公开挂牌竞买的议案》 ，同意公司以现金为 对价，参与中科天盛对所持合计 16,899,750 股芯源微股份的公开挂牌竞买；授 权董事长及董事长授权人士办理本次竞买涉及的一切后续事宜 （包括但不限于确 定最终交易价格、具体实施公开挂牌竞买、签署协议、办理股份过户手续等） 。 经中科天盛组织的评审委员会评审，北方华创符合本次公开征集转让的受让 方资格条件，经中科天盛内部决策，确定北方华创为本次公开征集受让方。 2025 年 3 月 31 日，北方华创与中科天盛签署了《股份转让协议》 。本次交 易已取得董事会的…</x:v>
      </x:c>
      <x:c r="N82" s="51" t="str">
        <x:v>1-弱相关</x:v>
      </x:c>
      <x:c r="O82" s="51" t="str">
        <x:v>否</x:v>
      </x:c>
      <x:c r="P82" s="71" t="str">
        <x:v>《关于协议受让沈阳中科天盛自动化技术有限公司所持沈阳芯源微电子设备股…》（第1页）仅披露“证券代码：002371 证券简称：北方华创 公告编号：2025-019 北方华创科技集团股份有限公司 关于协议受让沈阳中科天盛自动化技术有限公司 所持沈阳…”，虽与公司经营或相邻主题有关，但不足以验证“半导体设备订单增长能否持续转化为营业收入”的关键路径，故判1级。</x:v>
      </x:c>
      <x:c r="Q82" s="51" t="str">
        <x:v>FIN-R01</x:v>
      </x:c>
      <x:c r="R82" s="202" t="n">
        <x:v>46260.92880688657</x:v>
      </x:c>
    </x:row>
    <x:row r="83" ht="72" customHeight="1">
      <x:c r="A83" s="50" t="str">
        <x:v>V4-R-Q011-C03</x:v>
      </x:c>
      <x:c r="B83" s="50" t="str">
        <x:v>V4-E-Q011-C03</x:v>
      </x:c>
      <x:c r="C83" s="50" t="str">
        <x:v>V4-Q011</x:v>
      </x:c>
      <x:c r="D83" s="49" t="str">
        <x:v>北方华创</x:v>
      </x:c>
      <x:c r="E83" s="50" t="str">
        <x:v>002371</x:v>
      </x:c>
      <x:c r="F83" s="81" t="n">
        <x:v>46260.75</x:v>
      </x:c>
      <x:c r="G83" s="65" t="str">
        <x:v>半导体设备订单增长能否持续转化为营业收入</x:v>
      </x:c>
      <x:c r="H83" s="50" t="str">
        <x:v>DOC-EVT-002371-00184</x:v>
      </x:c>
      <x:c r="I83" s="65" t="str">
        <x:v>关于参与沈阳芯源微电子设备股份有限公司股份公开挂牌竞买的公告</x:v>
      </x:c>
      <x:c r="J83" s="81" t="n">
        <x:v>45737</x:v>
      </x:c>
      <x:c r="K83" s="87" t="str">
        <x:v>http://static.cninfo.com.cn/finalpage/2025-03-21/1222856730.PDF</x:v>
      </x:c>
      <x:c r="L83" s="49" t="str">
        <x:v>第1页</x:v>
      </x:c>
      <x:c r="M83" s="65" t="str">
        <x:v>证券代码：002371 证券简称：北方华创 公告编号：2025-015 北方华创科技集团股份有限公司 关于参与沈阳芯源微电子设备股份有限公司 股份公开挂牌竞买的公告 本公司及董事会全体成员保证信息披露的内容真实、准确、完整，没有虚假 记载、误导性陈述或者重大遗漏。 北方华创科技集团股份有限公司（以下简称“北方华创”或“公司”）于2025 年 3 月 20 日召开公司第八届董事会第二十二次会议，审议通过了《关于参与沈 阳芯源微电子设备股份有限公司股份公开挂牌竞买的议案》 。 本次交易不构成关联交易，也不构成《上市公司重大资产重组管理办法》规 定的重大资产重组，根据《公司章程》规定，亦无需提交公司股东大会审议。现 将相关事项公告如下： 一、交易概述 （一）基本情况 沈阳中科天盛自动化技术有限公司（以下简称“中科天盛” ）拟公开挂牌转 让其所持沈阳芯源微电子设备股份有限公司（股票代码：688037，以下简称“芯 源微” ）8.41%股份，合计16,899,750 股，挂牌价格不低于85.71 元/股，总价不低 于 1,448,477,572.50 元。为加快推动北方华创战略落实，发挥协同效应，提高股 东回报，公司拟以现金为对价，参与本次竞买事宜。 公司于2025 年 3 月 10 日与沈阳先进制造技术产业有限公司 （以下简称 “先 进制造” ）签署了股份转让协议，协议受让19,064,915 股芯源微股份，详见公司 于2025 年 3 月 11 日在巨潮资讯网（www.cninf…</x:v>
      </x:c>
      <x:c r="N83" s="51" t="str">
        <x:v>1-弱相关</x:v>
      </x:c>
      <x:c r="O83" s="51" t="str">
        <x:v>否</x:v>
      </x:c>
      <x:c r="P83" s="71" t="str">
        <x:v>《关于参与沈阳芯源微电子设备股份有限公司股份公开挂牌竞买的公告》（第1页）仅披露“证券代码：002371 证券简称：北方华创 公告编号：2025-015 北方华创科技集团股份有限公司 关于参与沈阳芯源微电子设备股份有限公司 股份公开挂牌…”，虽与公司经营或相邻主题有关，但不足以验证“半导体设备订单增长能否持续转化为营业收入”的关键路径，故判1级。</x:v>
      </x:c>
      <x:c r="Q83" s="51" t="str">
        <x:v>FIN-R01</x:v>
      </x:c>
      <x:c r="R83" s="202" t="n">
        <x:v>46260.92880688657</x:v>
      </x:c>
    </x:row>
    <x:row r="84" ht="72" customHeight="1">
      <x:c r="A84" s="50" t="str">
        <x:v>V4-R-Q011-C02</x:v>
      </x:c>
      <x:c r="B84" s="50" t="str">
        <x:v>V4-E-Q011-C02</x:v>
      </x:c>
      <x:c r="C84" s="50" t="str">
        <x:v>V4-Q011</x:v>
      </x:c>
      <x:c r="D84" s="49" t="str">
        <x:v>北方华创</x:v>
      </x:c>
      <x:c r="E84" s="50" t="str">
        <x:v>002371</x:v>
      </x:c>
      <x:c r="F84" s="81" t="n">
        <x:v>46260.75</x:v>
      </x:c>
      <x:c r="G84" s="65" t="str">
        <x:v>半导体设备订单增长能否持续转化为营业收入</x:v>
      </x:c>
      <x:c r="H84" s="50" t="str">
        <x:v>DOC-EVT-002371-00165</x:v>
      </x:c>
      <x:c r="I84" s="65" t="str">
        <x:v>关于协议受让沈阳芯源微电子设备股份有限公司部分股份的公告</x:v>
      </x:c>
      <x:c r="J84" s="81" t="n">
        <x:v>45727</x:v>
      </x:c>
      <x:c r="K84" s="87" t="str">
        <x:v>http://static.cninfo.com.cn/finalpage/2025-03-11/1222760056.PDF</x:v>
      </x:c>
      <x:c r="L84" s="49" t="str">
        <x:v>第1页</x:v>
      </x:c>
      <x:c r="M84" s="65" t="str">
        <x:v>证券代码：002371 证券简称：北方华创 公告编号：2025-005 北方华创科技集团股份有限公司 关于协议受让沈阳芯源微电子设备股份有限公司 部分股份的公告 本公司及董事会全体成员保证信息披露的内容真实、准确、完整，没有虚假 记载、误导性陈述或者重大遗漏。 沈阳先进制造技术产业有限公司（以下简称“先进制造” ）持有沈阳芯源微 电子设备股份有限公司（股票代码：688037，以下简称“芯源微” ）9.49%股份， 合计19,064,915 股。 北方华创科技集团股份有限公司（以下简称“北方华创”或“公司”）于2025 年 3 月 10 日召开公司第八届董事会第二十次会议，审议通过了《关于协议受让 沈阳芯源微电子设备股份有限公司部分股份的议案》 。 本次交易不构成关联交易，也不构成《上市公司重大资产重组管理办法》规 定的重大资产重组，根据《公司章程》规定，亦无需提交公司股东大会审议。 此外，沈阳中科天盛自动化技术有限公司（以下简称“中科天盛” ）持有沈 阳芯源微电子设备股份有限公司 （股票代码：688037， 以下简称 “芯源微” ）8.41% 股份，合计16,899,750 股。中科天盛拟通过公开征集转让方式协议转让所持芯源 微的全部股份， 公司将积极通过参与公开挂牌竞买等方式继续增持芯源微股份并 取得对其控制权。 现将相关事项公告如下： 一、交易概述 （一）基本情况 为加快推动北方华创战略落实，发挥协同效应，提高股东回报，公司以现金 为对价，协议受让先进制造持有的芯源微9…</x:v>
      </x:c>
      <x:c r="N84" s="51" t="str">
        <x:v>1-弱相关</x:v>
      </x:c>
      <x:c r="O84" s="51" t="str">
        <x:v>否</x:v>
      </x:c>
      <x:c r="P84" s="71" t="str">
        <x:v>《关于协议受让沈阳芯源微电子设备股份有限公司部分股份的公告》（第1页）仅披露“证券代码：002371 证券简称：北方华创 公告编号：2025-005 北方华创科技集团股份有限公司 关于协议受让沈阳芯源微电子设备股份有限公司 部分股份…”，虽与公司经营或相邻主题有关，但不足以验证“半导体设备订单增长能否持续转化为营业收入”的关键路径，故判1级。</x:v>
      </x:c>
      <x:c r="Q84" s="51" t="str">
        <x:v>FIN-R01</x:v>
      </x:c>
      <x:c r="R84" s="202" t="n">
        <x:v>46260.92880688657</x:v>
      </x:c>
    </x:row>
    <x:row r="85" ht="72" customHeight="1">
      <x:c r="A85" s="50" t="str">
        <x:v>V4-R-Q011-C01</x:v>
      </x:c>
      <x:c r="B85" s="50" t="str">
        <x:v>V4-E-Q011-C01</x:v>
      </x:c>
      <x:c r="C85" s="50" t="str">
        <x:v>V4-Q011</x:v>
      </x:c>
      <x:c r="D85" s="49" t="str">
        <x:v>北方华创</x:v>
      </x:c>
      <x:c r="E85" s="50" t="str">
        <x:v>002371</x:v>
      </x:c>
      <x:c r="F85" s="81" t="n">
        <x:v>46260.75</x:v>
      </x:c>
      <x:c r="G85" s="65" t="str">
        <x:v>半导体设备订单增长能否持续转化为营业收入</x:v>
      </x:c>
      <x:c r="H85" s="50" t="str">
        <x:v>DOC-EVT-002371-00309</x:v>
      </x:c>
      <x:c r="I85" s="65" t="str">
        <x:v>关于变更持续督导保荐代表人的公告</x:v>
      </x:c>
      <x:c r="J85" s="81" t="n">
        <x:v>45986</x:v>
      </x:c>
      <x:c r="K85" s="87" t="str">
        <x:v>http://static.cninfo.com.cn/finalpage/2025-11-25/1224824025.PDF</x:v>
      </x:c>
      <x:c r="L85" s="49" t="str">
        <x:v>第1页</x:v>
      </x:c>
      <x:c r="M85" s="65" t="str">
        <x:v>证券代码：002371 证券简称：北方华创 公告编号：2025-068 北方华创科技集团股份有限公司 关于变更持续督导保荐代表人的公告 本公司及董事会全体成员保证信息披露的内容真实、准确、完整，没有虚 假记载、误导性陈述或者重大遗漏。 北方华创科技集团股份有限公司（以下简称“公司”）于近日收到中信建 投证券股份有限公司（以下简称“中信建投”）出具的《关于变更北方华创科技 集团股份有限公司持续督导保荐代表人的函》，具体情况如下： 中信建投作为公司 2021 年度非公开发行股票项目的保荐人，原委派张林先 生、侯顺先生具体负责保荐工作及持续督导工作。现因侯顺先生工作变动，不再 担任公司持续督导的保荐代表人。为保证持续督导工作的有序进行，中信建投委 派曹东明先生（简历见附件）接替侯顺先生担任公司保荐代表人，继续履行持续 督导职责。 本次保荐代表人变更后，公司持续督导保荐代表人为张林先生和曹东明先 生。本次变更不影响中信建投对公司的持续督导工作。 公司董事会对侯顺先生在公司持续督导期间所做出的贡献表示衷心感谢！ 特此公告。 北方华创科技集团股份有限公司 董事会 2025 年 11 月 25 日</x:v>
      </x:c>
      <x:c r="N85" s="51" t="str">
        <x:v>0-无关</x:v>
      </x:c>
      <x:c r="O85" s="51" t="str">
        <x:v>否</x:v>
      </x:c>
      <x:c r="P85" s="71" t="str">
        <x:v>《关于变更持续督导保荐代表人的公告》（第1页）内容为“证券代码：002371 证券简称：北方华创 公告编号：2025-068 北方华创科技集团股份有限公司 关于变更持续督导保荐代表人的公告 本公司及董事会全体…”，属于治理、证券程序或其他非核心事项，不能帮助判断“半导体设备订单增长能否持续转化为营业收入”，故判0级。</x:v>
      </x:c>
      <x:c r="Q85" s="51" t="str">
        <x:v>FIN-R01</x:v>
      </x:c>
      <x:c r="R85" s="202" t="n">
        <x:v>46260.92880688657</x:v>
      </x:c>
    </x:row>
    <x:row r="86" ht="72" customHeight="1">
      <x:c r="A86" s="50" t="str">
        <x:v>V4-R-Q011-C08</x:v>
      </x:c>
      <x:c r="B86" s="50" t="str">
        <x:v>V4-E-Q011-C08</x:v>
      </x:c>
      <x:c r="C86" s="50" t="str">
        <x:v>V4-Q011</x:v>
      </x:c>
      <x:c r="D86" s="49" t="str">
        <x:v>北方华创</x:v>
      </x:c>
      <x:c r="E86" s="50" t="str">
        <x:v>002371</x:v>
      </x:c>
      <x:c r="F86" s="81" t="n">
        <x:v>46260.75</x:v>
      </x:c>
      <x:c r="G86" s="65" t="str">
        <x:v>半导体设备订单增长能否持续转化为营业收入</x:v>
      </x:c>
      <x:c r="H86" s="50" t="str">
        <x:v>DOC-EVT-002371-00003</x:v>
      </x:c>
      <x:c r="I86" s="65" t="str">
        <x:v>关于控股股东拟发生变更暨国有股权无偿划转的进展公告</x:v>
      </x:c>
      <x:c r="J86" s="81" t="n">
        <x:v>45302</x:v>
      </x:c>
      <x:c r="K86" s="87" t="str">
        <x:v>http://static.cninfo.com.cn/finalpage/2024-01-11/1218848927.PDF</x:v>
      </x:c>
      <x:c r="L86" s="49" t="str">
        <x:v>第1页</x:v>
      </x:c>
      <x:c r="M86" s="65" t="str">
        <x:v>证券代码：002371 证券简称：北方华创 公告编号：2024-001 北方华创科技集团股份有限公司 关于控股股东拟发生变更暨国有股权无偿划转的进展公告 本公司及董事会全体成员保证信息披露的内容真实、准确、完整，没有虚 假记载、误导性陈述或者重大遗漏。 重要提示： 1．本次国有股权无偿划转系北京七星华电科技集团有限责任公司（以下简 称“七星集团”或“划出方”）将持有的 33.61%北方华创股权（对应 178,175,721 股） 无偿划转至北京电子控股有限责任公司（以下简称“北京电控”或“划入方”），双 方于2024 年 1 月 10 日签订了《股权无偿划转协议》 。 2．根据《上市公司收购管理办法》第六十二条第（一）项规定，北京电控 符合免于发出要约的情形。 3．本次无偿划转完成后，北京电控将成为公司的控股股东，七星集团不再 持有公司股份，公司的实际控制人仍为北京电控。 4．七星集团为北京电控的全资子公司，本次控股股东变更事项不会对公司 的正常生产经营造成不利影响，不存在损害公司和中小股东利益的情形。 一、 本次无偿划转基本情况 北方华创科技集团股份有限公司（以下简称“公司”或“北方华创”）于 2023 年 11 月17 日披露了 《关于控股股东拟发生变更暨国有股权无偿划转的提示性公告》 （2023-057） ，北京电控正在筹划将七星集团持有的33.61%北方华创股权（对应 178,175,721 股）无偿划转至北京电控。 本次无偿划转前后北京电控与七星集团对公司持股情况…</x:v>
      </x:c>
      <x:c r="N86" s="51" t="str">
        <x:v>0-无关</x:v>
      </x:c>
      <x:c r="O86" s="51" t="str">
        <x:v>否</x:v>
      </x:c>
      <x:c r="P86" s="71" t="str">
        <x:v>《关于控股股东拟发生变更暨国有股权无偿划转的进展公告》（第1页）内容为“证券代码：002371 证券简称：北方华创 公告编号：2024-001 北方华创科技集团股份有限公司 关于控股股东拟发生变更暨国有股权无偿划转的进展公告 …”，属于治理、证券程序或其他非核心事项，不能帮助判断“半导体设备订单增长能否持续转化为营业收入”，故判0级。</x:v>
      </x:c>
      <x:c r="Q86" s="51" t="str">
        <x:v>FIN-R01</x:v>
      </x:c>
      <x:c r="R86" s="202" t="n">
        <x:v>46260.92880688657</x:v>
      </x:c>
    </x:row>
    <x:row r="87" ht="72" customHeight="1">
      <x:c r="A87" s="50" t="str">
        <x:v>V4-R-Q011-C07</x:v>
      </x:c>
      <x:c r="B87" s="50" t="str">
        <x:v>V4-E-Q011-C07</x:v>
      </x:c>
      <x:c r="C87" s="50" t="str">
        <x:v>V4-Q011</x:v>
      </x:c>
      <x:c r="D87" s="49" t="str">
        <x:v>北方华创</x:v>
      </x:c>
      <x:c r="E87" s="50" t="str">
        <x:v>002371</x:v>
      </x:c>
      <x:c r="F87" s="81" t="n">
        <x:v>46260.75</x:v>
      </x:c>
      <x:c r="G87" s="65" t="str">
        <x:v>半导体设备订单增长能否持续转化为营业收入</x:v>
      </x:c>
      <x:c r="H87" s="50" t="str">
        <x:v>DOC-EVT-002371-00101</x:v>
      </x:c>
      <x:c r="I87" s="65" t="str">
        <x:v>2024年半年度业绩预告</x:v>
      </x:c>
      <x:c r="J87" s="81" t="n">
        <x:v>45485</x:v>
      </x:c>
      <x:c r="K87" s="87" t="str">
        <x:v>http://static.cninfo.com.cn/finalpage/2024-07-12/1220616914.PDF</x:v>
      </x:c>
      <x:c r="L87" s="49" t="str">
        <x:v>第1页</x:v>
      </x:c>
      <x:c r="M87" s="65" t="str">
        <x:v>证券代码：002371 证券简称：北方华创 公告编号：2024-047 北方华创科技集团股份有限公司 2024 年半年度业绩预告 本公司及董事会全体成员保证信息披露的内容真实、准确、完整，没有虚假记 载、误导性陈述或者重大遗漏。 一、本期业绩预计情况 1．业绩预告期间：2024 年 1 月 1 日-2024 年 6 月 30 日 2．预计的经营业绩：扭亏为盈 同向上升 同向下降 项目 本报告期 上年同期 营业收入 1,141,000 万元-1,314,000 万元 842,659.01 万元 比上年同期增长：35.40%-55.93% 归属于上市公司 股东的净利润 盈利：257,000 万元-296,000 万元 盈利：179,923.65 万元 比上年同期增长：42.84%-64.51% 扣除非经常性损 益后的净利润 盈利：244,000 万元-281,000 万元 盈利：160,909.92 万元 比上年同期增长：51.64%-74.63% 基本每股收益 盈利：4.8434 元/股–5.5784 元/股 盈利：3.4000 元/股 二、与会计师事务所沟通情况 本次业绩预告未经会计师事务所审计。 三、业绩变动原因说明 公司 2024 年上半年预计经营业绩比上年同期增长的主要原因如下： 1．报告期内，公司持续精研客户需求，丰富产品矩阵，不断提升核心竞争力。 公司应用于集成电路领域的刻蚀、薄膜沉积、清洗、炉管和快速退火等工艺装备工 艺覆盖度及市场占有率持续稳步攀升，收入…</x:v>
      </x:c>
      <x:c r="N87" s="51" t="str">
        <x:v>2-间接相关</x:v>
      </x:c>
      <x:c r="O87" s="51" t="str">
        <x:v>是</x:v>
      </x:c>
      <x:c r="P87" s="71" t="str">
        <x:v>《2024年半年度业绩预告》（第1页）披露“证券代码：002371 证券简称：北方华创 公告编号：2024-047 北方华创科技集团股份有限公司 2024 年半年度业绩预告 本公司及董事会全体成员保…”，可建立公告事项到“半导体设备订单增长能否持续转化为营业收入”的一阶业务传导链；但未直接给出最终结果，故判2级。</x:v>
      </x:c>
      <x:c r="Q87" s="51" t="str">
        <x:v>FIN-R01</x:v>
      </x:c>
      <x:c r="R87" s="202" t="n">
        <x:v>46260.92880688657</x:v>
      </x:c>
    </x:row>
    <x:row r="88" ht="72" customHeight="1">
      <x:c r="A88" s="50" t="str">
        <x:v>V4-R-Q011-C06</x:v>
      </x:c>
      <x:c r="B88" s="50" t="str">
        <x:v>V4-E-Q011-C06</x:v>
      </x:c>
      <x:c r="C88" s="50" t="str">
        <x:v>V4-Q011</x:v>
      </x:c>
      <x:c r="D88" s="49" t="str">
        <x:v>北方华创</x:v>
      </x:c>
      <x:c r="E88" s="50" t="str">
        <x:v>002371</x:v>
      </x:c>
      <x:c r="F88" s="81" t="n">
        <x:v>46260.75</x:v>
      </x:c>
      <x:c r="G88" s="65" t="str">
        <x:v>半导体设备订单增长能否持续转化为营业收入</x:v>
      </x:c>
      <x:c r="H88" s="50" t="str">
        <x:v>DOC-EVT-002371-00190</x:v>
      </x:c>
      <x:c r="I88" s="65" t="str">
        <x:v>2024年度业绩快报</x:v>
      </x:c>
      <x:c r="J88" s="81" t="n">
        <x:v>45755.369363425925</x:v>
      </x:c>
      <x:c r="K88" s="87" t="str">
        <x:v>http://static.cninfo.com.cn/finalpage/2025-04-08/1223023086.pdf</x:v>
      </x:c>
      <x:c r="L88" s="49" t="str">
        <x:v>第2页</x:v>
      </x:c>
      <x:c r="M88" s="65" t="str">
        <x:v>现营业收入298.38亿元，同比增长35.14%，实现归属于上市公司股东的净利润56.21 亿元，同比增长44.17%。2022年至2024年，公司营业收入和归母净利润连续三年实 现增长，营业收入年复合增长率42.53%，归母净利润年复合增长率54.57%。 2. 上表中有关项目增减变动幅度达30%以上的说明 （1）营业收入比上年同期增长的主要原因是公司集成电路装备领域多款新产品 取得突破，工艺覆盖度及市场占有率显著增长，产品销量同比大幅度增加。 （2）营业利润、利润总额、归属于上市公司股东的净利润、扣除非经常性损益 后的归属于上市公司股东的净利润，以及基本每股收益指标同比增长的主要原因是 公司业务规模持续扩大，在收入增长的同时，持续推动降本增效工作，平台优势逐 渐显现，经营效率显著提高，成本费用率有效降低。 三、与前次业绩预计的差异说明 本次业绩快报披露的经营业绩与2025年1月14日披露的公司《2024年度业绩预告》 中数据不存在重大差异。 四、其他说明 本次业绩快报是公司财务部门与会计师初步沟通的结果，具体财务数据将在 《2024年年度报告》中披露。 五、备查文件 经公司现任法定代表人、总裁、主管会计工作负责人、会计机构负责人（会计 主管人员）签字并盖章的比较式资产负债表和利润表。 特此公告。 北方华创科技集团股份有限公司 董事会 2025 年 4 月 8 日</x:v>
      </x:c>
      <x:c r="N88" s="51" t="str">
        <x:v>2-间接相关</x:v>
      </x:c>
      <x:c r="O88" s="51" t="str">
        <x:v>是</x:v>
      </x:c>
      <x:c r="P88" s="71" t="str">
        <x:v>《2024年度业绩快报》（第2页）披露“现营业收入298.38亿元，同比增长35.14%，实现归属于上市公司股东的净利润56.21 亿元，同比增长44.17%。2022年至2024年，公司营业收…”，可建立公告事项到“半导体设备订单增长能否持续转化为营业收入”的一阶业务传导链；但未直接给出最终结果，故判2级。</x:v>
      </x:c>
      <x:c r="Q88" s="51" t="str">
        <x:v>FIN-R01</x:v>
      </x:c>
      <x:c r="R88" s="202" t="n">
        <x:v>46260.92880688657</x:v>
      </x:c>
    </x:row>
    <x:row r="89" ht="72" customHeight="1">
      <x:c r="A89" s="50" t="str">
        <x:v>V4-R-Q011-C04</x:v>
      </x:c>
      <x:c r="B89" s="50" t="str">
        <x:v>V4-E-Q011-C04</x:v>
      </x:c>
      <x:c r="C89" s="50" t="str">
        <x:v>V4-Q011</x:v>
      </x:c>
      <x:c r="D89" s="49" t="str">
        <x:v>北方华创</x:v>
      </x:c>
      <x:c r="E89" s="50" t="str">
        <x:v>002371</x:v>
      </x:c>
      <x:c r="F89" s="81" t="n">
        <x:v>46260.75</x:v>
      </x:c>
      <x:c r="G89" s="65" t="str">
        <x:v>半导体设备订单增长能否持续转化为营业收入</x:v>
      </x:c>
      <x:c r="H89" s="50" t="str">
        <x:v>DOC-EVT-002371-00193</x:v>
      </x:c>
      <x:c r="I89" s="65" t="str">
        <x:v>关于协议受让沈阳芯源微电子设备股份有限公司股份事项获得批复的公告</x:v>
      </x:c>
      <x:c r="J89" s="81" t="n">
        <x:v>45769</x:v>
      </x:c>
      <x:c r="K89" s="87" t="str">
        <x:v>http://static.cninfo.com.cn/finalpage/2025-04-22/1223184513.PDF</x:v>
      </x:c>
      <x:c r="L89" s="49" t="str">
        <x:v>第1页</x:v>
      </x:c>
      <x:c r="M89" s="65" t="str">
        <x:v>证券代码：002371 证券简称：北方华创 公告编号：2025-024 北方华创科技集团股份有限公司 关于协议受让沈阳芯源微电子设备股份有限公司股份事项 获得批复的公告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公司（以下简称“先进制造”）签署了股份转让协议，公司拟协议受让先进制造 持有的 19,064,915 股沈阳芯源微电子设备股份有限公司（股票代码 688037，以 下简称“芯源微”）股份。公司于2025 年 3 月 20 日召开第八届董事会第二十二 次会议，审议通过了《关于参与沈阳芯源微电子设备股份有限公司股份公开挂牌 竞买的议案》 。2025 年 3 月 31 日， 公司与沈阳中科天盛自动化技术有限公司 （以 下简称“中科天盛”）签署了股份转让协议，公司拟协议受让中科天盛持有的 16,899,750股芯源微股份。具体内容详见公司于2025 年 3 月 11日、3 月 21 日及 4 月1 日在指定信息披露媒体《中国证券报》《证券时报》《上海证券报》及巨 潮资讯网（www.cninfo.com.cn）披露的《第八届董事会第二十次会议决议公告》 《关于协议受让沈阳芯源微电子设备股份有限公司部…</x:v>
      </x:c>
      <x:c r="N89" s="51" t="str">
        <x:v>1-弱相关</x:v>
      </x:c>
      <x:c r="O89" s="51" t="str">
        <x:v>否</x:v>
      </x:c>
      <x:c r="P89" s="71" t="str">
        <x:v>《关于协议受让沈阳芯源微电子设备股份有限公司股份事项获得批复的公告》（第1页）仅披露“证券代码：002371 证券简称：北方华创 公告编号：2025-024 北方华创科技集团股份有限公司 关于协议受让沈阳芯源微电子设备股份有限公司股份事项 …”，虽与公司经营或相邻主题有关，但不足以验证“半导体设备订单增长能否持续转化为营业收入”的关键路径，故判1级。</x:v>
      </x:c>
      <x:c r="Q89" s="51" t="str">
        <x:v>FIN-R01</x:v>
      </x:c>
      <x:c r="R89" s="202" t="n">
        <x:v>46260.92880688657</x:v>
      </x:c>
    </x:row>
    <x:row r="90" ht="72" customHeight="1">
      <x:c r="A90" s="50" t="str">
        <x:v>V4-R-Q012-C07</x:v>
      </x:c>
      <x:c r="B90" s="50" t="str">
        <x:v>V4-E-Q012-C07</x:v>
      </x:c>
      <x:c r="C90" s="50" t="str">
        <x:v>V4-Q012</x:v>
      </x:c>
      <x:c r="D90" s="49" t="str">
        <x:v>北方华创</x:v>
      </x:c>
      <x:c r="E90" s="50" t="str">
        <x:v>002371</x:v>
      </x:c>
      <x:c r="F90" s="81" t="n">
        <x:v>46260.75</x:v>
      </x:c>
      <x:c r="G90" s="65" t="str">
        <x:v>国产替代能否推动高端半导体设备品类持续扩张</x:v>
      </x:c>
      <x:c r="H90" s="50" t="str">
        <x:v>DOC-EVT-002371-00101</x:v>
      </x:c>
      <x:c r="I90" s="65" t="str">
        <x:v>2024年半年度业绩预告</x:v>
      </x:c>
      <x:c r="J90" s="81" t="n">
        <x:v>45485</x:v>
      </x:c>
      <x:c r="K90" s="87" t="str">
        <x:v>http://static.cninfo.com.cn/finalpage/2024-07-12/1220616914.PDF</x:v>
      </x:c>
      <x:c r="L90" s="49" t="str">
        <x:v>第1页</x:v>
      </x:c>
      <x:c r="M90" s="65" t="str">
        <x:v>证券代码：002371 证券简称：北方华创 公告编号：2024-047 北方华创科技集团股份有限公司 2024 年半年度业绩预告 本公司及董事会全体成员保证信息披露的内容真实、准确、完整，没有虚假记 载、误导性陈述或者重大遗漏。 一、本期业绩预计情况 1．业绩预告期间：2024 年 1 月 1 日-2024 年 6 月 30 日 2．预计的经营业绩：扭亏为盈 同向上升 同向下降 项目 本报告期 上年同期 营业收入 1,141,000 万元-1,314,000 万元 842,659.01 万元 比上年同期增长：35.40%-55.93% 归属于上市公司 股东的净利润 盈利：257,000 万元-296,000 万元 盈利：179,923.65 万元 比上年同期增长：42.84%-64.51% 扣除非经常性损 益后的净利润 盈利：244,000 万元-281,000 万元 盈利：160,909.92 万元 比上年同期增长：51.64%-74.63% 基本每股收益 盈利：4.8434 元/股–5.5784 元/股 盈利：3.4000 元/股 二、与会计师事务所沟通情况 本次业绩预告未经会计师事务所审计。 三、业绩变动原因说明 公司 2024 年上半年预计经营业绩比上年同期增长的主要原因如下： 1．报告期内，公司持续精研客户需求，丰富产品矩阵，不断提升核心竞争力。 公司应用于集成电路领域的刻蚀、薄膜沉积、清洗、炉管和快速退火等工艺装备工 艺覆盖度及市场占有率持续稳步攀升，收入…</x:v>
      </x:c>
      <x:c r="N90" s="51" t="str">
        <x:v>3-直接相关</x:v>
      </x:c>
      <x:c r="O90" s="51" t="str">
        <x:v>是</x:v>
      </x:c>
      <x:c r="P90" s="71" t="str">
        <x:v>《2024年半年度业绩预告》（第1页）直接披露“证券代码：002371 证券简称：北方华创 公告编号：2024-047 北方华创科技集团股份有限公司 2024 年半年度业绩预告 本公司及董事会全体成员保…”，与“国产替代能否推动高端半导体设备品类持续扩张”的核心变量或结果同口径，可直接用于判断，故判3级。</x:v>
      </x:c>
      <x:c r="Q90" s="51" t="str">
        <x:v>FIN-R01</x:v>
      </x:c>
      <x:c r="R90" s="202" t="n">
        <x:v>46260.92880688657</x:v>
      </x:c>
    </x:row>
    <x:row r="91" ht="72" customHeight="1">
      <x:c r="A91" s="50" t="str">
        <x:v>V4-R-Q012-C04</x:v>
      </x:c>
      <x:c r="B91" s="50" t="str">
        <x:v>V4-E-Q012-C04</x:v>
      </x:c>
      <x:c r="C91" s="50" t="str">
        <x:v>V4-Q012</x:v>
      </x:c>
      <x:c r="D91" s="49" t="str">
        <x:v>北方华创</x:v>
      </x:c>
      <x:c r="E91" s="50" t="str">
        <x:v>002371</x:v>
      </x:c>
      <x:c r="F91" s="81" t="n">
        <x:v>46260.75</x:v>
      </x:c>
      <x:c r="G91" s="65" t="str">
        <x:v>国产替代能否推动高端半导体设备品类持续扩张</x:v>
      </x:c>
      <x:c r="H91" s="50" t="str">
        <x:v>DOC-EVT-002371-00193</x:v>
      </x:c>
      <x:c r="I91" s="65" t="str">
        <x:v>关于协议受让沈阳芯源微电子设备股份有限公司股份事项获得批复的公告</x:v>
      </x:c>
      <x:c r="J91" s="81" t="n">
        <x:v>45769</x:v>
      </x:c>
      <x:c r="K91" s="87" t="str">
        <x:v>http://static.cninfo.com.cn/finalpage/2025-04-22/1223184513.PDF</x:v>
      </x:c>
      <x:c r="L91" s="49" t="str">
        <x:v>第1页</x:v>
      </x:c>
      <x:c r="M91" s="65" t="str">
        <x:v>证券代码：002371 证券简称：北方华创 公告编号：2025-024 北方华创科技集团股份有限公司 关于协议受让沈阳芯源微电子设备股份有限公司股份事项 获得批复的公告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公司（以下简称“先进制造”）签署了股份转让协议，公司拟协议受让先进制造 持有的 19,064,915 股沈阳芯源微电子设备股份有限公司（股票代码 688037，以 下简称“芯源微”）股份。公司于2025 年 3 月 20 日召开第八届董事会第二十二 次会议，审议通过了《关于参与沈阳芯源微电子设备股份有限公司股份公开挂牌 竞买的议案》 。2025 年 3 月 31 日， 公司与沈阳中科天盛自动化技术有限公司 （以 下简称“中科天盛”）签署了股份转让协议，公司拟协议受让中科天盛持有的 16,899,750股芯源微股份。具体内容详见公司于2025 年 3 月 11日、3 月 21 日及 4 月1 日在指定信息披露媒体《中国证券报》《证券时报》《上海证券报》及巨 潮资讯网（www.cninfo.com.cn）披露的《第八届董事会第二十次会议决议公告》 《关于协议受让沈阳芯源微电子设备股份有限公司部…</x:v>
      </x:c>
      <x:c r="N91" s="51" t="str">
        <x:v>2-间接相关</x:v>
      </x:c>
      <x:c r="O91" s="51" t="str">
        <x:v>是</x:v>
      </x:c>
      <x:c r="P91" s="71" t="str">
        <x:v>《关于协议受让沈阳芯源微电子设备股份有限公司股份事项获得批复的公告》（第1页）披露“证券代码：002371 证券简称：北方华创 公告编号：2025-024 北方华创科技集团股份有限公司 关于协议受让沈阳芯源微电子设备股份有限公司股份事项 …”，可建立公告事项到“国产替代能否推动高端半导体设备品类持续扩张”的一阶业务传导链；但未直接给出最终结果，故判2级。</x:v>
      </x:c>
      <x:c r="Q91" s="51" t="str">
        <x:v>FIN-R01</x:v>
      </x:c>
      <x:c r="R91" s="202" t="n">
        <x:v>46260.92880688657</x:v>
      </x:c>
    </x:row>
    <x:row r="92" ht="72" customHeight="1">
      <x:c r="A92" s="50" t="str">
        <x:v>V4-R-Q012-C03</x:v>
      </x:c>
      <x:c r="B92" s="50" t="str">
        <x:v>V4-E-Q012-C03</x:v>
      </x:c>
      <x:c r="C92" s="50" t="str">
        <x:v>V4-Q012</x:v>
      </x:c>
      <x:c r="D92" s="49" t="str">
        <x:v>北方华创</x:v>
      </x:c>
      <x:c r="E92" s="50" t="str">
        <x:v>002371</x:v>
      </x:c>
      <x:c r="F92" s="81" t="n">
        <x:v>46260.75</x:v>
      </x:c>
      <x:c r="G92" s="65" t="str">
        <x:v>国产替代能否推动高端半导体设备品类持续扩张</x:v>
      </x:c>
      <x:c r="H92" s="50" t="str">
        <x:v>DOC-EVT-002371-00184</x:v>
      </x:c>
      <x:c r="I92" s="65" t="str">
        <x:v>关于参与沈阳芯源微电子设备股份有限公司股份公开挂牌竞买的公告</x:v>
      </x:c>
      <x:c r="J92" s="81" t="n">
        <x:v>45737</x:v>
      </x:c>
      <x:c r="K92" s="87" t="str">
        <x:v>http://static.cninfo.com.cn/finalpage/2025-03-21/1222856730.PDF</x:v>
      </x:c>
      <x:c r="L92" s="49" t="str">
        <x:v>第1页</x:v>
      </x:c>
      <x:c r="M92" s="65" t="str">
        <x:v>证券代码：002371 证券简称：北方华创 公告编号：2025-015 北方华创科技集团股份有限公司 关于参与沈阳芯源微电子设备股份有限公司 股份公开挂牌竞买的公告 本公司及董事会全体成员保证信息披露的内容真实、准确、完整，没有虚假 记载、误导性陈述或者重大遗漏。 北方华创科技集团股份有限公司（以下简称“北方华创”或“公司”）于2025 年 3 月 20 日召开公司第八届董事会第二十二次会议，审议通过了《关于参与沈 阳芯源微电子设备股份有限公司股份公开挂牌竞买的议案》 。 本次交易不构成关联交易，也不构成《上市公司重大资产重组管理办法》规 定的重大资产重组，根据《公司章程》规定，亦无需提交公司股东大会审议。现 将相关事项公告如下： 一、交易概述 （一）基本情况 沈阳中科天盛自动化技术有限公司（以下简称“中科天盛” ）拟公开挂牌转 让其所持沈阳芯源微电子设备股份有限公司（股票代码：688037，以下简称“芯 源微” ）8.41%股份，合计16,899,750 股，挂牌价格不低于85.71 元/股，总价不低 于 1,448,477,572.50 元。为加快推动北方华创战略落实，发挥协同效应，提高股 东回报，公司拟以现金为对价，参与本次竞买事宜。 公司于2025 年 3 月 10 日与沈阳先进制造技术产业有限公司 （以下简称 “先 进制造” ）签署了股份转让协议，协议受让19,064,915 股芯源微股份，详见公司 于2025 年 3 月 11 日在巨潮资讯网（www.cninf…</x:v>
      </x:c>
      <x:c r="N92" s="51" t="str">
        <x:v>2-间接相关</x:v>
      </x:c>
      <x:c r="O92" s="51" t="str">
        <x:v>是</x:v>
      </x:c>
      <x:c r="P92" s="71" t="str">
        <x:v>《关于参与沈阳芯源微电子设备股份有限公司股份公开挂牌竞买的公告》（第1页）披露“证券代码：002371 证券简称：北方华创 公告编号：2025-015 北方华创科技集团股份有限公司 关于参与沈阳芯源微电子设备股份有限公司 股份公开挂牌…”，可建立公告事项到“国产替代能否推动高端半导体设备品类持续扩张”的一阶业务传导链；但未直接给出最终结果，故判2级。</x:v>
      </x:c>
      <x:c r="Q92" s="51" t="str">
        <x:v>FIN-R01</x:v>
      </x:c>
      <x:c r="R92" s="202" t="n">
        <x:v>46260.92880688657</x:v>
      </x:c>
    </x:row>
    <x:row r="93" ht="72" customHeight="1">
      <x:c r="A93" s="50" t="str">
        <x:v>V4-R-Q012-C06</x:v>
      </x:c>
      <x:c r="B93" s="50" t="str">
        <x:v>V4-E-Q012-C06</x:v>
      </x:c>
      <x:c r="C93" s="50" t="str">
        <x:v>V4-Q012</x:v>
      </x:c>
      <x:c r="D93" s="49" t="str">
        <x:v>北方华创</x:v>
      </x:c>
      <x:c r="E93" s="50" t="str">
        <x:v>002371</x:v>
      </x:c>
      <x:c r="F93" s="81" t="n">
        <x:v>46260.75</x:v>
      </x:c>
      <x:c r="G93" s="65" t="str">
        <x:v>国产替代能否推动高端半导体设备品类持续扩张</x:v>
      </x:c>
      <x:c r="H93" s="50" t="str">
        <x:v>DOC-EVT-002371-00252</x:v>
      </x:c>
      <x:c r="I93" s="65" t="str">
        <x:v>2025年半年度报告摘要</x:v>
      </x:c>
      <x:c r="J93" s="81" t="n">
        <x:v>45898</x:v>
      </x:c>
      <x:c r="K93" s="87" t="str">
        <x:v>http://static.cninfo.com.cn/finalpage/2025-08-29/1224615657.PDF</x:v>
      </x:c>
      <x:c r="L93" s="49" t="str">
        <x:v>第3页</x:v>
      </x:c>
      <x:c r="M93" s="65" t="str">
        <x:v>北方华创科技集团股份有限公司 2025年半年度报告摘要 参与融资融券业务股东情况说明（如 有） 无 持股 5%以上股东、前 10 名股东及前 10 名无限售流通股股东参与转融通业务出借股份情况 □适用 不适用 前 10 名股东及前 10 名无限售流通股股东因转融通出借/归还原因导致较上期发生变化 □适用 不适用 4、控股股东或实际控制人变更情况 控股股东报告期内变更 □适用 不适用 公司报告期控股股东未发生变更。 实际控制人报告期内变更 □适用 不适用 公司报告期实际控制人未发生变更。 5、公司优先股股东总数及前 10 名优先股股东持股情况表 □适用 不适用 公司报告期无优先股股东持股情况。 6、在半年度报告批准报出日存续的债券情况 □适用 不适用 三、重要事项 1.2025 年 6 月 23 日,本公司以 31.35 亿元现金对价，通过两次协议受让方式完成对沈阳芯源微电子设备股份有限公司 （以下简称“芯源微”）的股份收购，合计取得 35,964,665 股股份，约占芯源微总股本的 17.87%，成为芯源微第一大股 东。同时，北方华创提名 4 名非独立董事和 1 名独立董事，在芯源微全部董事和非独立董事中均过半数，成为芯源微控 股股东并取得控制权。 本次北方华创取得对芯源微的控制权，有利于双方协同效应的发挥。一方面，双方可以通过合作，推动不同设备的 工艺整合，协同为客户提供更完整、高效的集成电路装备解决方案；另一方面，双方可在研发、供应链、客户资源等方 面加强协…</x:v>
      </x:c>
      <x:c r="N93" s="51" t="str">
        <x:v>3-直接相关</x:v>
      </x:c>
      <x:c r="O93" s="51" t="str">
        <x:v>是</x:v>
      </x:c>
      <x:c r="P93" s="71" t="str">
        <x:v>《2025年半年度报告摘要》（第3页）直接披露“北方华创科技集团股份有限公司 2025年半年度报告摘要 参与融资融券业务股东情况说明（如 有） 无 持股 5%以上股东、前 10 名股东及前 10 名无限…”，与“国产替代能否推动高端半导体设备品类持续扩张”的核心变量或结果同口径，可直接用于判断，故判3级。</x:v>
      </x:c>
      <x:c r="Q93" s="51" t="str">
        <x:v>FIN-R01</x:v>
      </x:c>
      <x:c r="R93" s="202" t="n">
        <x:v>46260.92880688657</x:v>
      </x:c>
    </x:row>
    <x:row r="94" ht="72" customHeight="1">
      <x:c r="A94" s="50" t="str">
        <x:v>V4-R-Q012-C02</x:v>
      </x:c>
      <x:c r="B94" s="50" t="str">
        <x:v>V4-E-Q012-C02</x:v>
      </x:c>
      <x:c r="C94" s="50" t="str">
        <x:v>V4-Q012</x:v>
      </x:c>
      <x:c r="D94" s="49" t="str">
        <x:v>北方华创</x:v>
      </x:c>
      <x:c r="E94" s="50" t="str">
        <x:v>002371</x:v>
      </x:c>
      <x:c r="F94" s="81" t="n">
        <x:v>46260.75</x:v>
      </x:c>
      <x:c r="G94" s="65" t="str">
        <x:v>国产替代能否推动高端半导体设备品类持续扩张</x:v>
      </x:c>
      <x:c r="H94" s="50" t="str">
        <x:v>DOC-EVT-002371-00165</x:v>
      </x:c>
      <x:c r="I94" s="65" t="str">
        <x:v>关于协议受让沈阳芯源微电子设备股份有限公司部分股份的公告</x:v>
      </x:c>
      <x:c r="J94" s="81" t="n">
        <x:v>45727</x:v>
      </x:c>
      <x:c r="K94" s="87" t="str">
        <x:v>http://static.cninfo.com.cn/finalpage/2025-03-11/1222760056.PDF</x:v>
      </x:c>
      <x:c r="L94" s="49" t="str">
        <x:v>第1页</x:v>
      </x:c>
      <x:c r="M94" s="65" t="str">
        <x:v>证券代码：002371 证券简称：北方华创 公告编号：2025-005 北方华创科技集团股份有限公司 关于协议受让沈阳芯源微电子设备股份有限公司 部分股份的公告 本公司及董事会全体成员保证信息披露的内容真实、准确、完整，没有虚假 记载、误导性陈述或者重大遗漏。 沈阳先进制造技术产业有限公司（以下简称“先进制造” ）持有沈阳芯源微 电子设备股份有限公司（股票代码：688037，以下简称“芯源微” ）9.49%股份， 合计19,064,915 股。 北方华创科技集团股份有限公司（以下简称“北方华创”或“公司”）于2025 年 3 月 10 日召开公司第八届董事会第二十次会议，审议通过了《关于协议受让 沈阳芯源微电子设备股份有限公司部分股份的议案》 。 本次交易不构成关联交易，也不构成《上市公司重大资产重组管理办法》规 定的重大资产重组，根据《公司章程》规定，亦无需提交公司股东大会审议。 此外，沈阳中科天盛自动化技术有限公司（以下简称“中科天盛” ）持有沈 阳芯源微电子设备股份有限公司 （股票代码：688037， 以下简称 “芯源微” ）8.41% 股份，合计16,899,750 股。中科天盛拟通过公开征集转让方式协议转让所持芯源 微的全部股份， 公司将积极通过参与公开挂牌竞买等方式继续增持芯源微股份并 取得对其控制权。 现将相关事项公告如下： 一、交易概述 （一）基本情况 为加快推动北方华创战略落实，发挥协同效应，提高股东回报，公司以现金 为对价，协议受让先进制造持有的芯源微9…</x:v>
      </x:c>
      <x:c r="N94" s="51" t="str">
        <x:v>2-间接相关</x:v>
      </x:c>
      <x:c r="O94" s="51" t="str">
        <x:v>是</x:v>
      </x:c>
      <x:c r="P94" s="71" t="str">
        <x:v>《关于协议受让沈阳芯源微电子设备股份有限公司部分股份的公告》（第1页）披露“证券代码：002371 证券简称：北方华创 公告编号：2025-005 北方华创科技集团股份有限公司 关于协议受让沈阳芯源微电子设备股份有限公司 部分股份…”，可建立公告事项到“国产替代能否推动高端半导体设备品类持续扩张”的一阶业务传导链；但未直接给出最终结果，故判2级。</x:v>
      </x:c>
      <x:c r="Q94" s="51" t="str">
        <x:v>FIN-R01</x:v>
      </x:c>
      <x:c r="R94" s="202" t="n">
        <x:v>46260.92880688657</x:v>
      </x:c>
    </x:row>
    <x:row r="95" ht="72" customHeight="1">
      <x:c r="A95" s="50" t="str">
        <x:v>V4-R-Q012-C01</x:v>
      </x:c>
      <x:c r="B95" s="50" t="str">
        <x:v>V4-E-Q012-C01</x:v>
      </x:c>
      <x:c r="C95" s="50" t="str">
        <x:v>V4-Q012</x:v>
      </x:c>
      <x:c r="D95" s="49" t="str">
        <x:v>北方华创</x:v>
      </x:c>
      <x:c r="E95" s="50" t="str">
        <x:v>002371</x:v>
      </x:c>
      <x:c r="F95" s="81" t="n">
        <x:v>46260.75</x:v>
      </x:c>
      <x:c r="G95" s="65" t="str">
        <x:v>国产替代能否推动高端半导体设备品类持续扩张</x:v>
      </x:c>
      <x:c r="H95" s="50" t="str">
        <x:v>DOC-EVT-002371-00309</x:v>
      </x:c>
      <x:c r="I95" s="65" t="str">
        <x:v>关于变更持续督导保荐代表人的公告</x:v>
      </x:c>
      <x:c r="J95" s="81" t="n">
        <x:v>45986</x:v>
      </x:c>
      <x:c r="K95" s="87" t="str">
        <x:v>http://static.cninfo.com.cn/finalpage/2025-11-25/1224824025.PDF</x:v>
      </x:c>
      <x:c r="L95" s="49" t="str">
        <x:v>第1页</x:v>
      </x:c>
      <x:c r="M95" s="65" t="str">
        <x:v>证券代码：002371 证券简称：北方华创 公告编号：2025-068 北方华创科技集团股份有限公司 关于变更持续督导保荐代表人的公告 本公司及董事会全体成员保证信息披露的内容真实、准确、完整，没有虚 假记载、误导性陈述或者重大遗漏。 北方华创科技集团股份有限公司（以下简称“公司”）于近日收到中信建 投证券股份有限公司（以下简称“中信建投”）出具的《关于变更北方华创科技 集团股份有限公司持续督导保荐代表人的函》，具体情况如下： 中信建投作为公司 2021 年度非公开发行股票项目的保荐人，原委派张林先 生、侯顺先生具体负责保荐工作及持续督导工作。现因侯顺先生工作变动，不再 担任公司持续督导的保荐代表人。为保证持续督导工作的有序进行，中信建投委 派曹东明先生（简历见附件）接替侯顺先生担任公司保荐代表人，继续履行持续 督导职责。 本次保荐代表人变更后，公司持续督导保荐代表人为张林先生和曹东明先 生。本次变更不影响中信建投对公司的持续督导工作。 公司董事会对侯顺先生在公司持续督导期间所做出的贡献表示衷心感谢！ 特此公告。 北方华创科技集团股份有限公司 董事会 2025 年 11 月 25 日</x:v>
      </x:c>
      <x:c r="N95" s="51" t="str">
        <x:v>0-无关</x:v>
      </x:c>
      <x:c r="O95" s="51" t="str">
        <x:v>否</x:v>
      </x:c>
      <x:c r="P95" s="71" t="str">
        <x:v>《关于变更持续督导保荐代表人的公告》（第1页）内容为“证券代码：002371 证券简称：北方华创 公告编号：2025-068 北方华创科技集团股份有限公司 关于变更持续督导保荐代表人的公告 本公司及董事会全体…”，属于治理、证券程序或其他非核心事项，不能帮助判断“国产替代能否推动高端半导体设备品类持续扩张”，故判0级。</x:v>
      </x:c>
      <x:c r="Q95" s="51" t="str">
        <x:v>FIN-R01</x:v>
      </x:c>
      <x:c r="R95" s="202" t="n">
        <x:v>46260.92880688657</x:v>
      </x:c>
    </x:row>
    <x:row r="96" ht="72" customHeight="1">
      <x:c r="A96" s="50" t="str">
        <x:v>V4-R-Q012-C08</x:v>
      </x:c>
      <x:c r="B96" s="50" t="str">
        <x:v>V4-E-Q012-C08</x:v>
      </x:c>
      <x:c r="C96" s="50" t="str">
        <x:v>V4-Q012</x:v>
      </x:c>
      <x:c r="D96" s="49" t="str">
        <x:v>北方华创</x:v>
      </x:c>
      <x:c r="E96" s="50" t="str">
        <x:v>002371</x:v>
      </x:c>
      <x:c r="F96" s="81" t="n">
        <x:v>46260.75</x:v>
      </x:c>
      <x:c r="G96" s="65" t="str">
        <x:v>国产替代能否推动高端半导体设备品类持续扩张</x:v>
      </x:c>
      <x:c r="H96" s="50" t="str">
        <x:v>DOC-EVT-002371-00258</x:v>
      </x:c>
      <x:c r="I96" s="65" t="str">
        <x:v>关于持股5%以上股东股份减持至5%以下并触及1%整数倍暨权益变动的提示性公告</x:v>
      </x:c>
      <x:c r="J96" s="81" t="n">
        <x:v>45917</x:v>
      </x:c>
      <x:c r="K96" s="87" t="str">
        <x:v>http://static.cninfo.com.cn/finalpage/2025-09-17/1224664907.PDF</x:v>
      </x:c>
      <x:c r="L96" s="49" t="str">
        <x:v>第1页</x:v>
      </x:c>
      <x:c r="M96" s="65" t="str">
        <x:v>证券代码：002371 证券简称：北方华创 公告编号：2025-056 北方华创科技集团股份有限公司 关于持股 5%以上股东股份减持至 5%以下并触及 1%整数 倍暨权益变动的提示性公告 公司股东国家集成电路产业投资基金股份有限公司保证向本公司提供的信 息内容真实、准确、完整，没有虚假记载、误导性陈述或重大遗漏。 本公司及董事会全体成员保证公告内容与信息披露义务人提供的信息一致。 特别提示： 1. 本次权益变动属于北方华创科技集团股份有限公司（以下简称“公司”） 股东国家集成电路产业投资基金股份有限公司（以下简称“国家集成电路基金”） 因减持公司股份、股票期权行权被动稀释等原因导致国家集成电路基金持股比例 下降的权益变动行为。 2. 本次权益变动不涉及要约收购，不会影响公司的治理结构和持续经营。 公司于近日收到国家集成电路基金出具的《关于股东减持至 5%以下的告知 函》和《简式权益变动报告书》，获悉国家集成电路基金于 2025 年 7 月28 日至 2025 年 9 月 15 日期间通过集中竞价交易方式减持公司股份 2,591,853 股，占公 司目前总股本 724,088,670 的 0.357947%，因 2023 年 11 月 22 日至 2025 年 9 月 15 日期间公司股权激励行权总股本增加导致被动稀释 0.062843%。本次权益变动 后，国家集成电路基金持有公司股份 36,203,942 股，占公司总股本的 4.999932%， 不再是公司持股 5%以上的…</x:v>
      </x:c>
      <x:c r="N96" s="51" t="str">
        <x:v>0-无关</x:v>
      </x:c>
      <x:c r="O96" s="51" t="str">
        <x:v>否</x:v>
      </x:c>
      <x:c r="P96" s="71" t="str">
        <x:v>《关于持股5%以上股东股份减持至5%以下并触及1%整数倍暨权益变动的…》（第1页）内容为“证券代码：002371 证券简称：北方华创 公告编号：2025-056 北方华创科技集团股份有限公司 关于持股 5%以上股东股份减持至 5%以下并触及 1…”，属于治理、证券程序或其他非核心事项，不能帮助判断“国产替代能否推动高端半导体设备品类持续扩张”，故判0级。</x:v>
      </x:c>
      <x:c r="Q96" s="51" t="str">
        <x:v>FIN-R01</x:v>
      </x:c>
      <x:c r="R96" s="202" t="n">
        <x:v>46260.92880688657</x:v>
      </x:c>
    </x:row>
    <x:row r="97" ht="72" customHeight="1">
      <x:c r="A97" s="50" t="str">
        <x:v>V4-R-Q012-C05</x:v>
      </x:c>
      <x:c r="B97" s="50" t="str">
        <x:v>V4-E-Q012-C05</x:v>
      </x:c>
      <x:c r="C97" s="50" t="str">
        <x:v>V4-Q012</x:v>
      </x:c>
      <x:c r="D97" s="49" t="str">
        <x:v>北方华创</x:v>
      </x:c>
      <x:c r="E97" s="50" t="str">
        <x:v>002371</x:v>
      </x:c>
      <x:c r="F97" s="81" t="n">
        <x:v>46260.75</x:v>
      </x:c>
      <x:c r="G97" s="65" t="str">
        <x:v>国产替代能否推动高端半导体设备品类持续扩张</x:v>
      </x:c>
      <x:c r="H97" s="50" t="str">
        <x:v>DOC-EVT-002371-00187</x:v>
      </x:c>
      <x:c r="I97" s="65" t="str">
        <x:v>关于协议受让沈阳中科天盛自动化技术有限公司所持沈阳芯源微电子设备股份有限公司股份的公告</x:v>
      </x:c>
      <x:c r="J97" s="81" t="n">
        <x:v>45748</x:v>
      </x:c>
      <x:c r="K97" s="87" t="str">
        <x:v>http://static.cninfo.com.cn/finalpage/2025-04-01/1222974267.PDF</x:v>
      </x:c>
      <x:c r="L97" s="49" t="str">
        <x:v>第1页</x:v>
      </x:c>
      <x:c r="M97" s="65" t="str">
        <x:v>证券代码：002371 证券简称：北方华创 公告编号：2025-019 北方华创科技集团股份有限公司 关于协议受让沈阳中科天盛自动化技术有限公司 所持沈阳芯源微电子设备股份有限公司股份的公告 本公司及董事会全体成员保证信息披露的内容真实、准确、完整，没有虚假 记载、误导性陈述或者重大遗漏。 沈阳中科天盛自动化技术有限公司（以下简称“中科天盛” ）通过公开征集 转让的方式协议转让其所持沈阳芯源微电子设备股份有限公司（股票代码： 688037， 以下简称 “芯源微” ）8.41%股份， 合计16,899,750 股， 公开征集期为2025 年3 月 12 日至 2025 年 3 月 25 日。 北方华创科技集团股份有限公司（以下简称“北方华创”或“公司”）于2025 年 3 月 20 日召开公司第八届董事会第二十二次会议，审议通过了《关于参与沈 阳芯源微电子设备股份有限公司股份公开挂牌竞买的议案》 ，同意公司以现金为 对价，参与中科天盛对所持合计 16,899,750 股芯源微股份的公开挂牌竞买；授 权董事长及董事长授权人士办理本次竞买涉及的一切后续事宜 （包括但不限于确 定最终交易价格、具体实施公开挂牌竞买、签署协议、办理股份过户手续等） 。 经中科天盛组织的评审委员会评审，北方华创符合本次公开征集转让的受让 方资格条件，经中科天盛内部决策，确定北方华创为本次公开征集受让方。 2025 年 3 月 31 日，北方华创与中科天盛签署了《股份转让协议》 。本次交 易已取得董事会的…</x:v>
      </x:c>
      <x:c r="N97" s="51" t="str">
        <x:v>2-间接相关</x:v>
      </x:c>
      <x:c r="O97" s="51" t="str">
        <x:v>是</x:v>
      </x:c>
      <x:c r="P97" s="71" t="str">
        <x:v>《关于协议受让沈阳中科天盛自动化技术有限公司所持沈阳芯源微电子设备股…》（第1页）披露“证券代码：002371 证券简称：北方华创 公告编号：2025-019 北方华创科技集团股份有限公司 关于协议受让沈阳中科天盛自动化技术有限公司 所持沈阳…”，可建立公告事项到“国产替代能否推动高端半导体设备品类持续扩张”的一阶业务传导链；但未直接给出最终结果，故判2级。</x:v>
      </x:c>
      <x:c r="Q97" s="51" t="str">
        <x:v>FIN-R01</x:v>
      </x:c>
      <x:c r="R97" s="202" t="n">
        <x:v>46260.92880688657</x:v>
      </x:c>
    </x:row>
    <x:row r="98" ht="72" customHeight="1">
      <x:c r="A98" s="50" t="str">
        <x:v>V4-R-Q013-C07</x:v>
      </x:c>
      <x:c r="B98" s="50" t="str">
        <x:v>V4-E-Q013-C07</x:v>
      </x:c>
      <x:c r="C98" s="50" t="str">
        <x:v>V4-Q013</x:v>
      </x:c>
      <x:c r="D98" s="49" t="str">
        <x:v>北方华创</x:v>
      </x:c>
      <x:c r="E98" s="50" t="str">
        <x:v>002371</x:v>
      </x:c>
      <x:c r="F98" s="81" t="n">
        <x:v>46260.75</x:v>
      </x:c>
      <x:c r="G98" s="65" t="str">
        <x:v>扩产与研发投入是否会显著挤压短期经营现金流</x:v>
      </x:c>
      <x:c r="H98" s="50" t="str">
        <x:v>DOC-EVT-002371-00075</x:v>
      </x:c>
      <x:c r="I98" s="65" t="str">
        <x:v>2023年年度报告摘要</x:v>
      </x:c>
      <x:c r="J98" s="81" t="n">
        <x:v>45412</x:v>
      </x:c>
      <x:c r="K98" s="87" t="str">
        <x:v>http://static.cninfo.com.cn/finalpage/2024-04-30/1219908929.PDF</x:v>
      </x:c>
      <x:c r="L98" s="49" t="str">
        <x:v>第1页</x:v>
      </x:c>
      <x:c r="M98" s="65" t="str">
        <x:v>北方华创科技集团股份有限公司 2023 年年度报告摘要 1 证券代码：002371 证券简称：北方华创 公告编号：2024-022 北方华创科技集团股份有限公司 2023 年年度报告摘要 一、重要提示 本年度报告摘要来自年度报告全文，为全面了解本公司的经营成果、财务状况及未来发展规划，投资者应当到证监 会指定媒体仔细阅读年度报告全文。 所有董事均已出席了审议本报告的董事会会议。 非标准审计意见提示 □适用 不适用 董事会审议的报告期利润分配预案或公积金转增股本预案 适用 □不适用 是否以公积金转增股本 □是 否 公司经本次董事会审议通过的利润分配预案为：以 530,940,639 股为基数，向全体股东每10 股派发现金红利 7.80 元 （含税） ，送红股0 股（含税） ，不以公积金转增股本。 董事会决议通过的本报告期优先股利润分配预案 □适用 不适用 二、公司基本情况 1．公司简介 股票简称 北方华创 股票代码 002371 股票上市交易所 深圳证券交易所 变更前的股票简称（如有） 七星电子 联系人和联系方式 董事会秘书 证券事务代表 姓名 王晓宁 孙铮 办公地址 北京市北京经济技术开发区文昌大道 8 号 北京市北京经济技术开发区文昌大道 8 号 传真 010-57840288 010-57840288 电话 010-57840288 010-57840288 电子信箱 wangxiaoning@naura.com sunzheng@naura.com 2．报告期…</x:v>
      </x:c>
      <x:c r="N98" s="51" t="str">
        <x:v>1-弱相关</x:v>
      </x:c>
      <x:c r="O98" s="51" t="str">
        <x:v>否</x:v>
      </x:c>
      <x:c r="P98" s="71" t="str">
        <x:v>《2023年年度报告摘要》（第1页）仅披露“北方华创科技集团股份有限公司 2023 年年度报告摘要 1 证券代码：002371 证券简称：北方华创 公告编号：2024-022 北方华创科技集团股份有…”，虽与公司经营或相邻主题有关，但不足以验证“扩产与研发投入是否会显著挤压短期经营现金流”的关键路径，故判1级。</x:v>
      </x:c>
      <x:c r="Q98" s="51" t="str">
        <x:v>FIN-R01</x:v>
      </x:c>
      <x:c r="R98" s="202" t="n">
        <x:v>46260.92880688657</x:v>
      </x:c>
    </x:row>
    <x:row r="99" ht="72" customHeight="1">
      <x:c r="A99" s="50" t="str">
        <x:v>V4-R-Q013-C06</x:v>
      </x:c>
      <x:c r="B99" s="50" t="str">
        <x:v>V4-E-Q013-C06</x:v>
      </x:c>
      <x:c r="C99" s="50" t="str">
        <x:v>V4-Q013</x:v>
      </x:c>
      <x:c r="D99" s="49" t="str">
        <x:v>北方华创</x:v>
      </x:c>
      <x:c r="E99" s="50" t="str">
        <x:v>002371</x:v>
      </x:c>
      <x:c r="F99" s="81" t="n">
        <x:v>46260.75</x:v>
      </x:c>
      <x:c r="G99" s="65" t="str">
        <x:v>扩产与研发投入是否会显著挤压短期经营现金流</x:v>
      </x:c>
      <x:c r="H99" s="50" t="str">
        <x:v>DOC-EVT-002371-00284</x:v>
      </x:c>
      <x:c r="I99" s="65" t="str">
        <x:v>2025年三季度报告</x:v>
      </x:c>
      <x:c r="J99" s="81" t="n">
        <x:v>45961</x:v>
      </x:c>
      <x:c r="K99" s="87" t="str">
        <x:v>http://static.cninfo.com.cn/finalpage/2025-10-31/1224774311.PDF</x:v>
      </x:c>
      <x:c r="L99" s="49" t="str">
        <x:v>第3页</x:v>
      </x:c>
      <x:c r="M99" s="65" t="str">
        <x:v>北方华创科技集团股份有限公司 2025年第三季度报告 续增长，公司凭借高效的产品研发能力和快速的客户响应速度，工艺覆盖度和市场占有率稳步提升，公司市场份额持续 扩大，营业收入同比增加。 2．经营活动产生的现金流量净额 2025年1-9月为-2,566,434,879.21元，比上年同期下降 713.01%，其主要原因是：公司 订单及研发投入大幅增加，现金支出规模增加。 三、股东信息 （一）普通股股东总数和表决权恢复的优先股股东数量及前十名股东持股情况表 单位：股 报告期末普通股股东总数 85,087 报告期末表决权恢复的优先股股东总数 （如有） 0 前 10名股东持股情况（不含通过转融通出借股份） 股东名称 股东性质 持股比例 持股数量 持有有 限售条 件的股 份数量 质押、标记或冻结情况 股份状态 数量 北京七星华电科技集团有限 责任公司 国有法人 33.21% 240,537,223 0 不适用 0 香港中央结算有限公司 境外法人 12.77% 92,487,100 0 不适用 0 北京电子控股有限责任公司 国有法人 9.31% 67,436,337 0 不适用 0 国家集成电路产业投资基金 股份有限公司 国有法人 5.00% 36,203,942 0 不适用 0 国新投资有限公司 国有法人 1.19% 8,591,904 0 不适用 0 中国工商银行股份有限公司 －华泰柏瑞沪深 300 交易型 开放式指数证券投资基金 其他 1.02% 7,363,309 0 不适用…</x:v>
      </x:c>
      <x:c r="N99" s="51" t="str">
        <x:v>3-直接相关</x:v>
      </x:c>
      <x:c r="O99" s="51" t="str">
        <x:v>是</x:v>
      </x:c>
      <x:c r="P99" s="71" t="str">
        <x:v>《2025年三季度报告》（第3页）直接披露“北方华创科技集团股份有限公司 2025年第三季度报告 续增长，公司凭借高效的产品研发能力和快速的客户响应速度，工艺覆盖度和市场占有率稳步提升，公司市场份额…”，与“扩产与研发投入是否会显著挤压短期经营现金流”的核心变量或结果同口径，可直接用于判断，故判3级。</x:v>
      </x:c>
      <x:c r="Q99" s="51" t="str">
        <x:v>FIN-R01</x:v>
      </x:c>
      <x:c r="R99" s="202" t="n">
        <x:v>46260.92880688657</x:v>
      </x:c>
    </x:row>
    <x:row r="100" ht="72" customHeight="1">
      <x:c r="A100" s="50" t="str">
        <x:v>V4-R-Q013-C01</x:v>
      </x:c>
      <x:c r="B100" s="50" t="str">
        <x:v>V4-E-Q013-C01</x:v>
      </x:c>
      <x:c r="C100" s="50" t="str">
        <x:v>V4-Q013</x:v>
      </x:c>
      <x:c r="D100" s="49" t="str">
        <x:v>北方华创</x:v>
      </x:c>
      <x:c r="E100" s="50" t="str">
        <x:v>002371</x:v>
      </x:c>
      <x:c r="F100" s="81" t="n">
        <x:v>46260.75</x:v>
      </x:c>
      <x:c r="G100" s="65" t="str">
        <x:v>扩产与研发投入是否会显著挤压短期经营现金流</x:v>
      </x:c>
      <x:c r="H100" s="50" t="str">
        <x:v>DOC-EVT-002371-00370</x:v>
      </x:c>
      <x:c r="I100" s="65" t="str">
        <x:v>非经营性资金占用及其他关联资金往来情况汇总表</x:v>
      </x:c>
      <x:c r="J100" s="81" t="n">
        <x:v>46130</x:v>
      </x:c>
      <x:c r="K100" s="87" t="str">
        <x:v>http://static.cninfo.com.cn/finalpage/2026-04-18/1225122922.PDF</x:v>
      </x:c>
      <x:c r="L100" s="49" t="str">
        <x:v>第1页</x:v>
      </x:c>
      <x:c r="M100" s="65" t="str">
        <x:v>- 3 - 上市公司 2025 年度非经营性资金占用及其他关联资金往来情况汇总表 编制单位：北方华创科技集团股份有限公司 单位：人民币万元 非经营性资金占用 资金占用方名称 占用方与上市公 司的关联关系 上市公司 核算的会计科目 2025 年期 初占用资 金余额 2025 年度占用累 计发生金额 （不含利息） 2025 年度占用 资金的利息 （如有） 2025 年度 偿还累计 发生金额 2025 年期末 占用资金余 额 占用形成 原因 占用性质 控股股东、实际控制 人及其附属企业 非经营性占用 非经营性占用 小计 前控股股东、实际控 制人及其附属企业 非经营性占用 非经营性占用 小计 其他关联方及其附属 企业 非经营性占用 非经营性占用 小计 总计 其它关联资金往来 资金往来方名称 往来方与上市公 司的关联关系 上市公司 核算的会计科目 2025 年期 初往来资 金余额 2025 年度往来累 计发生金额 （不含利息） 2025 年度往来 资金的利息 （如有） 2025 年度 偿还累计 发生金额 2025 年期末 往来资金余 额 往来形成 原因 往来性质 （经营性往来、非 经营性往来） 控股股东、实际控制 人及其附属企业 北京电子控股有限责 任公司及其子公司 最终控制方及 其下属企业 应收票据 14.10 14.10 销售材料/设备 经营性往来 北京电子控股有限责 任公司及其子公司 最终控制方及 其下属企业 应收账款 3,812.69 150,020.70 142,997.1…</x:v>
      </x:c>
      <x:c r="N100" s="51" t="str">
        <x:v>1-弱相关</x:v>
      </x:c>
      <x:c r="O100" s="51" t="str">
        <x:v>否</x:v>
      </x:c>
      <x:c r="P100" s="71" t="str">
        <x:v>《非经营性资金占用及其他关联资金往来情况汇总表》（第1页）仅披露“- 3 - 上市公司 2025 年度非经营性资金占用及其他关联资金往来情况汇总表 编制单位：北方华创科技集团股份有限公司 单位：人民币万元 非经营性资金占…”，虽与公司经营或相邻主题有关，但不足以验证“扩产与研发投入是否会显著挤压短期经营现金流”的关键路径，故判1级。</x:v>
      </x:c>
      <x:c r="Q100" s="51" t="str">
        <x:v>FIN-R01</x:v>
      </x:c>
      <x:c r="R100" s="202" t="n">
        <x:v>46260.92880688657</x:v>
      </x:c>
    </x:row>
    <x:row r="101" ht="72" customHeight="1">
      <x:c r="A101" s="50" t="str">
        <x:v>V4-R-Q013-C03</x:v>
      </x:c>
      <x:c r="B101" s="50" t="str">
        <x:v>V4-E-Q013-C03</x:v>
      </x:c>
      <x:c r="C101" s="50" t="str">
        <x:v>V4-Q013</x:v>
      </x:c>
      <x:c r="D101" s="49" t="str">
        <x:v>北方华创</x:v>
      </x:c>
      <x:c r="E101" s="50" t="str">
        <x:v>002371</x:v>
      </x:c>
      <x:c r="F101" s="81" t="n">
        <x:v>46260.75</x:v>
      </x:c>
      <x:c r="G101" s="65" t="str">
        <x:v>扩产与研发投入是否会显著挤压短期经营现金流</x:v>
      </x:c>
      <x:c r="H101" s="50" t="str">
        <x:v>DOC-EVT-002371-00114</x:v>
      </x:c>
      <x:c r="I101" s="65" t="str">
        <x:v>半年度非经营性资金占用及其他关联资金往来情况汇总表</x:v>
      </x:c>
      <x:c r="J101" s="81" t="n">
        <x:v>45532</x:v>
      </x:c>
      <x:c r="K101" s="87" t="str">
        <x:v>http://static.cninfo.com.cn/finalpage/2024-08-28/1221004552.PDF</x:v>
      </x:c>
      <x:c r="L101" s="49" t="str">
        <x:v>第1页</x:v>
      </x:c>
      <x:c r="M101" s="65" t="str">
        <x:v>上市公司 2024 半年度非经营性资金占用及其他关联资金往来情况汇总表 编制单位：北方华创科技集团股份有限公司 单位：万元 非经营性资金占用 资金占用方名称 占用方与上市公 司的关联关系 上市公司核算 的会计科目 2024年期初占用 资金余额 2024 年1-6月占用累计发 生金额（不含利息） 2024 年1-6月占用资 金的利息（如有） 2024年1-6月偿还累 计发生金额 2024年6月30日占 用资金余额 占用形 成原因 占用性质 控股股东、 实际控制人 及其附属企业 非经营性占用 小计 - - - - 前控股股东、 实际控制 人及其附属企业 非经营性占用 小计 - - - - 其他关联方及其附属 企业 非经营性占用 小计 - - - - 总计 - - - - 其他关联资金往来 资金往来方名称 往来方与上市公 司的关联关系 上市公司核算 的会计科目 2024 年期初占用 资金余额 2024 年1-6月占用累计发 生金额（不含利息） 2024 年1-6月占用资 金的利息（如有） 2024年1-6月偿还累 计发生金额 2024年6月30日占 用资金余额 往来形 成原因 往来性质 （经营性往来、非经营 性往来） 控股股东、 实际控制人 及其附属企业 北京电子控股有限责 任公司及其子公司 最终控制方及其 下属企业 应收账款 9,260.18 5,185.31 4,074.87 销售材 料/设备 经营性往来 北京电子控股有限责 任公司及其子公司 最终控制方及其 下属企业 预付账…</x:v>
      </x:c>
      <x:c r="N101" s="51" t="str">
        <x:v>1-弱相关</x:v>
      </x:c>
      <x:c r="O101" s="51" t="str">
        <x:v>否</x:v>
      </x:c>
      <x:c r="P101" s="71" t="str">
        <x:v>《半年度非经营性资金占用及其他关联资金往来情况汇总表》（第1页）仅披露“上市公司 2024 半年度非经营性资金占用及其他关联资金往来情况汇总表 编制单位：北方华创科技集团股份有限公司 单位：万元 非经营性资金占用 资金占用方名…”，虽与公司经营或相邻主题有关，但不足以验证“扩产与研发投入是否会显著挤压短期经营现金流”的关键路径，故判1级。</x:v>
      </x:c>
      <x:c r="Q101" s="51" t="str">
        <x:v>FIN-R01</x:v>
      </x:c>
      <x:c r="R101" s="202" t="n">
        <x:v>46260.92880688657</x:v>
      </x:c>
    </x:row>
    <x:row r="102" ht="72" customHeight="1">
      <x:c r="A102" s="50" t="str">
        <x:v>V4-R-Q013-C05</x:v>
      </x:c>
      <x:c r="B102" s="50" t="str">
        <x:v>V4-E-Q013-C05</x:v>
      </x:c>
      <x:c r="C102" s="50" t="str">
        <x:v>V4-Q013</x:v>
      </x:c>
      <x:c r="D102" s="49" t="str">
        <x:v>北方华创</x:v>
      </x:c>
      <x:c r="E102" s="50" t="str">
        <x:v>002371</x:v>
      </x:c>
      <x:c r="F102" s="81" t="n">
        <x:v>46260.75</x:v>
      </x:c>
      <x:c r="G102" s="65" t="str">
        <x:v>扩产与研发投入是否会显著挤压短期经营现金流</x:v>
      </x:c>
      <x:c r="H102" s="50" t="str">
        <x:v>DOC-EVT-002371-00074</x:v>
      </x:c>
      <x:c r="I102" s="65" t="str">
        <x:v>关于注册发行应收账款资产支持商业票据及永续中期票据的公告</x:v>
      </x:c>
      <x:c r="J102" s="81" t="n">
        <x:v>45412</x:v>
      </x:c>
      <x:c r="K102" s="87" t="str">
        <x:v>http://static.cninfo.com.cn/finalpage/2024-04-30/1219908898.PDF</x:v>
      </x:c>
      <x:c r="L102" s="49" t="str">
        <x:v>第1页</x:v>
      </x:c>
      <x:c r="M102" s="65" t="str">
        <x:v>证券代码：002371 证券简称：北方华创 公告编号：2024-028 北方华创科技集团股份有限公司 关于注册发行应收账款资产支持商业票据及永续中期票据 的公告 本公司及董事会全体成员保证信息披露的内容真实、准确、完整，没有虚 假记载、误导性陈述或者重大遗漏。 北方华创科技集团股份有限公司（以下简称“公司” ）于2024年4月29日召开 第八届董事会第十次会议，审议通过了《关于注册发行应收账款资产支持商业票 据及永续中期票据的议案》，同意公司注册发行应收账款资产支持商业票据不超 过人民币30亿元，永续中期票据不超过人民币60亿元。本事项尚需提交公司2023 年度股东大会审议。公司现将相关情况公告如下： 一、应收账款资产支持商业票据及永续中期票据产品概述 为进一步拓宽公司融资渠道，优化债务结构，降低融资成本，满足公司资金 运营需要，公司拟向中国银行间市场交易商协会（以下简称“交易商协会”）申 请注册应收账款资产支持商业票据（以下简称“应收账款ABCP”）不超过人民币 30亿元，及永续中期票据（以下简称“永续中票”）不超过人民币60亿元。 二、注册发行方案 （一）应收账款 ABCP （1）发行规模：注册发行总额度不超过人民币 30 亿元（含 30 亿元） 。 （2）发行方式：公司将根据实际资金需求情况，在注册有效期内分期发 行。 （3）发行期限：每期不超过 1 年（含） 。 （4）发行利率：优先级资产支持证券预期收益率视市场询价情况而定，次 级资产支持证券不设预期收益率。 （5…</x:v>
      </x:c>
      <x:c r="N102" s="51" t="str">
        <x:v>2-间接相关</x:v>
      </x:c>
      <x:c r="O102" s="51" t="str">
        <x:v>是</x:v>
      </x:c>
      <x:c r="P102" s="71" t="str">
        <x:v>《关于注册发行应收账款资产支持商业票据及永续中期票据的公告》（第1页）披露“证券代码：002371 证券简称：北方华创 公告编号：2024-028 北方华创科技集团股份有限公司 关于注册发行应收账款资产支持商业票据及永续中期票据 …”，可建立公告事项到“扩产与研发投入是否会显著挤压短期经营现金流”的一阶业务传导链；但未直接给出最终结果，故判2级。</x:v>
      </x:c>
      <x:c r="Q102" s="51" t="str">
        <x:v>FIN-R01</x:v>
      </x:c>
      <x:c r="R102" s="202" t="n">
        <x:v>46260.92880688657</x:v>
      </x:c>
    </x:row>
    <x:row r="103" ht="72" customHeight="1">
      <x:c r="A103" s="50" t="str">
        <x:v>V4-R-Q013-C02</x:v>
      </x:c>
      <x:c r="B103" s="50" t="str">
        <x:v>V4-E-Q013-C02</x:v>
      </x:c>
      <x:c r="C103" s="50" t="str">
        <x:v>V4-Q013</x:v>
      </x:c>
      <x:c r="D103" s="49" t="str">
        <x:v>北方华创</x:v>
      </x:c>
      <x:c r="E103" s="50" t="str">
        <x:v>002371</x:v>
      </x:c>
      <x:c r="F103" s="81" t="n">
        <x:v>46260.75</x:v>
      </x:c>
      <x:c r="G103" s="65" t="str">
        <x:v>扩产与研发投入是否会显著挤压短期经营现金流</x:v>
      </x:c>
      <x:c r="H103" s="50" t="str">
        <x:v>DOC-EVT-002371-00249</x:v>
      </x:c>
      <x:c r="I103" s="65" t="str">
        <x:v>半年度非经营性资金占用及其他关联资金往来情况汇总表</x:v>
      </x:c>
      <x:c r="J103" s="81" t="n">
        <x:v>45898</x:v>
      </x:c>
      <x:c r="K103" s="87" t="str">
        <x:v>http://static.cninfo.com.cn/finalpage/2025-08-29/1224615661.PDF</x:v>
      </x:c>
      <x:c r="L103" s="49" t="str">
        <x:v>第1页</x:v>
      </x:c>
      <x:c r="M103" s="65" t="str">
        <x:v>上市公司 2025 年半年度非经营性资金占用及其他关联资金往来情况汇总表 编制单位：北方华创科技集团股份有限公司 单位：人民币万元 非经营性资金占用 资金占用方名称 占用方与上市公 司的关联关系 上市公司 核算的会计科目 2025 年期初 占用资金余 额 2025 年1-6 月占 用累计发生金额 （不含利息） 2025 年 1-6 月 占用资金的利 息 （如有） 2025 年 1-6 月偿 还累计发 生金额 2025 年 6 月 30 日占用资 金余额 占用形成 原因 占用性质 控股股东、实际控制 人及其附属企业 非经营性占用 小计 - 前控股股东、实际控 制人及其附属企业 非经营性占用 小计 - 其他关联方及其附属 企业 非经营性占用 小计 - 总计 - 其它关联资金往来 资金往来方名称 往来方与上市公 司的关联关系 上市公司 核算的会计科目 2025 年期初 往来资金余 额 2025 年1-6 月往 来累计发生金额 （不含利息） 2025 年 1-6 月 往来资金的利 息 （如有） 2025 年 1-6 月偿 还累计发 生金额 2025 年 6 月 30 日往来资 金余额 往来形成 原因 往来性质 控股股东、实际控制 人及其附属企业 北京电子控股有限责 任公司及其子公司 最终控制方及 其下属企业 应收账款 3,071.93 53,293.06 45,463.10 10,901.89 销售材料/设备 经营性往来 北京电子控股有限责 任公司及其子公司 最终控制方及 其下属企…</x:v>
      </x:c>
      <x:c r="N103" s="51" t="str">
        <x:v>1-弱相关</x:v>
      </x:c>
      <x:c r="O103" s="51" t="str">
        <x:v>否</x:v>
      </x:c>
      <x:c r="P103" s="71" t="str">
        <x:v>《半年度非经营性资金占用及其他关联资金往来情况汇总表》（第1页）仅披露“上市公司 2025 年半年度非经营性资金占用及其他关联资金往来情况汇总表 编制单位：北方华创科技集团股份有限公司 单位：人民币万元 非经营性资金占用 资金…”，虽与公司经营或相邻主题有关，但不足以验证“扩产与研发投入是否会显著挤压短期经营现金流”的关键路径，故判1级。</x:v>
      </x:c>
      <x:c r="Q103" s="51" t="str">
        <x:v>FIN-R01</x:v>
      </x:c>
      <x:c r="R103" s="202" t="n">
        <x:v>46260.92880688657</x:v>
      </x:c>
    </x:row>
    <x:row r="104" ht="72" customHeight="1">
      <x:c r="A104" s="50" t="str">
        <x:v>V4-R-Q013-C04</x:v>
      </x:c>
      <x:c r="B104" s="50" t="str">
        <x:v>V4-E-Q013-C04</x:v>
      </x:c>
      <x:c r="C104" s="50" t="str">
        <x:v>V4-Q013</x:v>
      </x:c>
      <x:c r="D104" s="49" t="str">
        <x:v>北方华创</x:v>
      </x:c>
      <x:c r="E104" s="50" t="str">
        <x:v>002371</x:v>
      </x:c>
      <x:c r="F104" s="81" t="n">
        <x:v>46260.75</x:v>
      </x:c>
      <x:c r="G104" s="65" t="str">
        <x:v>扩产与研发投入是否会显著挤压短期经营现金流</x:v>
      </x:c>
      <x:c r="H104" s="50" t="str">
        <x:v>DOC-EVT-002371-00356</x:v>
      </x:c>
      <x:c r="I104" s="65" t="str">
        <x:v>会计师事务所对非经营性资金占用及其他关联资金往来情况汇总表的专项审计报告</x:v>
      </x:c>
      <x:c r="J104" s="81" t="n">
        <x:v>46130</x:v>
      </x:c>
      <x:c r="K104" s="87" t="str">
        <x:v>http://static.cninfo.com.cn/finalpage/2026-04-18/1225122923.PDF</x:v>
      </x:c>
      <x:c r="L104" s="49" t="str">
        <x:v>第2页</x:v>
      </x:c>
      <x:c r="M104" s="65" t="str">
        <x:v>- 1 - 电话Telephone：+86（10）82330558 传真Fax： +86 （10）82327668 网址 Internet： www.daxincpa.com.cn 大信会计师事务所 北京市海淀区知春路 1 号 学院国际大厦 22 层 2206 邮编 100083 WUYIGE Certified Public Accountants.LLP Room 2206 22 /F, Xueyuan International Tower No.1 Zhichun Road, Haidian Dist. Beijing, China, 100083 非经营性资金占用及其他关联资金往来情况汇总表的 专项审计报告 大信专审字[2026]第1-01217 号 北方华创科技集团股份有限公司全体股东： 我们接受委托，审计了北方华创科技集团股份有限公司（以下简称“北方华创集团”）的 财务报表，包括2025 年12 月31 日合并及母公司资产负债表、2025 年度合并及母公司利润 表、合并及母公司现金流量表、合并及母公司股东权益变动表以及财务报表附注，并于2026 年 4 月 17 日出具大信审字[2026]第 1-01231 号审计报告。在对上述财务报表审计基础上，我 们审核了北方华创集团编制的《上市公司 2025 年度非经营性资金占用及其他关联资金往来 情况汇总表》 （以下简称“非经营性资金占用及其他关联资金往来情况汇总表”）。 一、管理层和治理层的责任 按照中国证券监督管理…</x:v>
      </x:c>
      <x:c r="N104" s="51" t="str">
        <x:v>1-弱相关</x:v>
      </x:c>
      <x:c r="O104" s="51" t="str">
        <x:v>否</x:v>
      </x:c>
      <x:c r="P104" s="71" t="str">
        <x:v>《会计师事务所对非经营性资金占用及其他关联资金往来情况汇总表的专项审…》（第2页）仅披露“- 1 - 电话Telephone：+86（10）82330558 传真Fax： +86 （10）82327668 网址 Internet： www.da…”，虽与公司经营或相邻主题有关，但不足以验证“扩产与研发投入是否会显著挤压短期经营现金流”的关键路径，故判1级。</x:v>
      </x:c>
      <x:c r="Q104" s="51" t="str">
        <x:v>FIN-R01</x:v>
      </x:c>
      <x:c r="R104" s="202" t="n">
        <x:v>46260.92880688657</x:v>
      </x:c>
    </x:row>
    <x:row r="105" ht="72" customHeight="1">
      <x:c r="A105" s="50" t="str">
        <x:v>V4-R-Q013-C08</x:v>
      </x:c>
      <x:c r="B105" s="50" t="str">
        <x:v>V4-E-Q013-C08</x:v>
      </x:c>
      <x:c r="C105" s="50" t="str">
        <x:v>V4-Q013</x:v>
      </x:c>
      <x:c r="D105" s="49" t="str">
        <x:v>北方华创</x:v>
      </x:c>
      <x:c r="E105" s="50" t="str">
        <x:v>002371</x:v>
      </x:c>
      <x:c r="F105" s="81" t="n">
        <x:v>46260.75</x:v>
      </x:c>
      <x:c r="G105" s="65" t="str">
        <x:v>扩产与研发投入是否会显著挤压短期经营现金流</x:v>
      </x:c>
      <x:c r="H105" s="50" t="str">
        <x:v>DOC-EVT-002371-00063</x:v>
      </x:c>
      <x:c r="I105" s="65" t="str">
        <x:v>监事会关于定期报告的书面审核意见</x:v>
      </x:c>
      <x:c r="J105" s="81" t="n">
        <x:v>45412</x:v>
      </x:c>
      <x:c r="K105" s="87" t="str">
        <x:v>http://static.cninfo.com.cn/finalpage/2024-04-30/1219908878.PDF</x:v>
      </x:c>
      <x:c r="L105" s="49" t="str">
        <x:v>第1页</x:v>
      </x:c>
      <x:c r="M105" s="65" t="str">
        <x:v>北方华创科技集团股份有限公司 监事会关于定期报告的书面审核意见 经审核，监事会认为董事会编制和审议 北方华创科技集团股份有限公司 《2023 年年度报告》全文及摘要、《2024 年第一季度报告》的程序符合法律、行 政法规及中国证监会的规定，报告内容真实、准确、完整地反映了公司的实际情 况，不存在虚假记载、误导性陈述或重大遗漏。 北方华创科技集团股份有限公司 监 事 会 2024 年 4 月 29 日</x:v>
      </x:c>
      <x:c r="N105" s="51" t="str">
        <x:v>0-无关</x:v>
      </x:c>
      <x:c r="O105" s="51" t="str">
        <x:v>否</x:v>
      </x:c>
      <x:c r="P105" s="71" t="str">
        <x:v>《监事会关于定期报告的书面审核意见》（第1页）内容为“北方华创科技集团股份有限公司 监事会关于定期报告的书面审核意见 经审核，监事会认为董事会编制和审议 北方华创科技集团股份有限公司 《2023 年年度报告》…”，属于治理、证券程序或其他非核心事项，不能帮助判断“扩产与研发投入是否会显著挤压短期经营现金流”，故判0级。</x:v>
      </x:c>
      <x:c r="Q105" s="51" t="str">
        <x:v>FIN-R01</x:v>
      </x:c>
      <x:c r="R105" s="202" t="n">
        <x:v>46260.92880688657</x:v>
      </x:c>
    </x:row>
    <x:row r="106" ht="72" customHeight="1">
      <x:c r="A106" s="50" t="str">
        <x:v>V4-R-Q014-C02</x:v>
      </x:c>
      <x:c r="B106" s="50" t="str">
        <x:v>V4-E-Q014-C02</x:v>
      </x:c>
      <x:c r="C106" s="50" t="str">
        <x:v>V4-Q014</x:v>
      </x:c>
      <x:c r="D106" s="49" t="str">
        <x:v>中芯国际</x:v>
      </x:c>
      <x:c r="E106" s="50" t="str">
        <x:v>688981</x:v>
      </x:c>
      <x:c r="F106" s="81" t="n">
        <x:v>46260.75</x:v>
      </x:c>
      <x:c r="G106" s="65" t="str">
        <x:v>新增晶圆产能释放能否持续带动收入增长</x:v>
      </x:c>
      <x:c r="H106" s="50" t="str">
        <x:v>DOC-EVT-688981-00033</x:v>
      </x:c>
      <x:c r="I106" s="65" t="str">
        <x:v>海通证券股份有限公司、中国国际金融股份有限公司关于中芯国际集成电路制造有限公司2023年度持续督导现场检查报告</x:v>
      </x:c>
      <x:c r="J106" s="81" t="n">
        <x:v>45384</x:v>
      </x:c>
      <x:c r="K106" s="87" t="str">
        <x:v>http://static.cninfo.com.cn/finalpage/2024-04-02/1219493385.PDF</x:v>
      </x:c>
      <x:c r="L106" s="49" t="str">
        <x:v>第1页</x:v>
      </x:c>
      <x:c r="M106" s="65" t="str">
        <x:v>1 海通证券股份有限公司、中国国际金融股份有限公司 关于中芯国际集成电路制造有限公司 2023 年度持续督导现场检查报告 上海证券交易所： 经中国证券监督管理委员会《关于同意中芯国际集成电路制造有限公司首 次公开发行股票注册的批复》（证监许可[2020]1278 号）批复，中芯国际集成电 路制造有限公司（以下简称“中芯国际”、“上市公司” 、“公司” ）首次公开发行 股票 193,846.30 万股，每股面值 0.004 美元，每股发行价格人民币 27.46 元，募 集资金总额为人民币 5,323,019.40 万元，扣除发行费用后，实际募集资金净额为 人民币 5,251,560.72 万元。本次发行证券已于2020 年 7 月 16 日在上海证券交易 所上市。海通证券股份有限公司（以下简称“海通证券”、“联合保荐机构” ）、中 国国际金融股份有限公司（以下简称“中金公司”、“联合保荐机构”）担任其持 续督导联合保荐机构， 持续督导期间为2020 年7 月16 日至2023 年12 月31 日。 根据《证券发行上市保荐业务管理办法》 、《上海证券交易所科创板股票上市 规则》、《上海证券交易所科创板上市公司自律监管指引第 1 号——规范运作》等 有关法律、法规要求，海通证券、中金公司作为持续督导联合保荐机构，于 2024 年 3 月 25 日，对公司进行了现场检查，现将本次现场检查的情况报告如下： 一、本次现场检查的基本情况 （一）联合保荐机构 海通证券股份有限公司、中国国际…</x:v>
      </x:c>
      <x:c r="N106" s="51" t="str">
        <x:v>0-无关</x:v>
      </x:c>
      <x:c r="O106" s="51" t="str">
        <x:v>否</x:v>
      </x:c>
      <x:c r="P106" s="71" t="str">
        <x:v>《海通证券股份有限公司、中国国际金融股份有限公司关于中芯国际集成电路…》（第1页）内容为“1 海通证券股份有限公司、中国国际金融股份有限公司 关于中芯国际集成电路制造有限公司 2023 年度持续督导现场检查报告 上海证券交易所： 经中国证券监督…”，属于治理、证券程序或其他非核心事项，不能帮助判断“新增晶圆产能释放能否持续带动收入增长”，故判0级。</x:v>
      </x:c>
      <x:c r="Q106" s="51" t="str">
        <x:v>FIN-R01</x:v>
      </x:c>
      <x:c r="R106" s="202" t="n">
        <x:v>46260.92880688657</x:v>
      </x:c>
    </x:row>
    <x:row r="107" ht="72" customHeight="1">
      <x:c r="A107" s="50" t="str">
        <x:v>V4-R-Q014-C04</x:v>
      </x:c>
      <x:c r="B107" s="50" t="str">
        <x:v>V4-E-Q014-C04</x:v>
      </x:c>
      <x:c r="C107" s="50" t="str">
        <x:v>V4-Q014</x:v>
      </x:c>
      <x:c r="D107" s="49" t="str">
        <x:v>中芯国际</x:v>
      </x:c>
      <x:c r="E107" s="50" t="str">
        <x:v>688981</x:v>
      </x:c>
      <x:c r="F107" s="81" t="n">
        <x:v>46260.75</x:v>
      </x:c>
      <x:c r="G107" s="65" t="str">
        <x:v>新增晶圆产能释放能否持续带动收入增长</x:v>
      </x:c>
      <x:c r="H107" s="50" t="str">
        <x:v>DOC-EVT-688981-00349</x:v>
      </x:c>
      <x:c r="I107" s="65" t="str">
        <x:v>中芯国际集成电路制造有限公司发行股份购买资产暨关联交易实施情况暨新增股份上市公告书</x:v>
      </x:c>
      <x:c r="J107" s="81" t="n">
        <x:v>46198</x:v>
      </x:c>
      <x:c r="K107" s="87" t="str">
        <x:v>http://static.cninfo.com.cn/finalpage/2026-06-25/1225386200.PDF</x:v>
      </x:c>
      <x:c r="L107" s="49" t="str">
        <x:v>第8页</x:v>
      </x:c>
      <x:c r="M107" s="65" t="str">
        <x:v>7 释 义 本上市公告书中，除非文意另有所指，下列简称具有如下含义： 上市公告书/本上市公告书 指 《中芯国际集成电路制造有限公司发行股份购买资 产暨关联交易实施情况暨新增股份上市公告书》 《重组报告书》 指 《中芯国际集成电路制造有限公司发行股份购买资 产暨关联交易报告书》 中芯国际/上市公司/公司/本 公司 指 Semiconductor Manufacturing International Corporation（中芯国际集成电路制造有限公司） 中芯北方/标的公司 指 中芯北方集成电路制造（北京）有限公司 国家集成电路基金 指 国家集成电路产业投资基金股份有限公司 集成电路投资中心 指 北京集成电路制造和装备股权投资中心（有限合 伙） 亦庄国投 指 北京亦庄国际投资发展有限公司 中关村发展 指 中关村发展集团股份有限公司 北京工投 指 北京工业发展投资管理有限公司 交易标的/标的资产 指 国家集成电路基金、集成电路投资中心、亦庄国 投、中关村发展、北京工投持有的中芯北方 49.00%股权 交易对方 指 国家集成电路基金、集成电路投资中心、亦庄国 投、中关村发展、北京工投 本次交易/本次重组 指 中芯国际向交易对方发行股份购买中芯北方 49.00%股权 大唐香港 指 大唐控股（香港）投资有限公司 中国信科 指 中国信息通信科技集团有限公司，大唐香港之母公 司 鑫芯香港 指 鑫芯（香港）投资有限公司 评估基准日 指 2025年 8月 31日 定价基准日 指 2025年…</x:v>
      </x:c>
      <x:c r="N107" s="51" t="str">
        <x:v>2-间接相关</x:v>
      </x:c>
      <x:c r="O107" s="51" t="str">
        <x:v>是</x:v>
      </x:c>
      <x:c r="P107" s="71" t="str">
        <x:v>《中芯国际集成电路制造有限公司发行股份购买资产暨关联交易实施情况暨新…》（第8页）披露“7 释 义 本上市公告书中，除非文意另有所指，下列简称具有如下含义： 上市公告书/本上市公告书 指 《中芯国际集成电路制造有限公司发行股份购买资 产暨关联…”，可建立公告事项到“新增晶圆产能释放能否持续带动收入增长”的一阶业务传导链；但未直接给出最终结果，故判2级。</x:v>
      </x:c>
      <x:c r="Q107" s="51" t="str">
        <x:v>FIN-R01</x:v>
      </x:c>
      <x:c r="R107" s="202" t="n">
        <x:v>46260.92880688657</x:v>
      </x:c>
    </x:row>
    <x:row r="108" ht="72" customHeight="1">
      <x:c r="A108" s="50" t="str">
        <x:v>V4-R-Q014-C07</x:v>
      </x:c>
      <x:c r="B108" s="50" t="str">
        <x:v>V4-E-Q014-C07</x:v>
      </x:c>
      <x:c r="C108" s="50" t="str">
        <x:v>V4-Q014</x:v>
      </x:c>
      <x:c r="D108" s="49" t="str">
        <x:v>中芯国际</x:v>
      </x:c>
      <x:c r="E108" s="50" t="str">
        <x:v>688981</x:v>
      </x:c>
      <x:c r="F108" s="81" t="n">
        <x:v>46260.75</x:v>
      </x:c>
      <x:c r="G108" s="65" t="str">
        <x:v>新增晶圆产能释放能否持续带动收入增长</x:v>
      </x:c>
      <x:c r="H108" s="50" t="str">
        <x:v>DOC-EVT-688981-00297</x:v>
      </x:c>
      <x:c r="I108" s="65" t="str">
        <x:v>中芯国际2025年年度报告摘要</x:v>
      </x:c>
      <x:c r="J108" s="81" t="n">
        <x:v>46108</x:v>
      </x:c>
      <x:c r="K108" s="87" t="str">
        <x:v>http://static.cninfo.com.cn/finalpage/2026-03-27/1225037116.PDF</x:v>
      </x:c>
      <x:c r="L108" s="49" t="str">
        <x:v>第5页</x:v>
      </x:c>
      <x:c r="M108" s="65" t="str">
        <x:v>中芯国际集成电路制造有限公司2025 年年度报告摘要 5 从产业格局来看，晶圆代工环节持续凸显战略价值。算力芯片领域，逻辑运算类芯片需求爆 发式增长，推动设计工具，工艺制程与异构封装技术持续迭代，构筑起涵盖 IP 核、EDA 工具链、 工艺制程的全方位技术壁垒；消费电子领域，整体市场温和复苏，系统级芯片、传感器、存储芯 片等产品持续通过工艺优化与成本管控构建竞争优势；汽车电子与工业工控领域，由于功能安全 认证体系与长周期验证要求，形成了高度集中的产业生态格局。 从地域发展情况来看，在中美贸易政策动态调整背景下,跨国企业加速推进供应链区域化重构， 全球供应链体系正经历多维度的适应性变革，近岸产业链布局成为主要经济体战略重点。中国大 陆集成电路产业在高端设备、关键原材料及零部件、IC 设计能力、工艺开发、封装等关键环节仍 具备较大成长空间。 晶圆代工行业作为半导体产业链的核心环节，技术壁垒、人才储备、持续资本投入，形成了 较高的准入门槛。该领域的竞争焦点集中在纳米尺度工艺精度控制、新型半导体材料开发应用以 及超大规模制造系统的协同优化能力。全球领先企业维持较高的研发投入强度，持续巩固技术优 势，着力构筑产业壁垒，而本土企业正通过产业链协同突破，快速填补市场空白。 2.公司所处的行业地位分析及其变化情况 中芯国际是世界领先的集成电路晶圆代工企业之一，也是中国大陆集成电路制造业领导者， 拥有领先的工艺制造能力、产能优势、服务配套。根据全球各纯晶圆代工企业最新公布的 2025 年销售…</x:v>
      </x:c>
      <x:c r="N108" s="51" t="str">
        <x:v>1-弱相关</x:v>
      </x:c>
      <x:c r="O108" s="51" t="str">
        <x:v>否</x:v>
      </x:c>
      <x:c r="P108" s="71" t="str">
        <x:v>《中芯国际2025年年度报告摘要》（第5页）仅披露“中芯国际集成电路制造有限公司2025 年年度报告摘要 5 从产业格局来看，晶圆代工环节持续凸显战略价值。算力芯片领域，逻辑运算类芯片需求爆 发式增长，推动…”，虽与公司经营或相邻主题有关，但不足以验证“新增晶圆产能释放能否持续带动收入增长”的关键路径，故判1级。</x:v>
      </x:c>
      <x:c r="Q108" s="51" t="str">
        <x:v>FIN-R01</x:v>
      </x:c>
      <x:c r="R108" s="202" t="n">
        <x:v>46260.92880688657</x:v>
      </x:c>
    </x:row>
    <x:row r="109" ht="72" customHeight="1">
      <x:c r="A109" s="50" t="str">
        <x:v>V4-R-Q014-C06</x:v>
      </x:c>
      <x:c r="B109" s="50" t="str">
        <x:v>V4-E-Q014-C06</x:v>
      </x:c>
      <x:c r="C109" s="50" t="str">
        <x:v>V4-Q014</x:v>
      </x:c>
      <x:c r="D109" s="49" t="str">
        <x:v>中芯国际</x:v>
      </x:c>
      <x:c r="E109" s="50" t="str">
        <x:v>688981</x:v>
      </x:c>
      <x:c r="F109" s="81" t="n">
        <x:v>46260.75</x:v>
      </x:c>
      <x:c r="G109" s="65" t="str">
        <x:v>新增晶圆产能释放能否持续带动收入增长</x:v>
      </x:c>
      <x:c r="H109" s="50" t="str">
        <x:v>DOC-EVT-688981-00289</x:v>
      </x:c>
      <x:c r="I109" s="65" t="str">
        <x:v>中芯国际2025年年度报告</x:v>
      </x:c>
      <x:c r="J109" s="81" t="n">
        <x:v>46108</x:v>
      </x:c>
      <x:c r="K109" s="87" t="str">
        <x:v>http://static.cninfo.com.cn/finalpage/2026-03-27/1225037057.PDF</x:v>
      </x:c>
      <x:c r="L109" s="49" t="str">
        <x:v>第6页</x:v>
      </x:c>
      <x:c r="M109" s="65" t="str">
        <x:v>中芯国际集成电路制造有限公司2025 年年度报告 6 / 232 第二节 致股东的信 尊敬的各位股东、投资人： 2025 年是中芯国际成立的 25 周年，是公司全面深化改革、推动高质量发展的突破之年。 这一年，我们持续聚焦主业发展，顺利推进项目进展，经营业绩再上新台阶。面对外部复杂 多变的环境，公司保持深耕晶圆制造长期战略不动摇，稳步实施产能扩建，折合 8 英寸标准逻辑 的月产能规模超过了 100 万片；全年实现销售收入人民币 673.23 亿元，同比增长 16.5%，继续巩 固全球纯晶圆代工企业第二位置；产能利用率增至 93.5%，同比增长 8 个百分点；在折旧大幅增 长的情况下，毛利率增至 22%，同比增加 3 个百分点。同时，公司实质性推进中芯北方少数股权 收购、中芯南方增资扩股等项目，为未来发展奠定坚实基础。 这一年，我们持续推动技术攻关，开放合作带动增量，协同产业链共同发展。随着下游应用 场景更加多元化，人工智能、数据中心、自动驾驶等领域引领行业迈入新一轮快速增长周期，消 费电子等智能终端迭代升级，产业链在地化转换加速，使得产业对于本土中高端领域芯片制造需 求进一步提升。在此背景下，公司以培育和发展新质生产力为重点，持续创新筑牢核心竞争优势。 2025 年，公司持续保持高研发投入，研发投入人民币 55.19 亿元，占销售收入 8.2%；公司完善技 术创新体系，积极响应客户需求，持续推进工艺迭代与产品升级；同时，公司协同上下游开展产 业链合作，成立先进封装研究院，助…</x:v>
      </x:c>
      <x:c r="N109" s="51" t="str">
        <x:v>3-直接相关</x:v>
      </x:c>
      <x:c r="O109" s="51" t="str">
        <x:v>是</x:v>
      </x:c>
      <x:c r="P109" s="71" t="str">
        <x:v>《中芯国际2025年年度报告》（第6页）直接披露“中芯国际集成电路制造有限公司2025 年年度报告 6 / 232 第二节 致股东的信 尊敬的各位股东、投资人： 2025 年是中芯国际成立的 25 周年，…”，与“新增晶圆产能释放能否持续带动收入增长”的核心变量或结果同口径，可直接用于判断，故判3级。</x:v>
      </x:c>
      <x:c r="Q109" s="51" t="str">
        <x:v>FIN-R01</x:v>
      </x:c>
      <x:c r="R109" s="202" t="n">
        <x:v>46260.92880688657</x:v>
      </x:c>
    </x:row>
    <x:row r="110" ht="72" customHeight="1">
      <x:c r="A110" s="50" t="str">
        <x:v>V4-R-Q014-C03</x:v>
      </x:c>
      <x:c r="B110" s="50" t="str">
        <x:v>V4-E-Q014-C03</x:v>
      </x:c>
      <x:c r="C110" s="50" t="str">
        <x:v>V4-Q014</x:v>
      </x:c>
      <x:c r="D110" s="49" t="str">
        <x:v>中芯国际</x:v>
      </x:c>
      <x:c r="E110" s="50" t="str">
        <x:v>688981</x:v>
      </x:c>
      <x:c r="F110" s="81" t="n">
        <x:v>46260.75</x:v>
      </x:c>
      <x:c r="G110" s="65" t="str">
        <x:v>新增晶圆产能释放能否持续带动收入增长</x:v>
      </x:c>
      <x:c r="H110" s="50" t="str">
        <x:v>DOC-EVT-688981-00245</x:v>
      </x:c>
      <x:c r="I110" s="65" t="str">
        <x:v>中芯国际关于订立中芯南方新合资合同及新增资扩股协议暨关联交易的公告</x:v>
      </x:c>
      <x:c r="J110" s="81" t="n">
        <x:v>46021</x:v>
      </x:c>
      <x:c r="K110" s="87" t="str">
        <x:v>http://static.cninfo.com.cn/finalpage/2025-12-30/1224907005.PDF</x:v>
      </x:c>
      <x:c r="L110" s="49" t="str">
        <x:v>第1页</x:v>
      </x:c>
      <x:c r="M110" s="65" t="str">
        <x:v>1 A股代码：688981 A股简称：中芯国际 公告编号：2025-038 港股代码：00981 港股简称：中芯国际 中芯国际集成电路制造有限公司 关于订立中芯南方新合资合同及新增资扩股协议 暨关联交易的公告 一、订立新合资合同及新增资扩股协议 兹提述本公司日期为2020年5月15日的公告及日期为2020年6月6日的通函， 内容有关（其中包括）中芯控股与国家集成电路基金、国家集成电路基金二期、 上海集成电路基金及上海集成电路基金二期订立合资合同及增资扩股协议，据此： (i)中芯南方注册资本由35亿美元增加至65亿美元；及(ii)中芯控股、国家集成电 路基金、国家集成电路基金二期、上海集成电路基金及上海集成电路基金二期分 别持有中芯南方38.515%、14.562%、23.077%、12.308%及11.538%股权。 于2025年12月29日，中芯控股与国家集成电路基金、国家集成电路基金二期、 国家集成电路基金三期、上海集成电路基金、上海集成电路基金二期、泰新鼎吉 及先导集成电路基金订立新合资合同及新增资扩股协议，以修订前合资合同，据 此：(i)中芯南方的注册资本将由65亿美元增加至100.773亿美元；及(ii)中芯控股、 国家集成电路基金、国家集成电路基金二期、国家集成电路基金三期、上海集成 电路基金、上海集成电路基金二期、泰新鼎吉、先导集成电路基金将分别持有中 芯南方41.561%、9.392%、14.885%、8.361%、7.939%、11.253%、5.545%…</x:v>
      </x:c>
      <x:c r="N110" s="51" t="str">
        <x:v>2-间接相关</x:v>
      </x:c>
      <x:c r="O110" s="51" t="str">
        <x:v>是</x:v>
      </x:c>
      <x:c r="P110" s="71" t="str">
        <x:v>《中芯国际关于订立中芯南方新合资合同及新增资扩股协议暨关联交易的公告》（第1页）披露“1 A股代码：688981 A股简称：中芯国际 公告编号：2025-038 港股代码：00981 港股简称：中芯国际 中芯国际集成电路制造有限公司 关于订…”，可建立公告事项到“新增晶圆产能释放能否持续带动收入增长”的一阶业务传导链；但未直接给出最终结果，故判2级。</x:v>
      </x:c>
      <x:c r="Q110" s="51" t="str">
        <x:v>FIN-R01</x:v>
      </x:c>
      <x:c r="R110" s="202" t="n">
        <x:v>46260.92880688657</x:v>
      </x:c>
    </x:row>
    <x:row r="111" ht="72" customHeight="1">
      <x:c r="A111" s="50" t="str">
        <x:v>V4-R-Q014-C01</x:v>
      </x:c>
      <x:c r="B111" s="50" t="str">
        <x:v>V4-E-Q014-C01</x:v>
      </x:c>
      <x:c r="C111" s="50" t="str">
        <x:v>V4-Q014</x:v>
      </x:c>
      <x:c r="D111" s="49" t="str">
        <x:v>中芯国际</x:v>
      </x:c>
      <x:c r="E111" s="50" t="str">
        <x:v>688981</x:v>
      </x:c>
      <x:c r="F111" s="81" t="n">
        <x:v>46260.75</x:v>
      </x:c>
      <x:c r="G111" s="65" t="str">
        <x:v>新增晶圆产能释放能否持续带动收入增长</x:v>
      </x:c>
      <x:c r="H111" s="50" t="str">
        <x:v>DOC-EVT-688981-00036</x:v>
      </x:c>
      <x:c r="I111" s="65" t="str">
        <x:v>海通证券股份有限公司、中国国际金融股份有限公司关于中芯国际2023年度持续督导年度跟踪报告</x:v>
      </x:c>
      <x:c r="J111" s="81" t="n">
        <x:v>45385</x:v>
      </x:c>
      <x:c r="K111" s="87" t="str">
        <x:v>http://static.cninfo.com.cn/finalpage/2024-04-03/1219505688.PDF</x:v>
      </x:c>
      <x:c r="L111" s="49" t="str">
        <x:v>第1页</x:v>
      </x:c>
      <x:c r="M111" s="65" t="str">
        <x:v>1 海通证券股份有限公司、中国国际金融股份有限公司 关于中芯国际集成电路制造有限公司 2023 年度持续督导年度跟踪报告 联合保荐机构名称：海通证券股份有限公司、 中国国际金融股份有限公司 被保荐公司简称：中芯国际 保荐代表人姓名：郑瑜、陈城；魏先勇、李扬 被保荐公司代码：688981 重大事项提示 中芯国际集成电路制造有限公司（以下简称“上市公司”、“公司”或“中 芯国际”）2023 年度较上年同期营业收入下降 8.6%，归属于上市公司股东的净 利润下降 60.3%，归属于上市公司股东的扣除非经常性损益的净利润下降 67.7%， 经营活动产生的现金流量净额下降 37.0%，息税折旧及摊销前利润下降 12.3%， 毛利率减少 16.4 个百分点， 净利率减少15.5 个百分点，主要是由于： 过去一年， 半导体行业处于周期底部，全球市场需求疲软，行业库存较高，去库存缓慢， 且同业竞争激烈。受此影响，公司平均产能利用率降低，晶圆销售数量减少， 产品组合变动。此外，公司处于高投入期，折旧较上一年度增加。以上因素一 起影响了公司 2023 年度的财务表现。公司不存在重大风险。 经中国证券监督管理委员会《关于同意中芯国际集成电路制造有限公司首次 公开发行股票注册的批复》（证监许可[2020]1278 号）批复，中芯国际首次公开 发行人民币普通股（A 股）股票 193,846.30 万股（含超额配售选择权），每股 发行价格人民币 27.46 元，募集资金总额为人民币 5,323,019…</x:v>
      </x:c>
      <x:c r="N111" s="51" t="str">
        <x:v>2-间接相关</x:v>
      </x:c>
      <x:c r="O111" s="51" t="str">
        <x:v>是</x:v>
      </x:c>
      <x:c r="P111" s="71" t="str">
        <x:v>《海通证券股份有限公司、中国国际金融股份有限公司关于中芯国际2023…》（第1页）披露“1 海通证券股份有限公司、中国国际金融股份有限公司 关于中芯国际集成电路制造有限公司 2023 年度持续督导年度跟踪报告 联合保荐机构名称：海通证券股份有…”，可建立公告事项到“新增晶圆产能释放能否持续带动收入增长”的一阶业务传导链；但未直接给出最终结果，故判2级。</x:v>
      </x:c>
      <x:c r="Q111" s="51" t="str">
        <x:v>FIN-R01</x:v>
      </x:c>
      <x:c r="R111" s="202" t="n">
        <x:v>46260.92880688657</x:v>
      </x:c>
    </x:row>
    <x:row r="112" ht="72" customHeight="1">
      <x:c r="A112" s="50" t="str">
        <x:v>V4-R-Q014-C08</x:v>
      </x:c>
      <x:c r="B112" s="50" t="str">
        <x:v>V4-E-Q014-C08</x:v>
      </x:c>
      <x:c r="C112" s="50" t="str">
        <x:v>V4-Q014</x:v>
      </x:c>
      <x:c r="D112" s="49" t="str">
        <x:v>中芯国际</x:v>
      </x:c>
      <x:c r="E112" s="50" t="str">
        <x:v>688981</x:v>
      </x:c>
      <x:c r="F112" s="81" t="n">
        <x:v>46260.75</x:v>
      </x:c>
      <x:c r="G112" s="65" t="str">
        <x:v>新增晶圆产能释放能否持续带动收入增长</x:v>
      </x:c>
      <x:c r="H112" s="50" t="str">
        <x:v>DOC-EVT-688981-00232</x:v>
      </x:c>
      <x:c r="I112" s="65" t="str">
        <x:v>董事会关于本次交易符合《上海证券交易所科创板股票上市规则》第11.2条、《科创板上市公司持续监管办法（试行）》第二十条和《上海证券交易所上市公司重大资产重组审核规则》第八条规定的说明</x:v>
      </x:c>
      <x:c r="J112" s="81" t="n">
        <x:v>46021</x:v>
      </x:c>
      <x:c r="K112" s="87" t="str">
        <x:v>http://static.cninfo.com.cn/finalpage/2025-12-30/1224907014.PDF</x:v>
      </x:c>
      <x:c r="L112" s="49" t="str">
        <x:v>第1页</x:v>
      </x:c>
      <x:c r="M112" s="65" t="str">
        <x:v>1 中芯国际集成电路制造有限公司董事会 关于本次交易符合《上海证券交易所科创板股票上市规则》 第 11.2 条、《科创板上市公司持续监管办法（试行）》第二十 条和《上海证券交易所上市公司重大资产重组审核规则》第 八条规定的说明 中芯国际集成电路制造有限公司（以下简称“公司”、“上市公司”）拟向国 家集成电路产业投资基金股份有限公司、北京集成电路制造和装备股权投资中心 （有限合伙）、北京亦庄国际投资发展有限公司、中关村发展集团股份有限公司 及北京工业发展投资管理有限公司发行股份购买其所合计持有的中芯北方集成 电路制造（北京）有限公司（以下简称“标的公司”）49%的股权（以下简称“本 次交易”）。 根据《上海证券交易所科创板股票上市规则》（以下简称“《科创板上市规则》”） 第 11.2 条、《科创板上市公司持续监管办法（试行）》（以下简称“《持续监管办 法》”）第二十条和《上海证券交易所上市公司重大资产重组审核规则》（以下简 称“《重组审核规则》”）第八条的规定，科创板上市公司实施发行股份购买资产 的，拟购买资产应当符合科创板定位，所属行业应当与科创板上市公司处于同行 业或者上下游，且与科创板上市公司主营业务具有协同效应，有利于促进主营业 务整合升级和提高上市公司持续经营能力。 经审慎判断，本次交易的标的公司符合科创板定位，标的公司所属行业与上 市公司处于同行业，与上市公司主营业务具有协同效应，有利于促进主营业务整 合升级和提高公司持续经营能力。本次交易符合《科创板上市规则》第…</x:v>
      </x:c>
      <x:c r="N112" s="51" t="str">
        <x:v>2-间接相关</x:v>
      </x:c>
      <x:c r="O112" s="51" t="str">
        <x:v>是</x:v>
      </x:c>
      <x:c r="P112" s="71" t="str">
        <x:v>《董事会关于本次交易符合《上海证券交易所科创板股票上市规则》第11.…》（第1页）披露“1 中芯国际集成电路制造有限公司董事会 关于本次交易符合《上海证券交易所科创板股票上市规则》 第 11.2 条、《科创板上市公司持续监管办法（试行）》第二…”，可建立公告事项到“新增晶圆产能释放能否持续带动收入增长”的一阶业务传导链；但未直接给出最终结果，故判2级。</x:v>
      </x:c>
      <x:c r="Q112" s="51" t="str">
        <x:v>FIN-R01</x:v>
      </x:c>
      <x:c r="R112" s="202" t="n">
        <x:v>46260.92880688657</x:v>
      </x:c>
    </x:row>
    <x:row r="113" ht="72" customHeight="1">
      <x:c r="A113" s="50" t="str">
        <x:v>V4-R-Q014-C05</x:v>
      </x:c>
      <x:c r="B113" s="50" t="str">
        <x:v>V4-E-Q014-C05</x:v>
      </x:c>
      <x:c r="C113" s="50" t="str">
        <x:v>V4-Q014</x:v>
      </x:c>
      <x:c r="D113" s="49" t="str">
        <x:v>中芯国际</x:v>
      </x:c>
      <x:c r="E113" s="50" t="str">
        <x:v>688981</x:v>
      </x:c>
      <x:c r="F113" s="81" t="n">
        <x:v>46260.75</x:v>
      </x:c>
      <x:c r="G113" s="65" t="str">
        <x:v>新增晶圆产能释放能否持续带动收入增长</x:v>
      </x:c>
      <x:c r="H113" s="50" t="str">
        <x:v>DOC-EVT-688981-00089</x:v>
      </x:c>
      <x:c r="I113" s="65" t="str">
        <x:v>易方达上证科创板50成份交易型开放式指数证券投资基金关于所持中芯国际集成电路制造有限公司境内股票变动的提示性公告</x:v>
      </x:c>
      <x:c r="J113" s="81" t="n">
        <x:v>45588</x:v>
      </x:c>
      <x:c r="K113" s="87" t="str">
        <x:v>http://static.cninfo.com.cn/finalpage/2024-10-23/1221475090.PDF</x:v>
      </x:c>
      <x:c r="L113" s="49" t="str">
        <x:v>第1页</x:v>
      </x:c>
      <x:c r="M113" s="65" t="str">
        <x:v>1 A 股代码：688981 A 股简称： 中芯国际 公告编号：2024-022 港股代码：00981 港股简称：中芯国际 易方达上证科创板 50成份交易型开放式指数证券投资基 金关于所持中芯国际集成电路制造有限公司境内股票变 动的提示性公告 信息披露义务人易方达基金管理有限公司 保证本公告内容不存在任何虚假 记载、误导性陈述或者重大遗漏，并对其内容的真实、准确和完整依法承担法律 责任。 重要内容提示：  本公告是根据中国证监会《创新企业境内发行股票或存托凭证上市后持 续监管实施办法（试行） 》第四章第二节的规定披露的提示性公告。  本次变动属于减持，变动数量：1,246,483 股。  本次变动后，易方达基金管理有限公司（以下简称“信息披露义务人”）旗 下的易方达上证科创板 50 成份交易型开放式指数证券投资基金持有中芯国际集 成电路制造有限公司（以下简称“公司”或“上市公司”）境内股票 99,240,673 股， 占公司境内总股本的比例为 4.99%，占公司总股本的比例为1.24%。  易方达上证科创板 50 成份交易型开放式指数证券投资基金（以下简称 “本基金”）为在上海证券交易所上市交易的 ETF，以紧密跟踪标的指数即上证科 创板50 成份指数，追求跟踪偏离度和跟踪误差的最小化为投资目标。本基金主 要采取完全复制法， 即按照标的指数的成份股组成及其权重构建基金股票投资组 合，并根据标的指数成份股及其权重的变动进行相应调整。中芯国际集成电路制 造有限公司为标的…</x:v>
      </x:c>
      <x:c r="N113" s="51" t="str">
        <x:v>0-无关</x:v>
      </x:c>
      <x:c r="O113" s="51" t="str">
        <x:v>否</x:v>
      </x:c>
      <x:c r="P113" s="71" t="str">
        <x:v>《易方达上证科创板50成份交易型开放式指数证券投资基金关于所持中芯国…》（第1页）内容为“1 A 股代码：688981 A 股简称： 中芯国际 公告编号：2024-022 港股代码：00981 港股简称：中芯国际 易方达上证科创板 50成份交易…”，属于治理、证券程序或其他非核心事项，不能帮助判断“新增晶圆产能释放能否持续带动收入增长”，故判0级。</x:v>
      </x:c>
      <x:c r="Q113" s="51" t="str">
        <x:v>FIN-R01</x:v>
      </x:c>
      <x:c r="R113" s="202" t="n">
        <x:v>46260.92880688657</x:v>
      </x:c>
    </x:row>
    <x:row r="114" ht="72" customHeight="1">
      <x:c r="A114" s="50" t="str">
        <x:v>V4-R-Q015-C05</x:v>
      </x:c>
      <x:c r="B114" s="50" t="str">
        <x:v>V4-E-Q015-C05</x:v>
      </x:c>
      <x:c r="C114" s="50" t="str">
        <x:v>V4-Q015</x:v>
      </x:c>
      <x:c r="D114" s="49" t="str">
        <x:v>中芯国际</x:v>
      </x:c>
      <x:c r="E114" s="50" t="str">
        <x:v>688981</x:v>
      </x:c>
      <x:c r="F114" s="81" t="n">
        <x:v>46260.75</x:v>
      </x:c>
      <x:c r="G114" s="65" t="str">
        <x:v>产能利用率回升能否推动晶圆代工毛利率改善</x:v>
      </x:c>
      <x:c r="H114" s="50" t="str">
        <x:v>DOC-EVT-688981-00029</x:v>
      </x:c>
      <x:c r="I114" s="65" t="str">
        <x:v>中芯国际2024年度“提质增效重回报”行动方案</x:v>
      </x:c>
      <x:c r="J114" s="81" t="n">
        <x:v>45380</x:v>
      </x:c>
      <x:c r="K114" s="87" t="str">
        <x:v>http://static.cninfo.com.cn/finalpage/2024-03-29/1219447103.PDF</x:v>
      </x:c>
      <x:c r="L114" s="49" t="str">
        <x:v>第1页</x:v>
      </x:c>
      <x:c r="M114" s="65" t="str">
        <x:v>中芯国际集成电路制造有限公司 2024 年度“提质增效重回报”行动方案 中芯国际集成电路制造有限公司（以下简称“公司” ）积极贯彻 落实科创板上市公司“提质增效重回报”专项行动，践行“做强做优 做大中芯国际，代表行业参与国际竞争”的初心使命，在经营管理、 研发创新、公司治理及投资者关系等方面采取积极措施，以进一步提 高公司质量，保障投资者权益，促进公司健康可持续发展。主要举措 如下： 一、 聚焦集成电路代工主业，深耕服务全球客户 公司是世界领先的集成电路晶圆代工企业之一，也是中国大陆 集成电路制造业领导者。基于国际化运营的理念，为全球客户服务， 建立了辐射全球的服务基地与运营网络。公司全面服务集成电路产业 链，高度重视与上下游企业的合作，为提高产业链的韧性、可靠性和 可持续性添砖加瓦，积极提升产业链整合与布局的能力，构建紧密的 集成电路产业生态， 为客户提供全方位、 一体化的集成电路解决方案。 根据全球各纯晶圆代工企业最新公布的 2023 年销售额情况排名，公 司位居全球第四位，在中国大陆企业中排名第一。 2024年，公司将继续坚定践行“做强做优做大中芯国际，代表行 业参与国际竞争”的初心使命，站在未来发展的角度来谋划今天的业 务布局、站在对标头部企业的高度来检视自身存在的差距、站在产业 链生态圈的视角来选择与谁同行，聚焦“稳住产能、控制成本、技术</x:v>
      </x:c>
      <x:c r="N114" s="51" t="str">
        <x:v>1-弱相关</x:v>
      </x:c>
      <x:c r="O114" s="51" t="str">
        <x:v>否</x:v>
      </x:c>
      <x:c r="P114" s="71" t="str">
        <x:v>《中芯国际2024年度“提质增效重回报”行动方案》（第1页）仅披露“中芯国际集成电路制造有限公司 2024 年度“提质增效重回报”行动方案 中芯国际集成电路制造有限公司（以下简称“公司” ）积极贯彻 落实科创板上市公司“提…”，虽与公司经营或相邻主题有关，但不足以验证“产能利用率回升能否推动晶圆代工毛利率改善”的关键路径，故判1级。</x:v>
      </x:c>
      <x:c r="Q114" s="51" t="str">
        <x:v>FIN-R01</x:v>
      </x:c>
      <x:c r="R114" s="202" t="n">
        <x:v>46260.92880688657</x:v>
      </x:c>
    </x:row>
    <x:row r="115" ht="72" customHeight="1">
      <x:c r="A115" s="50" t="str">
        <x:v>V4-R-Q015-C04</x:v>
      </x:c>
      <x:c r="B115" s="50" t="str">
        <x:v>V4-E-Q015-C04</x:v>
      </x:c>
      <x:c r="C115" s="50" t="str">
        <x:v>V4-Q015</x:v>
      </x:c>
      <x:c r="D115" s="49" t="str">
        <x:v>中芯国际</x:v>
      </x:c>
      <x:c r="E115" s="50" t="str">
        <x:v>688981</x:v>
      </x:c>
      <x:c r="F115" s="81" t="n">
        <x:v>46260.75</x:v>
      </x:c>
      <x:c r="G115" s="65" t="str">
        <x:v>产能利用率回升能否推动晶圆代工毛利率改善</x:v>
      </x:c>
      <x:c r="H115" s="50" t="str">
        <x:v>DOC-EVT-688981-00076</x:v>
      </x:c>
      <x:c r="I115" s="65" t="str">
        <x:v>中芯国际关于2024年度“提质增效重回报”行动方案的半年度评估报告</x:v>
      </x:c>
      <x:c r="J115" s="81" t="n">
        <x:v>45534</x:v>
      </x:c>
      <x:c r="K115" s="87" t="str">
        <x:v>http://static.cninfo.com.cn/finalpage/2024-08-30/1221050801.PDF</x:v>
      </x:c>
      <x:c r="L115" s="49" t="str">
        <x:v>第1页</x:v>
      </x:c>
      <x:c r="M115" s="65" t="str">
        <x:v>1 中芯国际集成电路制造有限公司 关于 2024 年度“提质增效重回报”行动方案的 半年度评估报告 中芯国际集成电路制造有限公司（以下简称“公司”或“中芯国 际”）为积极贯彻落实科创板上市公司 “提质增效重回报” 专项行动， 于 2024 年 3 月 29 日发布了《2024 年度“提质增效重回报”行动方 案》 。 公司根据行动方案的内容， 积极开展和落实各项工作，现将2024 年上半年公司行动方案主要举措的落实及进展情况报告如下： 一、聚焦集成电路代工主业，深耕服务全球客户 2024上半年，公司产能布建稳中有进，重点项目成效初显，合作 生态加快建立，管理效能全面提升。在不断变化的外部环境中，公司 通过提高产能利用率对抗折旧，通过丰富产品组合来对抗周期，通过 扩大高附加值产能来对抗平均晶圆单价的下降，增强技术领先、制造 卓越、成本最优、客户至上的核心竞争力。 2024年上半年，提升产能利用率方面：公司8 英寸利用率回升， 12 英寸产能处于接近满载状态，上半年公司综合产能利用率持续提 升，二季度达到85%，较去年同期提升了7 个百分点；丰富产品组合 方面：持续保持研发创新，稳步推进多个技术节点的技术平台开发和 上量，与客户深度绑定，共同成长；扩大高附加值产能方面：公司新 增全部为 12 英寸优质产能，上半年 1.4 万片的新增产能快速投入生 产,促进产品组合优化调整。公司上半年营业收入超过 262 亿元人民 币，较去年同期增长23%，出货量较去年同期增长47%。</x:v>
      </x:c>
      <x:c r="N115" s="51" t="str">
        <x:v>3-直接相关</x:v>
      </x:c>
      <x:c r="O115" s="51" t="str">
        <x:v>是</x:v>
      </x:c>
      <x:c r="P115" s="71" t="str">
        <x:v>《中芯国际关于2024年度“提质增效重回报”行动方案的半年度评估报告》（第1页）直接披露“1 中芯国际集成电路制造有限公司 关于 2024 年度“提质增效重回报”行动方案的 半年度评估报告 中芯国际集成电路制造有限公司（以下简称“公司”或“中芯…”，与“产能利用率回升能否推动晶圆代工毛利率改善”的核心变量或结果同口径，可直接用于判断，故判3级。</x:v>
      </x:c>
      <x:c r="Q115" s="51" t="str">
        <x:v>FIN-R01</x:v>
      </x:c>
      <x:c r="R115" s="202" t="n">
        <x:v>46260.92880688657</x:v>
      </x:c>
    </x:row>
    <x:row r="116" ht="72" customHeight="1">
      <x:c r="A116" s="50" t="str">
        <x:v>V4-R-Q015-C07</x:v>
      </x:c>
      <x:c r="B116" s="50" t="str">
        <x:v>V4-E-Q015-C07</x:v>
      </x:c>
      <x:c r="C116" s="50" t="str">
        <x:v>V4-Q015</x:v>
      </x:c>
      <x:c r="D116" s="49" t="str">
        <x:v>中芯国际</x:v>
      </x:c>
      <x:c r="E116" s="50" t="str">
        <x:v>688981</x:v>
      </x:c>
      <x:c r="F116" s="81" t="n">
        <x:v>46260.75</x:v>
      </x:c>
      <x:c r="G116" s="65" t="str">
        <x:v>产能利用率回升能否推动晶圆代工毛利率改善</x:v>
      </x:c>
      <x:c r="H116" s="50" t="str">
        <x:v>DOC-EVT-688981-00289</x:v>
      </x:c>
      <x:c r="I116" s="65" t="str">
        <x:v>中芯国际2025年年度报告</x:v>
      </x:c>
      <x:c r="J116" s="81" t="n">
        <x:v>46108</x:v>
      </x:c>
      <x:c r="K116" s="87" t="str">
        <x:v>http://static.cninfo.com.cn/finalpage/2026-03-27/1225037057.PDF</x:v>
      </x:c>
      <x:c r="L116" s="49" t="str">
        <x:v>第6页</x:v>
      </x:c>
      <x:c r="M116" s="65" t="str">
        <x:v>中芯国际集成电路制造有限公司2025 年年度报告 6 / 232 第二节 致股东的信 尊敬的各位股东、投资人： 2025 年是中芯国际成立的 25 周年，是公司全面深化改革、推动高质量发展的突破之年。 这一年，我们持续聚焦主业发展，顺利推进项目进展，经营业绩再上新台阶。面对外部复杂 多变的环境，公司保持深耕晶圆制造长期战略不动摇，稳步实施产能扩建，折合 8 英寸标准逻辑 的月产能规模超过了 100 万片；全年实现销售收入人民币 673.23 亿元，同比增长 16.5%，继续巩 固全球纯晶圆代工企业第二位置；产能利用率增至 93.5%，同比增长 8 个百分点；在折旧大幅增 长的情况下，毛利率增至 22%，同比增加 3 个百分点。同时，公司实质性推进中芯北方少数股权 收购、中芯南方增资扩股等项目，为未来发展奠定坚实基础。 这一年，我们持续推动技术攻关，开放合作带动增量，协同产业链共同发展。随着下游应用 场景更加多元化，人工智能、数据中心、自动驾驶等领域引领行业迈入新一轮快速增长周期，消 费电子等智能终端迭代升级，产业链在地化转换加速，使得产业对于本土中高端领域芯片制造需 求进一步提升。在此背景下，公司以培育和发展新质生产力为重点，持续创新筑牢核心竞争优势。 2025 年，公司持续保持高研发投入，研发投入人民币 55.19 亿元，占销售收入 8.2%；公司完善技 术创新体系，积极响应客户需求，持续推进工艺迭代与产品升级；同时，公司协同上下游开展产 业链合作，成立先进封装研究院，助…</x:v>
      </x:c>
      <x:c r="N116" s="51" t="str">
        <x:v>3-直接相关</x:v>
      </x:c>
      <x:c r="O116" s="51" t="str">
        <x:v>是</x:v>
      </x:c>
      <x:c r="P116" s="71" t="str">
        <x:v>《中芯国际2025年年度报告》（第6页）直接披露“中芯国际集成电路制造有限公司2025 年年度报告 6 / 232 第二节 致股东的信 尊敬的各位股东、投资人： 2025 年是中芯国际成立的 25 周年，…”，与“产能利用率回升能否推动晶圆代工毛利率改善”的核心变量或结果同口径，可直接用于判断，故判3级。</x:v>
      </x:c>
      <x:c r="Q116" s="51" t="str">
        <x:v>FIN-R01</x:v>
      </x:c>
      <x:c r="R116" s="202" t="n">
        <x:v>46260.92880688657</x:v>
      </x:c>
    </x:row>
    <x:row r="117" ht="72" customHeight="1">
      <x:c r="A117" s="50" t="str">
        <x:v>V4-R-Q015-C08</x:v>
      </x:c>
      <x:c r="B117" s="50" t="str">
        <x:v>V4-E-Q015-C08</x:v>
      </x:c>
      <x:c r="C117" s="50" t="str">
        <x:v>V4-Q015</x:v>
      </x:c>
      <x:c r="D117" s="49" t="str">
        <x:v>中芯国际</x:v>
      </x:c>
      <x:c r="E117" s="50" t="str">
        <x:v>688981</x:v>
      </x:c>
      <x:c r="F117" s="81" t="n">
        <x:v>46260.75</x:v>
      </x:c>
      <x:c r="G117" s="65" t="str">
        <x:v>产能利用率回升能否推动晶圆代工毛利率改善</x:v>
      </x:c>
      <x:c r="H117" s="50" t="str">
        <x:v>DOC-EVT-688981-00060</x:v>
      </x:c>
      <x:c r="I117" s="65" t="str">
        <x:v>上海市锦天城律师事务所关于2024年股东周年大会的法律意见书</x:v>
      </x:c>
      <x:c r="J117" s="81" t="n">
        <x:v>45472</x:v>
      </x:c>
      <x:c r="K117" s="87" t="str">
        <x:v>http://static.cninfo.com.cn/finalpage/2024-06-29/1220502758.PDF</x:v>
      </x:c>
      <x:c r="L117" s="49" t="str">
        <x:v>第2页</x:v>
      </x:c>
      <x:c r="M117" s="65" t="str">
        <x:v>上海市锦天城律师事务所 法律意见书 1 上海市锦天城律师事务所 关于 Semiconductor Manufacturing International Corporation （中芯国际集成电路制造有限公司） 2024 年股东周年大会的 法律意见书 案号：01G20241315 致：Semiconductor Manufacturing International Corporation（中芯国际集成电路制 造有限公司） 上海市锦天城律师事务所（以下简称“ 本所” ）接受 Semiconductor Manufacturing International Corporation（中芯国际集成电路制造有限公司） （以下 简称“公司”或“中芯国际”）的委托，根据《中华人民共和国证券法》 （以下简称 “《证券法》”） 、中国证券监督管理委员会发布的《上市公司股东大会规则》 （以 下简称“《股东大会规则》” ） 及《Semiconductor Manufacturing International Corporation（中芯国际集成电路制造有限公司）第十三版经修订和重述组织章程 细则》 （以下简称“《公司章程》”）的有关规定，就公司于 2024 年 6 月 28 日召 开的 2024 年股东周年大会（以下简称“本次股东大会”）的有关事宜，出具本法 律意见书。 声明事项 一、 为了出具本法律意见书，本所律师列席了公司本次股东大会并审查了 公司提供的有关公司召开本次股东大会的文件。…</x:v>
      </x:c>
      <x:c r="N117" s="51" t="str">
        <x:v>0-无关</x:v>
      </x:c>
      <x:c r="O117" s="51" t="str">
        <x:v>否</x:v>
      </x:c>
      <x:c r="P117" s="71" t="str">
        <x:v>《上海市锦天城律师事务所关于2024年股东周年大会的法律意见书》（第2页）内容为“上海市锦天城律师事务所 法律意见书 1 上海市锦天城律师事务所 关于 Semiconductor Manufacturing International …”，属于治理、证券程序或其他非核心事项，不能帮助判断“产能利用率回升能否推动晶圆代工毛利率改善”，故判0级。</x:v>
      </x:c>
      <x:c r="Q117" s="51" t="str">
        <x:v>FIN-R01</x:v>
      </x:c>
      <x:c r="R117" s="202" t="n">
        <x:v>46260.92880688657</x:v>
      </x:c>
    </x:row>
    <x:row r="118" ht="72" customHeight="1">
      <x:c r="A118" s="50" t="str">
        <x:v>V4-R-Q015-C03</x:v>
      </x:c>
      <x:c r="B118" s="50" t="str">
        <x:v>V4-E-Q015-C03</x:v>
      </x:c>
      <x:c r="C118" s="50" t="str">
        <x:v>V4-Q015</x:v>
      </x:c>
      <x:c r="D118" s="49" t="str">
        <x:v>中芯国际</x:v>
      </x:c>
      <x:c r="E118" s="50" t="str">
        <x:v>688981</x:v>
      </x:c>
      <x:c r="F118" s="81" t="n">
        <x:v>46260.75</x:v>
      </x:c>
      <x:c r="G118" s="65" t="str">
        <x:v>产能利用率回升能否推动晶圆代工毛利率改善</x:v>
      </x:c>
      <x:c r="H118" s="50" t="str">
        <x:v>DOC-EVT-688981-00117</x:v>
      </x:c>
      <x:c r="I118" s="65" t="str">
        <x:v>中芯国际2025年度“提质增效重回报”行动方案</x:v>
      </x:c>
      <x:c r="J118" s="81" t="n">
        <x:v>45744</x:v>
      </x:c>
      <x:c r="K118" s="87" t="str">
        <x:v>http://static.cninfo.com.cn/finalpage/2025-03-28/1222924322.PDF</x:v>
      </x:c>
      <x:c r="L118" s="49" t="str">
        <x:v>第1页</x:v>
      </x:c>
      <x:c r="M118" s="65" t="str">
        <x:v>1 中芯国际集成电路制造有限公司 2025 年度“提质增效重回报”行动方案 中芯国际集成电路制造有限公司（以下简称“公司” ）积极贯彻 落实科创板上市公司“提质增效重回报”专项行动，于 2024 年 3 月 29 日发布了《2024 年度“提质增效重回报”行动方案》，并于 2024 年8 月29 日发布了 《关于2024年度“提质增效重回报”行动方案的 半年度评估报告》。2024年，公司聚焦主业经营、持续科技创新、提 升治理效能，持续提升公司核心竞争力，并通过多渠道投资者交流、 践行ESG理念等系列举措，向资本市场积极传递公司价值。 2025年，公司将继续推进产能建设上台阶、绑定客户拓市场、降 本增效优运营，在经营管理、研发创新、公司治理及投资者关系等方 面采取积极措施，以进一步提高公司质量，保障投资者权益，促进公 司健康可持续发展。 公司2024 年度“提质增效重回报”行动方案执行情况及2025 年 度行动方案主要举措如下： 一、聚焦集成电路代工主业，深耕服务全球客户 —— 稳步推进产能建设，公司季度收入节节攀升 公司是世界领先的集成电路晶圆代工企业之一，也是中国大陆集 成电路制造业领导者。基于国际化运营的理念，为全球客户服务，建 立了辐射全球的服务基地与运营网络。 2024年，主要产业进一步向国产链转移切换， 为满足客户需求， 加强规模经济效应，提升公司核心竞争力，公司加快产能扩充节奏， 进一步提升平台完备性，客户新产品快速验证并上量，四个季度收入</x:v>
      </x:c>
      <x:c r="N118" s="51" t="str">
        <x:v>2-间接相关</x:v>
      </x:c>
      <x:c r="O118" s="51" t="str">
        <x:v>是</x:v>
      </x:c>
      <x:c r="P118" s="71" t="str">
        <x:v>《中芯国际2025年度“提质增效重回报”行动方案》（第1页）披露“1 中芯国际集成电路制造有限公司 2025 年度“提质增效重回报”行动方案 中芯国际集成电路制造有限公司（以下简称“公司” ）积极贯彻 落实科创板上市公司…”，可建立公告事项到“产能利用率回升能否推动晶圆代工毛利率改善”的一阶业务传导链；但未直接给出最终结果，故判2级。</x:v>
      </x:c>
      <x:c r="Q118" s="51" t="str">
        <x:v>FIN-R01</x:v>
      </x:c>
      <x:c r="R118" s="202" t="n">
        <x:v>46260.92880688657</x:v>
      </x:c>
    </x:row>
    <x:row r="119" ht="72" customHeight="1">
      <x:c r="A119" s="50" t="str">
        <x:v>V4-R-Q015-C02</x:v>
      </x:c>
      <x:c r="B119" s="50" t="str">
        <x:v>V4-E-Q015-C02</x:v>
      </x:c>
      <x:c r="C119" s="50" t="str">
        <x:v>V4-Q015</x:v>
      </x:c>
      <x:c r="D119" s="49" t="str">
        <x:v>中芯国际</x:v>
      </x:c>
      <x:c r="E119" s="50" t="str">
        <x:v>688981</x:v>
      </x:c>
      <x:c r="F119" s="81" t="n">
        <x:v>46260.75</x:v>
      </x:c>
      <x:c r="G119" s="65" t="str">
        <x:v>产能利用率回升能否推动晶圆代工毛利率改善</x:v>
      </x:c>
      <x:c r="H119" s="50" t="str">
        <x:v>DOC-EVT-688981-00353</x:v>
      </x:c>
      <x:c r="I119" s="65" t="str">
        <x:v>国家集成电路产业投资基金股份有限公司及其一致行动人关于所持中芯国际集成电路制造有限公司境内股票变动的提示性公告</x:v>
      </x:c>
      <x:c r="J119" s="81" t="n">
        <x:v>46198</x:v>
      </x:c>
      <x:c r="K119" s="87" t="str">
        <x:v>http://static.cninfo.com.cn/finalpage/2026-06-25/1225386201.PDF</x:v>
      </x:c>
      <x:c r="L119" s="49" t="str">
        <x:v>第1页</x:v>
      </x:c>
      <x:c r="M119" s="65" t="str">
        <x:v>1 A 股代码：688981 A 股简称：中芯国际 公告编号：2026-027 港股代码：00981 港股简称：中芯国际 信息披露义务人国家集成电路产业投资基金股份有限公司及其一致行动人 保证本公告内容不存在任何虚假记载、误导性陈述或者重大遗漏，并对其内容 的真实性、准确性和完整性依法承担法律责任。 重要内容提示： 本公告是根据中国证券监督管理委员会（以下简称“中国证监会”）《创新 企业境内发行股票或存托凭证上市后持续监管实施办法（试行）》第四章第二节 的规定披露的提示性公告。 本次变动数量：357,343,396 股 中芯国际集成电路制造有限公司（“公司”或“上市公司”）通过发行股份 方式购买国家集成电路产业投资基金股份有限公司（“国家集成电路基金”）、 北京集成电路制造和装备股权投资中心（有限合伙）（“集成电路投资中心”）、 北京亦庄国际投资发展有限公司（“亦庄国投”）、北京工业发展投资管理有限 公司（“北京工投”）、中关村发展集团股份有限公司（“中关村发展”）的所 持中芯北方集成电路制造（北京）有限公司的 49%股权（以下简称“本次交易”）。 本次交易完成后，国家集成电路基金持有公司 A 股股票 357,343,396 股，占 公司 A 股总股本的比例为 14.03%，占公司总股本的比例为 4.17%，国家集成电 路基金的一致行动人鑫芯（香港）投资有限公司（以下简称“鑫芯香港”）持有 公司港股股票 224,989,311 股，占公司总股本的比例为 2.63%，国家集成…</x:v>
      </x:c>
      <x:c r="N119" s="51" t="str">
        <x:v>0-无关</x:v>
      </x:c>
      <x:c r="O119" s="51" t="str">
        <x:v>否</x:v>
      </x:c>
      <x:c r="P119" s="71" t="str">
        <x:v>《国家集成电路产业投资基金股份有限公司及其一致行动人关于所持中芯国际…》（第1页）内容为“1 A 股代码：688981 A 股简称：中芯国际 公告编号：2026-027 港股代码：00981 港股简称：中芯国际 信息披露义务人国家集成电路产业投…”，属于治理、证券程序或其他非核心事项，不能帮助判断“产能利用率回升能否推动晶圆代工毛利率改善”，故判0级。</x:v>
      </x:c>
      <x:c r="Q119" s="51" t="str">
        <x:v>FIN-R01</x:v>
      </x:c>
      <x:c r="R119" s="202" t="n">
        <x:v>46260.92880688657</x:v>
      </x:c>
    </x:row>
    <x:row r="120" ht="72" customHeight="1">
      <x:c r="A120" s="50" t="str">
        <x:v>V4-R-Q015-C06</x:v>
      </x:c>
      <x:c r="B120" s="50" t="str">
        <x:v>V4-E-Q015-C06</x:v>
      </x:c>
      <x:c r="C120" s="50" t="str">
        <x:v>V4-Q015</x:v>
      </x:c>
      <x:c r="D120" s="49" t="str">
        <x:v>中芯国际</x:v>
      </x:c>
      <x:c r="E120" s="50" t="str">
        <x:v>688981</x:v>
      </x:c>
      <x:c r="F120" s="81" t="n">
        <x:v>46260.75</x:v>
      </x:c>
      <x:c r="G120" s="65" t="str">
        <x:v>产能利用率回升能否推动晶圆代工毛利率改善</x:v>
      </x:c>
      <x:c r="H120" s="50" t="str">
        <x:v>DOC-EVT-688981-00108</x:v>
      </x:c>
      <x:c r="I120" s="65" t="str">
        <x:v>中芯国际2024年第四季度业绩快报公告</x:v>
      </x:c>
      <x:c r="J120" s="81" t="n">
        <x:v>45700</x:v>
      </x:c>
      <x:c r="K120" s="87" t="str">
        <x:v>http://static.cninfo.com.cn/finalpage/2025-02-12/1222514527.PDF</x:v>
      </x:c>
      <x:c r="L120" s="49" t="str">
        <x:v>第1页</x:v>
      </x:c>
      <x:c r="M120" s="65" t="str">
        <x:v>1 A股代码：688981 A股简称：中芯国际 公告编号：2025-002 港股代码：00981 港股简称：中芯国际 中芯国际集成电路制造有限公司 2024年第四季度业绩快报公告 本公司董事会及全体董事保证本公告内容不存在任何虚假记载、误导性陈 述或者重大遗漏，并对其内容的真实性、准确性和完整性依法承担法律责任。 特别提示：  本公告所载的中芯国际集成电路制造有限公司（以下简称“公司”）财务数 据为初步核算数据，未经会计师事务所审计， 具体数据以公司2024年经审计的 年度报告为准，提请投资者注意投资风险。  本公告财务数据按中国企业会计准则编制并呈列。  本公司已于上海证券交易所及香港联合交易所同步披露依国际财务报告准则 编制的未经审核业绩公告，提请投资者注意与本公告区别。</x:v>
      </x:c>
      <x:c r="N120" s="51" t="str">
        <x:v>1-弱相关</x:v>
      </x:c>
      <x:c r="O120" s="51" t="str">
        <x:v>否</x:v>
      </x:c>
      <x:c r="P120" s="71" t="str">
        <x:v>《中芯国际2024年第四季度业绩快报公告》（第1页）仅披露“1 A股代码：688981 A股简称：中芯国际 公告编号：2025-002 港股代码：00981 港股简称：中芯国际 中芯国际集成电路制造有限公司 202…”，虽与公司经营或相邻主题有关，但不足以验证“产能利用率回升能否推动晶圆代工毛利率改善”的关键路径，故判1级。</x:v>
      </x:c>
      <x:c r="Q120" s="51" t="str">
        <x:v>FIN-R01</x:v>
      </x:c>
      <x:c r="R120" s="202" t="n">
        <x:v>46260.92880688657</x:v>
      </x:c>
    </x:row>
    <x:row r="121" ht="72" customHeight="1">
      <x:c r="A121" s="50" t="str">
        <x:v>V4-R-Q015-C01</x:v>
      </x:c>
      <x:c r="B121" s="50" t="str">
        <x:v>V4-E-Q015-C01</x:v>
      </x:c>
      <x:c r="C121" s="50" t="str">
        <x:v>V4-Q015</x:v>
      </x:c>
      <x:c r="D121" s="49" t="str">
        <x:v>中芯国际</x:v>
      </x:c>
      <x:c r="E121" s="50" t="str">
        <x:v>688981</x:v>
      </x:c>
      <x:c r="F121" s="81" t="n">
        <x:v>46260.75</x:v>
      </x:c>
      <x:c r="G121" s="65" t="str">
        <x:v>产能利用率回升能否推动晶圆代工毛利率改善</x:v>
      </x:c>
      <x:c r="H121" s="50" t="str">
        <x:v>DOC-EVT-688981-00363</x:v>
      </x:c>
      <x:c r="I121" s="65" t="str">
        <x:v>上海市锦天城律师事务所关于2026年度股东会的法律意见书</x:v>
      </x:c>
      <x:c r="J121" s="81" t="n">
        <x:v>46200</x:v>
      </x:c>
      <x:c r="K121" s="87" t="str">
        <x:v>http://static.cninfo.com.cn/finalpage/2026-06-27/1225393411.PDF</x:v>
      </x:c>
      <x:c r="L121" s="49" t="str">
        <x:v>第2页</x:v>
      </x:c>
      <x:c r="M121" s="65" t="str">
        <x:v>上海市锦天城律师事务所 法律意见书 1 上海市锦天城律师事务所 关于 Semiconductor Manufacturing International Corporation （中芯国际集成电路制造有限公司） 2026 年度股东会的 法律意见书 致：Semiconductor Manufacturing International Corporation（中芯国际集成电路制 造有限公司） 上海市锦天城律师事务所（以下简称“本所”）接受 Semiconductor Manufacturing International Corporation（中芯国际集成电路制造有限公司）（以下 简称“公司”或“中芯国际”）的委托，根据《中华人民共和国证券法》（以下简 称“《证券法》”）、中国证券监督管理委员会发布的《上市公司股东会规则》（以 下简称“《股东会规则》”） 及《Semiconductor Manufacturing International Corporation（中芯国际集成电路制造有限公司）第十三版经修订和重述组织章程 细则》（以下简称“《公司章程》”）的有关规定，就公司于 2026 年 6 月 26 日召 开的 2026 年度股东会（以下简称“本次股东会”）的有关事宜，出具本法律意见 书。 声明事项 一、 为了出具本法律意见书，本所律师列席了公司本次股东会并审查了公 司提供的有关公司召开本次股东会的文件。 二、 本所及本所律师依据《证券法》《股东会规则》《律师事务所从…</x:v>
      </x:c>
      <x:c r="N121" s="51" t="str">
        <x:v>0-无关</x:v>
      </x:c>
      <x:c r="O121" s="51" t="str">
        <x:v>否</x:v>
      </x:c>
      <x:c r="P121" s="71" t="str">
        <x:v>《上海市锦天城律师事务所关于2026年度股东会的法律意见书》（第2页）内容为“上海市锦天城律师事务所 法律意见书 1 上海市锦天城律师事务所 关于 Semiconductor Manufacturing International …”，属于治理、证券程序或其他非核心事项，不能帮助判断“产能利用率回升能否推动晶圆代工毛利率改善”，故判0级。</x:v>
      </x:c>
      <x:c r="Q121" s="51" t="str">
        <x:v>FIN-R01</x:v>
      </x:c>
      <x:c r="R121" s="202" t="n">
        <x:v>46260.92880688657</x:v>
      </x:c>
    </x:row>
    <x:row r="122" ht="72" customHeight="1">
      <x:c r="A122" s="50" t="str">
        <x:v>V4-R-Q016-C01</x:v>
      </x:c>
      <x:c r="B122" s="50" t="str">
        <x:v>V4-E-Q016-C01</x:v>
      </x:c>
      <x:c r="C122" s="50" t="str">
        <x:v>V4-Q016</x:v>
      </x:c>
      <x:c r="D122" s="49" t="str">
        <x:v>中芯国际</x:v>
      </x:c>
      <x:c r="E122" s="50" t="str">
        <x:v>688981</x:v>
      </x:c>
      <x:c r="F122" s="81" t="n">
        <x:v>46260.75</x:v>
      </x:c>
      <x:c r="G122" s="65" t="str">
        <x:v>资本开支与新增折旧压力能否被下游需求增长消化</x:v>
      </x:c>
      <x:c r="H122" s="50" t="str">
        <x:v>DOC-EVT-688981-00245</x:v>
      </x:c>
      <x:c r="I122" s="65" t="str">
        <x:v>中芯国际关于订立中芯南方新合资合同及新增资扩股协议暨关联交易的公告</x:v>
      </x:c>
      <x:c r="J122" s="81" t="n">
        <x:v>46021</x:v>
      </x:c>
      <x:c r="K122" s="87" t="str">
        <x:v>http://static.cninfo.com.cn/finalpage/2025-12-30/1224907005.PDF</x:v>
      </x:c>
      <x:c r="L122" s="49" t="str">
        <x:v>第1页</x:v>
      </x:c>
      <x:c r="M122" s="65" t="str">
        <x:v>1 A股代码：688981 A股简称：中芯国际 公告编号：2025-038 港股代码：00981 港股简称：中芯国际 中芯国际集成电路制造有限公司 关于订立中芯南方新合资合同及新增资扩股协议 暨关联交易的公告 一、订立新合资合同及新增资扩股协议 兹提述本公司日期为2020年5月15日的公告及日期为2020年6月6日的通函， 内容有关（其中包括）中芯控股与国家集成电路基金、国家集成电路基金二期、 上海集成电路基金及上海集成电路基金二期订立合资合同及增资扩股协议，据此： (i)中芯南方注册资本由35亿美元增加至65亿美元；及(ii)中芯控股、国家集成电 路基金、国家集成电路基金二期、上海集成电路基金及上海集成电路基金二期分 别持有中芯南方38.515%、14.562%、23.077%、12.308%及11.538%股权。 于2025年12月29日，中芯控股与国家集成电路基金、国家集成电路基金二期、 国家集成电路基金三期、上海集成电路基金、上海集成电路基金二期、泰新鼎吉 及先导集成电路基金订立新合资合同及新增资扩股协议，以修订前合资合同，据 此：(i)中芯南方的注册资本将由65亿美元增加至100.773亿美元；及(ii)中芯控股、 国家集成电路基金、国家集成电路基金二期、国家集成电路基金三期、上海集成 电路基金、上海集成电路基金二期、泰新鼎吉、先导集成电路基金将分别持有中 芯南方41.561%、9.392%、14.885%、8.361%、7.939%、11.253%、5.545%…</x:v>
      </x:c>
      <x:c r="N122" s="51" t="str">
        <x:v>2-间接相关</x:v>
      </x:c>
      <x:c r="O122" s="51" t="str">
        <x:v>是</x:v>
      </x:c>
      <x:c r="P122" s="71" t="str">
        <x:v>《中芯国际关于订立中芯南方新合资合同及新增资扩股协议暨关联交易的公告》（第1页）披露“1 A股代码：688981 A股简称：中芯国际 公告编号：2025-038 港股代码：00981 港股简称：中芯国际 中芯国际集成电路制造有限公司 关于订…”，可建立公告事项到“资本开支与新增折旧压力能否被下游需求增长消化”的一阶业务传导链；但未直接给出最终结果，故判2级。</x:v>
      </x:c>
      <x:c r="Q122" s="51" t="str">
        <x:v>FIN-R01</x:v>
      </x:c>
      <x:c r="R122" s="202" t="n">
        <x:v>46260.92880688657</x:v>
      </x:c>
    </x:row>
    <x:row r="123" ht="72" customHeight="1">
      <x:c r="A123" s="50" t="str">
        <x:v>V4-R-Q016-C04</x:v>
      </x:c>
      <x:c r="B123" s="50" t="str">
        <x:v>V4-E-Q016-C04</x:v>
      </x:c>
      <x:c r="C123" s="50" t="str">
        <x:v>V4-Q016</x:v>
      </x:c>
      <x:c r="D123" s="49" t="str">
        <x:v>中芯国际</x:v>
      </x:c>
      <x:c r="E123" s="50" t="str">
        <x:v>688981</x:v>
      </x:c>
      <x:c r="F123" s="81" t="n">
        <x:v>46260.75</x:v>
      </x:c>
      <x:c r="G123" s="65" t="str">
        <x:v>资本开支与新增折旧压力能否被下游需求增长消化</x:v>
      </x:c>
      <x:c r="H123" s="50" t="str">
        <x:v>DOC-EVT-688981-00333</x:v>
      </x:c>
      <x:c r="I123" s="65" t="str">
        <x:v>港股公告：中芯国际截至2026年3月31日止三个月未经审核业绩公布</x:v>
      </x:c>
      <x:c r="J123" s="81" t="n">
        <x:v>46157</x:v>
      </x:c>
      <x:c r="K123" s="87" t="str">
        <x:v>http://static.cninfo.com.cn/finalpage/2026-05-15/1225307110.PDF</x:v>
      </x:c>
      <x:c r="L123" s="49" t="str">
        <x:v>第1页</x:v>
      </x:c>
      <x:c r="M123" s="65"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2026 年3月31 日止三個月未經審核業績公佈 除非以下額外說明，本合併財務信息係依國際財務報告準則編製且表達。  2026 年第一季的銷售收入為 2,505.5 百萬美元， 2025 年第四季的銷售收入為 2,488.7 百萬美元， 2025 年第一季的銷售收入為 2,247.2 百萬美元。  2026 年第一季毛利為 503.6 百萬美元，2025 年第四季毛利為 478.1 百萬美元，2025 年第一季毛 利為 505.9 百萬美元。  2026 年第一季毛利率為 20.1%，2025 年第四季毛利率為 19.2%，2025 年第一季毛利率為 22.5%。 以下爲本公司及其子公司(「本集團」)於 2026 年 5 月 14 日就截至 2026 年 3 月 31 日止三個月的未經審 核業績公佈全文。 除非特別指明，所有貨幣以美元列賬。 中國上海─ 2026 年5 月14 日─ 國際主要半導體代工製造商中芯國際集成電路製造有限公司(香…</x:v>
      </x:c>
      <x:c r="N123" s="51" t="str">
        <x:v>3-直接相关</x:v>
      </x:c>
      <x:c r="O123" s="51" t="str">
        <x:v>是</x:v>
      </x:c>
      <x:c r="P123" s="71" t="str">
        <x:v>《港股公告：中芯国际截至2026年3月31日止三个月未经审核业绩公布》（第1页）直接披露“-1- 香港交易及結算所有限公司及香港聯合交易所有限公司對本公告的內容概不負責，對其準確性或完整性 亦不發表任何聲明，並明確表示，概不對因本文檔全部或任何…”，与“资本开支与新增折旧压力能否被下游需求增长消化”的核心变量或结果同口径，可直接用于判断，故判3级。</x:v>
      </x:c>
      <x:c r="Q123" s="51" t="str">
        <x:v>FIN-R01</x:v>
      </x:c>
      <x:c r="R123" s="202" t="n">
        <x:v>46260.92880688657</x:v>
      </x:c>
    </x:row>
    <x:row r="124" ht="72" customHeight="1">
      <x:c r="A124" s="50" t="str">
        <x:v>V4-R-Q016-C07</x:v>
      </x:c>
      <x:c r="B124" s="50" t="str">
        <x:v>V4-E-Q016-C07</x:v>
      </x:c>
      <x:c r="C124" s="50" t="str">
        <x:v>V4-Q016</x:v>
      </x:c>
      <x:c r="D124" s="49" t="str">
        <x:v>中芯国际</x:v>
      </x:c>
      <x:c r="E124" s="50" t="str">
        <x:v>688981</x:v>
      </x:c>
      <x:c r="F124" s="81" t="n">
        <x:v>46260.75</x:v>
      </x:c>
      <x:c r="G124" s="65" t="str">
        <x:v>资本开支与新增折旧压力能否被下游需求增长消化</x:v>
      </x:c>
      <x:c r="H124" s="50" t="str">
        <x:v>DOC-EVT-688981-00297</x:v>
      </x:c>
      <x:c r="I124" s="65" t="str">
        <x:v>中芯国际2025年年度报告摘要</x:v>
      </x:c>
      <x:c r="J124" s="81" t="n">
        <x:v>46108</x:v>
      </x:c>
      <x:c r="K124" s="87" t="str">
        <x:v>http://static.cninfo.com.cn/finalpage/2026-03-27/1225037116.PDF</x:v>
      </x:c>
      <x:c r="L124" s="49" t="str">
        <x:v>第5页</x:v>
      </x:c>
      <x:c r="M124" s="65" t="str">
        <x:v>中芯国际集成电路制造有限公司2025 年年度报告摘要 5 从产业格局来看，晶圆代工环节持续凸显战略价值。算力芯片领域，逻辑运算类芯片需求爆 发式增长，推动设计工具，工艺制程与异构封装技术持续迭代，构筑起涵盖 IP 核、EDA 工具链、 工艺制程的全方位技术壁垒；消费电子领域，整体市场温和复苏，系统级芯片、传感器、存储芯 片等产品持续通过工艺优化与成本管控构建竞争优势；汽车电子与工业工控领域，由于功能安全 认证体系与长周期验证要求，形成了高度集中的产业生态格局。 从地域发展情况来看，在中美贸易政策动态调整背景下,跨国企业加速推进供应链区域化重构， 全球供应链体系正经历多维度的适应性变革，近岸产业链布局成为主要经济体战略重点。中国大 陆集成电路产业在高端设备、关键原材料及零部件、IC 设计能力、工艺开发、封装等关键环节仍 具备较大成长空间。 晶圆代工行业作为半导体产业链的核心环节，技术壁垒、人才储备、持续资本投入，形成了 较高的准入门槛。该领域的竞争焦点集中在纳米尺度工艺精度控制、新型半导体材料开发应用以 及超大规模制造系统的协同优化能力。全球领先企业维持较高的研发投入强度，持续巩固技术优 势，着力构筑产业壁垒，而本土企业正通过产业链协同突破，快速填补市场空白。 2.公司所处的行业地位分析及其变化情况 中芯国际是世界领先的集成电路晶圆代工企业之一，也是中国大陆集成电路制造业领导者， 拥有领先的工艺制造能力、产能优势、服务配套。根据全球各纯晶圆代工企业最新公布的 2025 年销售…</x:v>
      </x:c>
      <x:c r="N124" s="51" t="str">
        <x:v>2-间接相关</x:v>
      </x:c>
      <x:c r="O124" s="51" t="str">
        <x:v>是</x:v>
      </x:c>
      <x:c r="P124" s="71" t="str">
        <x:v>《中芯国际2025年年度报告摘要》（第5页）披露“中芯国际集成电路制造有限公司2025 年年度报告摘要 5 从产业格局来看，晶圆代工环节持续凸显战略价值。算力芯片领域，逻辑运算类芯片需求爆 发式增长，推动…”，可建立公告事项到“资本开支与新增折旧压力能否被下游需求增长消化”的一阶业务传导链；但未直接给出最终结果，故判2级。</x:v>
      </x:c>
      <x:c r="Q124" s="51" t="str">
        <x:v>FIN-R01</x:v>
      </x:c>
      <x:c r="R124" s="202" t="n">
        <x:v>46260.92880688657</x:v>
      </x:c>
    </x:row>
    <x:row r="125" ht="72" customHeight="1">
      <x:c r="A125" s="50" t="str">
        <x:v>V4-R-Q016-C02</x:v>
      </x:c>
      <x:c r="B125" s="50" t="str">
        <x:v>V4-E-Q016-C02</x:v>
      </x:c>
      <x:c r="C125" s="50" t="str">
        <x:v>V4-Q016</x:v>
      </x:c>
      <x:c r="D125" s="49" t="str">
        <x:v>中芯国际</x:v>
      </x:c>
      <x:c r="E125" s="50" t="str">
        <x:v>688981</x:v>
      </x:c>
      <x:c r="F125" s="81" t="n">
        <x:v>46260.75</x:v>
      </x:c>
      <x:c r="G125" s="65" t="str">
        <x:v>资本开支与新增折旧压力能否被下游需求增长消化</x:v>
      </x:c>
      <x:c r="H125" s="50" t="str">
        <x:v>DOC-EVT-688981-00349</x:v>
      </x:c>
      <x:c r="I125" s="65" t="str">
        <x:v>中芯国际集成电路制造有限公司发行股份购买资产暨关联交易实施情况暨新增股份上市公告书</x:v>
      </x:c>
      <x:c r="J125" s="81" t="n">
        <x:v>46198</x:v>
      </x:c>
      <x:c r="K125" s="87" t="str">
        <x:v>http://static.cninfo.com.cn/finalpage/2026-06-25/1225386200.PDF</x:v>
      </x:c>
      <x:c r="L125" s="49" t="str">
        <x:v>第8页</x:v>
      </x:c>
      <x:c r="M125" s="65" t="str">
        <x:v>7 释 义 本上市公告书中，除非文意另有所指，下列简称具有如下含义： 上市公告书/本上市公告书 指 《中芯国际集成电路制造有限公司发行股份购买资 产暨关联交易实施情况暨新增股份上市公告书》 《重组报告书》 指 《中芯国际集成电路制造有限公司发行股份购买资 产暨关联交易报告书》 中芯国际/上市公司/公司/本 公司 指 Semiconductor Manufacturing International Corporation（中芯国际集成电路制造有限公司） 中芯北方/标的公司 指 中芯北方集成电路制造（北京）有限公司 国家集成电路基金 指 国家集成电路产业投资基金股份有限公司 集成电路投资中心 指 北京集成电路制造和装备股权投资中心（有限合 伙） 亦庄国投 指 北京亦庄国际投资发展有限公司 中关村发展 指 中关村发展集团股份有限公司 北京工投 指 北京工业发展投资管理有限公司 交易标的/标的资产 指 国家集成电路基金、集成电路投资中心、亦庄国 投、中关村发展、北京工投持有的中芯北方 49.00%股权 交易对方 指 国家集成电路基金、集成电路投资中心、亦庄国 投、中关村发展、北京工投 本次交易/本次重组 指 中芯国际向交易对方发行股份购买中芯北方 49.00%股权 大唐香港 指 大唐控股（香港）投资有限公司 中国信科 指 中国信息通信科技集团有限公司，大唐香港之母公 司 鑫芯香港 指 鑫芯（香港）投资有限公司 评估基准日 指 2025年 8月 31日 定价基准日 指 2025年…</x:v>
      </x:c>
      <x:c r="N125" s="51" t="str">
        <x:v>1-弱相关</x:v>
      </x:c>
      <x:c r="O125" s="51" t="str">
        <x:v>否</x:v>
      </x:c>
      <x:c r="P125" s="71" t="str">
        <x:v>《中芯国际集成电路制造有限公司发行股份购买资产暨关联交易实施情况暨新…》（第8页）仅披露“7 释 义 本上市公告书中，除非文意另有所指，下列简称具有如下含义： 上市公告书/本上市公告书 指 《中芯国际集成电路制造有限公司发行股份购买资 产暨关联…”，虽与公司经营或相邻主题有关，但不足以验证“资本开支与新增折旧压力能否被下游需求增长消化”的关键路径，故判1级。</x:v>
      </x:c>
      <x:c r="Q125" s="51" t="str">
        <x:v>FIN-R01</x:v>
      </x:c>
      <x:c r="R125" s="202" t="n">
        <x:v>46260.92880688657</x:v>
      </x:c>
    </x:row>
    <x:row r="126" ht="72" customHeight="1">
      <x:c r="A126" s="50" t="str">
        <x:v>V4-R-Q016-C03</x:v>
      </x:c>
      <x:c r="B126" s="50" t="str">
        <x:v>V4-E-Q016-C03</x:v>
      </x:c>
      <x:c r="C126" s="50" t="str">
        <x:v>V4-Q016</x:v>
      </x:c>
      <x:c r="D126" s="49" t="str">
        <x:v>中芯国际</x:v>
      </x:c>
      <x:c r="E126" s="50" t="str">
        <x:v>688981</x:v>
      </x:c>
      <x:c r="F126" s="81" t="n">
        <x:v>46260.75</x:v>
      </x:c>
      <x:c r="G126" s="65" t="str">
        <x:v>资本开支与新增折旧压力能否被下游需求增长消化</x:v>
      </x:c>
      <x:c r="H126" s="50" t="str">
        <x:v>DOC-EVT-688981-00098</x:v>
      </x:c>
      <x:c r="I126" s="65" t="str">
        <x:v>港股公告：董事名单与其角色和职能</x:v>
      </x:c>
      <x:c r="J126" s="81" t="n">
        <x:v>45604</x:v>
      </x:c>
      <x:c r="K126" s="87" t="str">
        <x:v>http://static.cninfo.com.cn/finalpage/2024-11-08/1221649954.PDF</x:v>
      </x:c>
      <x:c r="L126" s="49" t="str">
        <x:v>第1页</x:v>
      </x:c>
      <x:c r="M126" s="65"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黃登山 獨立非執行董事 范仁達 劉明 吳漢明 陳信元 董事會下設四個委員會。下表提供各董事會成員在這些委員會中所擔任的職位： 董事委員會 董事會成員 審計委員會 薪酬委員會 提名委員會 戰略委員會 劉訓峰 - - 主席 - 魯國慶 - 成員 - - 陳山枝 - - - 主席 楊魯閩 - - - 成員 黃登山 - - 成員 - 范仁達 成員 主席 成員 - 劉明 成員 成員 - 成員 吳漢明 成員 - 成員 成員 陳信元 主席 成員 成員 - 上海, 2024年11月7日 * 僅供識別</x:v>
      </x:c>
      <x:c r="N126" s="51" t="str">
        <x:v>0-无关</x:v>
      </x:c>
      <x:c r="O126" s="51" t="str">
        <x:v>否</x:v>
      </x:c>
      <x:c r="P126" s="71" t="str">
        <x:v>《港股公告：董事名单与其角色和职能》（第1页）内容为“SEMICONDUCTOR MANUFACTURING INTERNATIONAL CORPORATION 中 芯 國 際 集 成 電 路 製 造 有 限…”，属于治理、证券程序或其他非核心事项，不能帮助判断“资本开支与新增折旧压力能否被下游需求增长消化”，故判0级。</x:v>
      </x:c>
      <x:c r="Q126" s="51" t="str">
        <x:v>FIN-R01</x:v>
      </x:c>
      <x:c r="R126" s="202" t="n">
        <x:v>46260.92880688657</x:v>
      </x:c>
    </x:row>
    <x:row r="127" ht="72" customHeight="1">
      <x:c r="A127" s="50" t="str">
        <x:v>V4-R-Q016-C06</x:v>
      </x:c>
      <x:c r="B127" s="50" t="str">
        <x:v>V4-E-Q016-C06</x:v>
      </x:c>
      <x:c r="C127" s="50" t="str">
        <x:v>V4-Q016</x:v>
      </x:c>
      <x:c r="D127" s="49" t="str">
        <x:v>中芯国际</x:v>
      </x:c>
      <x:c r="E127" s="50" t="str">
        <x:v>688981</x:v>
      </x:c>
      <x:c r="F127" s="81" t="n">
        <x:v>46260.75</x:v>
      </x:c>
      <x:c r="G127" s="65" t="str">
        <x:v>资本开支与新增折旧压力能否被下游需求增长消化</x:v>
      </x:c>
      <x:c r="H127" s="50" t="str">
        <x:v>DOC-EVT-688981-00289</x:v>
      </x:c>
      <x:c r="I127" s="65" t="str">
        <x:v>中芯国际2025年年度报告</x:v>
      </x:c>
      <x:c r="J127" s="81" t="n">
        <x:v>46108</x:v>
      </x:c>
      <x:c r="K127" s="87" t="str">
        <x:v>http://static.cninfo.com.cn/finalpage/2026-03-27/1225037057.PDF</x:v>
      </x:c>
      <x:c r="L127" s="49" t="str">
        <x:v>第21页</x:v>
      </x:c>
      <x:c r="M127" s="65" t="str">
        <x:v>中芯国际集成电路制造有限公司2025 年年度报告 21 / 232 2.客户集中度过高或过低的风险 全球集成电路晶圆代工的下游行业市场具有集中度较高的特点，而中国集成电路晶圆代工行 业的下游行业市场集中度相对分散。 虽然公司凭借自身的研发实力、产品质量、产能支持、服务响应等优势，与主要客户建立了 较为稳固的合作关系，但是仍然可能面临客户集中度过高或过低风险。 如果未来主要客户的生产经营发生重大问题，或因客户散、弱、小，需要公司投入更多销售、 运营和生产成本，可能对公司的业绩稳定性、经营效率和持续盈利能力产生不利影响。 3.供应链风险 半导体产业链具有全球化分工的特征，对供应商有较高要求，部分重要原材料、零备件、软 件、核心设备及服务支持等在全球范围内的合格供应商数量较少。 未来，如果公司的重要原材料、零备件、软件、核心设备及服务支持等发生供应短缺、延迟 交货、价格大幅上涨，或者供应商所处的国家和/或地区与他国发生贸易摩擦、外交冲突、战争等 进而影响到相应原材料、零备件、软件、设备及服务支持等的出口许可、供应或价格上涨，可能 会对公司生产经营及持续发展产生不利影响。 财务风险 √适用 □不适用 1.业绩波动风险 宏观经济周期的波动，集成电路行业景气度变化，境内外客户的订单调整，供应链的价格波 动，厂务、电力、设备验证等事件造成的非计划性生产波动等，及持续的资本开支、折旧压力和 研发支出，可能导致公司在一定时期内面临销售收入、毛利率和利润波动等风险。 2.资产减值风险 作为资本…</x:v>
      </x:c>
      <x:c r="N127" s="51" t="str">
        <x:v>3-直接相关</x:v>
      </x:c>
      <x:c r="O127" s="51" t="str">
        <x:v>是</x:v>
      </x:c>
      <x:c r="P127" s="71" t="str">
        <x:v>《中芯国际2025年年度报告》（第21页）直接披露“中芯国际集成电路制造有限公司2025 年年度报告 21 / 232 2.客户集中度过高或过低的风险 全球集成电路晶圆代工的下游行业市场具有集中度较高的特点…”，与“资本开支与新增折旧压力能否被下游需求增长消化”的核心变量或结果同口径，可直接用于判断，故判3级。</x:v>
      </x:c>
      <x:c r="Q127" s="51" t="str">
        <x:v>FIN-R01</x:v>
      </x:c>
      <x:c r="R127" s="202" t="n">
        <x:v>46260.92880688657</x:v>
      </x:c>
    </x:row>
    <x:row r="128" ht="72" customHeight="1">
      <x:c r="A128" s="50" t="str">
        <x:v>V4-R-Q016-C05</x:v>
      </x:c>
      <x:c r="B128" s="50" t="str">
        <x:v>V4-E-Q016-C05</x:v>
      </x:c>
      <x:c r="C128" s="50" t="str">
        <x:v>V4-Q016</x:v>
      </x:c>
      <x:c r="D128" s="49" t="str">
        <x:v>中芯国际</x:v>
      </x:c>
      <x:c r="E128" s="50" t="str">
        <x:v>688981</x:v>
      </x:c>
      <x:c r="F128" s="81" t="n">
        <x:v>46260.75</x:v>
      </x:c>
      <x:c r="G128" s="65" t="str">
        <x:v>资本开支与新增折旧压力能否被下游需求增长消化</x:v>
      </x:c>
      <x:c r="H128" s="50" t="str">
        <x:v>DOC-EVT-688981-00353</x:v>
      </x:c>
      <x:c r="I128" s="65" t="str">
        <x:v>国家集成电路产业投资基金股份有限公司及其一致行动人关于所持中芯国际集成电路制造有限公司境内股票变动的提示性公告</x:v>
      </x:c>
      <x:c r="J128" s="81" t="n">
        <x:v>46198</x:v>
      </x:c>
      <x:c r="K128" s="87" t="str">
        <x:v>http://static.cninfo.com.cn/finalpage/2026-06-25/1225386201.PDF</x:v>
      </x:c>
      <x:c r="L128" s="49" t="str">
        <x:v>第1页</x:v>
      </x:c>
      <x:c r="M128" s="65" t="str">
        <x:v>1 A 股代码：688981 A 股简称：中芯国际 公告编号：2026-027 港股代码：00981 港股简称：中芯国际 信息披露义务人国家集成电路产业投资基金股份有限公司及其一致行动人 保证本公告内容不存在任何虚假记载、误导性陈述或者重大遗漏，并对其内容 的真实性、准确性和完整性依法承担法律责任。 重要内容提示： 本公告是根据中国证券监督管理委员会（以下简称“中国证监会”）《创新 企业境内发行股票或存托凭证上市后持续监管实施办法（试行）》第四章第二节 的规定披露的提示性公告。 本次变动数量：357,343,396 股 中芯国际集成电路制造有限公司（“公司”或“上市公司”）通过发行股份 方式购买国家集成电路产业投资基金股份有限公司（“国家集成电路基金”）、 北京集成电路制造和装备股权投资中心（有限合伙）（“集成电路投资中心”）、 北京亦庄国际投资发展有限公司（“亦庄国投”）、北京工业发展投资管理有限 公司（“北京工投”）、中关村发展集团股份有限公司（“中关村发展”）的所 持中芯北方集成电路制造（北京）有限公司的 49%股权（以下简称“本次交易”）。 本次交易完成后，国家集成电路基金持有公司 A 股股票 357,343,396 股，占 公司 A 股总股本的比例为 14.03%，占公司总股本的比例为 4.17%，国家集成电 路基金的一致行动人鑫芯（香港）投资有限公司（以下简称“鑫芯香港”）持有 公司港股股票 224,989,311 股，占公司总股本的比例为 2.63%，国家集成…</x:v>
      </x:c>
      <x:c r="N128" s="51" t="str">
        <x:v>0-无关</x:v>
      </x:c>
      <x:c r="O128" s="51" t="str">
        <x:v>否</x:v>
      </x:c>
      <x:c r="P128" s="71" t="str">
        <x:v>《国家集成电路产业投资基金股份有限公司及其一致行动人关于所持中芯国际…》（第1页）内容为“1 A 股代码：688981 A 股简称：中芯国际 公告编号：2026-027 港股代码：00981 港股简称：中芯国际 信息披露义务人国家集成电路产业投…”，属于治理、证券程序或其他非核心事项，不能帮助判断“资本开支与新增折旧压力能否被下游需求增长消化”，故判0级。</x:v>
      </x:c>
      <x:c r="Q128" s="51" t="str">
        <x:v>FIN-R01</x:v>
      </x:c>
      <x:c r="R128" s="202" t="n">
        <x:v>46260.92880688657</x:v>
      </x:c>
    </x:row>
    <x:row r="129" ht="72" customHeight="1">
      <x:c r="A129" s="50" t="str">
        <x:v>V4-R-Q016-C08</x:v>
      </x:c>
      <x:c r="B129" s="50" t="str">
        <x:v>V4-E-Q016-C08</x:v>
      </x:c>
      <x:c r="C129" s="50" t="str">
        <x:v>V4-Q016</x:v>
      </x:c>
      <x:c r="D129" s="49" t="str">
        <x:v>中芯国际</x:v>
      </x:c>
      <x:c r="E129" s="50" t="str">
        <x:v>688981</x:v>
      </x:c>
      <x:c r="F129" s="81" t="n">
        <x:v>46260.75</x:v>
      </x:c>
      <x:c r="G129" s="65" t="str">
        <x:v>资本开支与新增折旧压力能否被下游需求增长消化</x:v>
      </x:c>
      <x:c r="H129" s="50" t="str">
        <x:v>DOC-EVT-688981-00354</x:v>
      </x:c>
      <x:c r="I129" s="65" t="str">
        <x:v>中芯国际集成电路制造有限公司发行股份购买资产暨关联交易实施情况暨新增股份上市公告书（摘要）</x:v>
      </x:c>
      <x:c r="J129" s="81" t="n">
        <x:v>46198</x:v>
      </x:c>
      <x:c r="K129" s="87" t="str">
        <x:v>http://static.cninfo.com.cn/finalpage/2026-06-25/1225386193.PDF</x:v>
      </x:c>
      <x:c r="L129" s="49" t="str">
        <x:v>第5页</x:v>
      </x:c>
      <x:c r="M129" s="65" t="str">
        <x:v>4 释 义 本上市公告书摘要中，除非文意另有所指，下列简称具有如下含义： 上市公告书摘要/本上市公告 书摘要 指 《中芯国际集成电路制造有限公司发行股份购买资产 暨关联交易实施情况暨新增股份上市公告书摘要》 《重组报告书》 指 《中芯国际集成电路制造有限公司发行股份购买资产 暨关联交易报告书》 中芯国际/上市公司/公司/本公 司 指 Semiconductor Manufacturing International Corporation （中芯国际集成电路制造有限公司） 中芯北方/标的公司 指 中芯北方集成电路制造（北京）有限公司 国家集成电路基金 指 国家集成电路产业投资基金股份有限公司 集成电路投资中心 指 北京集成电路制造和装备股权投资中心（有限合伙） 亦庄国投 指 北京亦庄国际投资发展有限公司 中关村发展 指 中关村发展集团股份有限公司 北京工投 指 北京工业发展投资管理有限公司 交易标的/标的资产 指 国家集成电路基金、集成电路投资中心、亦庄国投、 中关村发展、北京工投持有的中芯北方 49.00%股权 交易对方 指 国家集成电路基金、集成电路投资中心、亦庄国投、 中关村发展、北京工投 本次交易 指 中芯国际向交易对方发行股份购买中芯北方 49.00% 股权 评估基准日 指 2025年 8月 31日 定价基准日 指 2025年 9月 9日，上市公司审议本次交易事项的首次 董事会决议公告日 交割日 指 标的资产过户至中芯国际名下，且相关工商变更登记 手续完成之日 过…</x:v>
      </x:c>
      <x:c r="N129" s="51" t="str">
        <x:v>1-弱相关</x:v>
      </x:c>
      <x:c r="O129" s="51" t="str">
        <x:v>否</x:v>
      </x:c>
      <x:c r="P129" s="71" t="str">
        <x:v>《中芯国际集成电路制造有限公司发行股份购买资产暨关联交易实施情况暨新…》（第5页）仅披露“4 释 义 本上市公告书摘要中，除非文意另有所指，下列简称具有如下含义： 上市公告书摘要/本上市公告 书摘要 指 《中芯国际集成电路制造有限公司发行股份购…”，虽与公司经营或相邻主题有关，但不足以验证“资本开支与新增折旧压力能否被下游需求增长消化”的关键路径，故判1级。</x:v>
      </x:c>
      <x:c r="Q129" s="51" t="str">
        <x:v>FIN-R01</x:v>
      </x:c>
      <x:c r="R129" s="202" t="n">
        <x:v>46260.92880688657</x:v>
      </x:c>
    </x:row>
    <x:row r="130" ht="72" customHeight="1">
      <x:c r="A130" s="50" t="str">
        <x:v>V4-R-Q017-C04</x:v>
      </x:c>
      <x:c r="B130" s="50" t="str">
        <x:v>V4-E-Q017-C04</x:v>
      </x:c>
      <x:c r="C130" s="50" t="str">
        <x:v>V4-Q017</x:v>
      </x:c>
      <x:c r="D130" s="49" t="str">
        <x:v>中芯国际</x:v>
      </x:c>
      <x:c r="E130" s="50" t="str">
        <x:v>688981</x:v>
      </x:c>
      <x:c r="F130" s="81" t="n">
        <x:v>46260.75</x:v>
      </x:c>
      <x:c r="G130" s="65" t="str">
        <x:v>外部贸易限制是否会影响先进产能建设与客户需求</x:v>
      </x:c>
      <x:c r="H130" s="50" t="str">
        <x:v>DOC-EVT-688981-00061</x:v>
      </x:c>
      <x:c r="I130" s="65" t="str">
        <x:v>港股公告：授出限制性股票单位</x:v>
      </x:c>
      <x:c r="J130" s="81" t="n">
        <x:v>45475</x:v>
      </x:c>
      <x:c r="K130" s="87" t="str">
        <x:v>http://static.cninfo.com.cn/finalpage/2024-07-02/1220513158.PDF</x:v>
      </x:c>
      <x:c r="L130" s="49" t="str">
        <x:v>第1页</x:v>
      </x:c>
      <x:c r="M130"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981) 授出限制性股票單位 董事會宣佈於 2024 年7月1日，本公司 根據2024 年股份獎勵計劃 授出47,008 個限制性股票單位 予 獨立非執行董事范仁達博士（“ 范博士 ”）。每個授出的 限制性股票單位 代表於其歸屬日期可 收取一股香港股份的權利。 有關授出 限制性股票單位 的詳情如下： 授出日期： 2024年7月1日 授出數目： 47,008 個限制性股票單位 授出代價： 每個限制性股票單位0.031港元 購買價： 無 緊接授出日期前一個交易日的 香港股份收市價： 每股香港股份17.12 港元 歸屬期間： 47,008 個限制性股票單位全部將於2025 年 1 月1 日歸屬。 授予范博士的所有限制性股票單位的歸屬期短於12個月， 因為此授出構成其薪酬待遇的一部分，並已獲得薪酬委員 會的批准，故若非因若干行政管理原因，該授出的日期會 更早。薪酬委員會認為此等安排可以保留並激勵范博士對 公司增長和利潤作出貢獻，符合2024年股份獎勵計劃的目 的及條款。 績效目標： 限制性股…</x:v>
      </x:c>
      <x:c r="N130" s="51" t="str">
        <x:v>0-无关</x:v>
      </x:c>
      <x:c r="O130" s="51" t="str">
        <x:v>否</x:v>
      </x:c>
      <x:c r="P130" s="71" t="str">
        <x:v>《港股公告：授出限制性股票单位》（第1页）内容为“1 香港交易及結算所有限公司及香港聯合交易所有限公司對本公告之內容概不負責，對其準 確性或完整性亦不發表聲明，並明確表示，概不對因本公告全部或任何部份內容…”，属于治理、证券程序或其他非核心事项，不能帮助判断“外部贸易限制是否会影响先进产能建设与客户需求”，故判0级。</x:v>
      </x:c>
      <x:c r="Q130" s="51" t="str">
        <x:v>FIN-R01</x:v>
      </x:c>
      <x:c r="R130" s="202" t="n">
        <x:v>46260.92880688657</x:v>
      </x:c>
    </x:row>
    <x:row r="131" ht="72" customHeight="1">
      <x:c r="A131" s="50" t="str">
        <x:v>V4-R-Q017-C02</x:v>
      </x:c>
      <x:c r="B131" s="50" t="str">
        <x:v>V4-E-Q017-C02</x:v>
      </x:c>
      <x:c r="C131" s="50" t="str">
        <x:v>V4-Q017</x:v>
      </x:c>
      <x:c r="D131" s="49" t="str">
        <x:v>中芯国际</x:v>
      </x:c>
      <x:c r="E131" s="50" t="str">
        <x:v>688981</x:v>
      </x:c>
      <x:c r="F131" s="81" t="n">
        <x:v>46260.75</x:v>
      </x:c>
      <x:c r="G131" s="65" t="str">
        <x:v>外部贸易限制是否会影响先进产能建设与客户需求</x:v>
      </x:c>
      <x:c r="H131" s="50" t="str">
        <x:v>DOC-EVT-688981-00368</x:v>
      </x:c>
      <x:c r="I131" s="65" t="str">
        <x:v>中芯国际关于作废处理2021年科创板限制性股票激励计划部分限制性股票的公告</x:v>
      </x:c>
      <x:c r="J131" s="81" t="n">
        <x:v>46225</x:v>
      </x:c>
      <x:c r="K131" s="87" t="str">
        <x:v>http://static.cninfo.com.cn/finalpage/2026-07-22/1225435935.PDF</x:v>
      </x:c>
      <x:c r="L131" s="49" t="str">
        <x:v>第1页</x:v>
      </x:c>
      <x:c r="M131" s="65" t="str">
        <x:v>1 A 股代码：688981 A 股简称：中芯国际 公告编号：2026-030 港股代码：00981 港股简称：中芯国际 中芯国际集成电路制造有限公司 关于作废处理 2021 年科创板限制性股票激励计划 部分限制性股票的公告 本公司董事会及全体董事保证公告内容不存在任何虚假记载、误导性陈述或 者重大遗漏，并对其内容的真实性、准确性和完整性依法承担法律责任。 2026 年 7 月 21 日，中芯国际集成电路制造有限公司（以下简称“中芯国际” 或“公司”）董事会以书面决议形式审议通过了《关于作废处理 2021 年科创板限 制性股票激励计划部分限制性股票的议案》，现将有关事项说明如下： 一、公司 2021 年科创板限制性股票激励计划已履行的决策程序和信息披露 情况 1、2021 年 5 月 19 日，公司召开董事会会议审议通过了《关于公司&lt;2021 年 科创板限制性股票激励计划（草案）&gt;及其摘要的议案》、《关于公司&lt;2021 年科 创板限制性股票激励计划实施考核管理办法&gt;的议案》、《关于提请股东大会授权 董事会办理科创板股权激励相关事宜的议案》等议案。 2、2021 年 6 月 8 日至 2021 年 6 月 17 日，公司对本激励计划首次授予部分 激励对象名单进行了公示。在公示期限内，公司个别员工向公司询问了激励对象 确定规则、流程等情况。公司就员工相关疑问进行了解释和说明，相关疑问已得 到有效解决。截至公示期满，公司未收到其他意见。2021 年 6 月 19 日，公司于 上海…</x:v>
      </x:c>
      <x:c r="N131" s="51" t="str">
        <x:v>0-无关</x:v>
      </x:c>
      <x:c r="O131" s="51" t="str">
        <x:v>否</x:v>
      </x:c>
      <x:c r="P131" s="71" t="str">
        <x:v>《中芯国际关于作废处理2021年科创板限制性股票激励计划部分限制性股…》（第1页）内容为“1 A 股代码：688981 A 股简称：中芯国际 公告编号：2026-030 港股代码：00981 港股简称：中芯国际 中芯国际集成电路制造有限公司 关…”，属于治理、证券程序或其他非核心事项，不能帮助判断“外部贸易限制是否会影响先进产能建设与客户需求”，故判0级。</x:v>
      </x:c>
      <x:c r="Q131" s="51" t="str">
        <x:v>FIN-R01</x:v>
      </x:c>
      <x:c r="R131" s="202" t="n">
        <x:v>46260.92880688657</x:v>
      </x:c>
    </x:row>
    <x:row r="132" ht="72" customHeight="1">
      <x:c r="A132" s="50" t="str">
        <x:v>V4-R-Q017-C05</x:v>
      </x:c>
      <x:c r="B132" s="50" t="str">
        <x:v>V4-E-Q017-C05</x:v>
      </x:c>
      <x:c r="C132" s="50" t="str">
        <x:v>V4-Q017</x:v>
      </x:c>
      <x:c r="D132" s="49" t="str">
        <x:v>中芯国际</x:v>
      </x:c>
      <x:c r="E132" s="50" t="str">
        <x:v>688981</x:v>
      </x:c>
      <x:c r="F132" s="81" t="n">
        <x:v>46260.75</x:v>
      </x:c>
      <x:c r="G132" s="65" t="str">
        <x:v>外部贸易限制是否会影响先进产能建设与客户需求</x:v>
      </x:c>
      <x:c r="H132" s="50" t="str">
        <x:v>DOC-EVT-688981-00034</x:v>
      </x:c>
      <x:c r="I132" s="65" t="str">
        <x:v>港股公告：授出限制性股票单位</x:v>
      </x:c>
      <x:c r="J132" s="81" t="n">
        <x:v>45384</x:v>
      </x:c>
      <x:c r="K132" s="87" t="str">
        <x:v>http://static.cninfo.com.cn/finalpage/2024-04-02/1219493386.PDF</x:v>
      </x:c>
      <x:c r="L132" s="49" t="str">
        <x:v>第1页</x:v>
      </x:c>
      <x:c r="M132"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981) 授出限制性股票單位 董事會宣佈於2024年4月1日，本公司根據2024年股份獎勵計劃授出8,737,798個限制性股票單位 予437名承授人。每個授出的限制性股票單位代表於其歸屬日期可收取一股香港股份的權利。 有關授出限制性股票單位的詳情如下： 授出日期： 2024年4月1日 承授人數量： 共437名承授人 授出數目： （1）875,886個限制性股票單位授予董事及聯合首席執行 官，詳情如下： 姓名 職務 授予限制性股 票單位數目 (香港股份) 劉訓峰博士 董事長、執行董事 246,936 劉遵義教授 獨立非執行董事 45,492 范仁達博士 獨立非執行董事 45,492 劉明院士 獨立非執行董事 83,908 趙海軍博士 聯合首席執行官 227,029 梁孟松博士 聯合首席執行官 227,029 （2）7,861,912個限制性股票單位授予431名承授人 （包括本 集團高級管理人員 （非本公司董事或最高行政人員） 及僱員） 授出代價： 每個限制性股票單位0.031港元 購…</x:v>
      </x:c>
      <x:c r="N132" s="51" t="str">
        <x:v>0-无关</x:v>
      </x:c>
      <x:c r="O132" s="51" t="str">
        <x:v>否</x:v>
      </x:c>
      <x:c r="P132" s="71" t="str">
        <x:v>《港股公告：授出限制性股票单位》（第1页）内容为“1 香港交易及結算所有限公司及香港聯合交易所有限公司對本公告之內容概不負責，對其準 確性或完整性亦不發表聲明，並明確表示，概不對因本公告全部或任何部份內容…”，属于治理、证券程序或其他非核心事项，不能帮助判断“外部贸易限制是否会影响先进产能建设与客户需求”，故判0级。</x:v>
      </x:c>
      <x:c r="Q132" s="51" t="str">
        <x:v>FIN-R01</x:v>
      </x:c>
      <x:c r="R132" s="202" t="n">
        <x:v>46260.92880688657</x:v>
      </x:c>
    </x:row>
    <x:row r="133" ht="72" customHeight="1">
      <x:c r="A133" s="50" t="str">
        <x:v>V4-R-Q017-C07</x:v>
      </x:c>
      <x:c r="B133" s="50" t="str">
        <x:v>V4-E-Q017-C07</x:v>
      </x:c>
      <x:c r="C133" s="50" t="str">
        <x:v>V4-Q017</x:v>
      </x:c>
      <x:c r="D133" s="49" t="str">
        <x:v>中芯国际</x:v>
      </x:c>
      <x:c r="E133" s="50" t="str">
        <x:v>688981</x:v>
      </x:c>
      <x:c r="F133" s="81" t="n">
        <x:v>46260.75</x:v>
      </x:c>
      <x:c r="G133" s="65" t="str">
        <x:v>外部贸易限制是否会影响先进产能建设与客户需求</x:v>
      </x:c>
      <x:c r="H133" s="50" t="str">
        <x:v>DOC-EVT-688981-00289</x:v>
      </x:c>
      <x:c r="I133" s="65" t="str">
        <x:v>中芯国际2025年年度报告</x:v>
      </x:c>
      <x:c r="J133" s="81" t="n">
        <x:v>46108</x:v>
      </x:c>
      <x:c r="K133" s="87" t="str">
        <x:v>http://static.cninfo.com.cn/finalpage/2026-03-27/1225037057.PDF</x:v>
      </x:c>
      <x:c r="L133" s="49" t="str">
        <x:v>第6页</x:v>
      </x:c>
      <x:c r="M133" s="65" t="str">
        <x:v>中芯国际集成电路制造有限公司2025 年年度报告 6 / 232 第二节 致股东的信 尊敬的各位股东、投资人： 2025 年是中芯国际成立的 25 周年，是公司全面深化改革、推动高质量发展的突破之年。 这一年，我们持续聚焦主业发展，顺利推进项目进展，经营业绩再上新台阶。面对外部复杂 多变的环境，公司保持深耕晶圆制造长期战略不动摇，稳步实施产能扩建，折合 8 英寸标准逻辑 的月产能规模超过了 100 万片；全年实现销售收入人民币 673.23 亿元，同比增长 16.5%，继续巩 固全球纯晶圆代工企业第二位置；产能利用率增至 93.5%，同比增长 8 个百分点；在折旧大幅增 长的情况下，毛利率增至 22%，同比增加 3 个百分点。同时，公司实质性推进中芯北方少数股权 收购、中芯南方增资扩股等项目，为未来发展奠定坚实基础。 这一年，我们持续推动技术攻关，开放合作带动增量，协同产业链共同发展。随着下游应用 场景更加多元化，人工智能、数据中心、自动驾驶等领域引领行业迈入新一轮快速增长周期，消 费电子等智能终端迭代升级，产业链在地化转换加速，使得产业对于本土中高端领域芯片制造需 求进一步提升。在此背景下，公司以培育和发展新质生产力为重点，持续创新筑牢核心竞争优势。 2025 年，公司持续保持高研发投入，研发投入人民币 55.19 亿元，占销售收入 8.2%；公司完善技 术创新体系，积极响应客户需求，持续推进工艺迭代与产品升级；同时，公司协同上下游开展产 业链合作，成立先进封装研究院，助…</x:v>
      </x:c>
      <x:c r="N133" s="51" t="str">
        <x:v>2-间接相关</x:v>
      </x:c>
      <x:c r="O133" s="51" t="str">
        <x:v>是</x:v>
      </x:c>
      <x:c r="P133" s="71" t="str">
        <x:v>《中芯国际2025年年度报告》（第6页）披露“中芯国际集成电路制造有限公司2025 年年度报告 6 / 232 第二节 致股东的信 尊敬的各位股东、投资人： 2025 年是中芯国际成立的 25 周年，…”，可建立公告事项到“外部贸易限制是否会影响先进产能建设与客户需求”的一阶业务传导链；但未直接给出最终结果，故判2级。</x:v>
      </x:c>
      <x:c r="Q133" s="51" t="str">
        <x:v>FIN-R01</x:v>
      </x:c>
      <x:c r="R133" s="202" t="n">
        <x:v>46260.92880688657</x:v>
      </x:c>
    </x:row>
    <x:row r="134" ht="72" customHeight="1">
      <x:c r="A134" s="50" t="str">
        <x:v>V4-R-Q017-C08</x:v>
      </x:c>
      <x:c r="B134" s="50" t="str">
        <x:v>V4-E-Q017-C08</x:v>
      </x:c>
      <x:c r="C134" s="50" t="str">
        <x:v>V4-Q017</x:v>
      </x:c>
      <x:c r="D134" s="49" t="str">
        <x:v>中芯国际</x:v>
      </x:c>
      <x:c r="E134" s="50" t="str">
        <x:v>688981</x:v>
      </x:c>
      <x:c r="F134" s="81" t="n">
        <x:v>46260.75</x:v>
      </x:c>
      <x:c r="G134" s="65" t="str">
        <x:v>外部贸易限制是否会影响先进产能建设与客户需求</x:v>
      </x:c>
      <x:c r="H134" s="50" t="str">
        <x:v>DOC-EVT-688981-00059</x:v>
      </x:c>
      <x:c r="I134" s="65" t="str">
        <x:v>中芯国际2024年股东周年大会决议公告</x:v>
      </x:c>
      <x:c r="J134" s="81" t="n">
        <x:v>45472</x:v>
      </x:c>
      <x:c r="K134" s="87" t="str">
        <x:v>http://static.cninfo.com.cn/finalpage/2024-06-29/1220502757.PDF</x:v>
      </x:c>
      <x:c r="L134" s="49" t="str">
        <x:v>第1页</x:v>
      </x:c>
      <x:c r="M134" s="65" t="str">
        <x:v>A 股代码：688981 A 股简称：中芯国际 公告编号：2024-014 港股代码：00981 港股简称：中芯国际 中芯国际集成电路制造有限公司 2024 年股东周年大会决议公告 本公司董事会及全体董事保证公告内容不存在任何虚假记载、 误导性陈述 或者重大遗漏，并对其内容的真实性、准确性和完整性依法承担法律责任。 重要内容提示：  本次会议是否有被否决议案：无 一、 会议召开和出席情况 （一） 股东大会召开的时间：2024 年 6 月 28 日 （二） 股东大会召开的地点：上海浦东新区祖冲之路 1136 号上海长荣桂冠酒店 2 楼宴会厅 （三） 出席会议的普通股股东、特别表决权股东、恢复表决权的优先股股东及 其持有表决权数量的情况： 1、出席会议的股东和代理人人数 163 普通股股东人数 163 其中：A 股股东人数 161 境外上市外资股股东人数 2 2、出席会议的股东所持有的表决权数量 2,723,867,890 普通股股东所持有表决权数量 2,723,867,890 其中：A 股股东所持有表决权数量 589,067,369 境外上市外资股股东所持有表决权数量 2,134,800,521</x:v>
      </x:c>
      <x:c r="N134" s="51" t="str">
        <x:v>0-无关</x:v>
      </x:c>
      <x:c r="O134" s="51" t="str">
        <x:v>否</x:v>
      </x:c>
      <x:c r="P134" s="71" t="str">
        <x:v>《中芯国际2024年股东周年大会决议公告》（第1页）内容为“A 股代码：688981 A 股简称：中芯国际 公告编号：2024-014 港股代码：00981 港股简称：中芯国际 中芯国际集成电路制造有限公司 202…”，属于治理、证券程序或其他非核心事项，不能帮助判断“外部贸易限制是否会影响先进产能建设与客户需求”，故判0级。</x:v>
      </x:c>
      <x:c r="Q134" s="51" t="str">
        <x:v>FIN-R01</x:v>
      </x:c>
      <x:c r="R134" s="202" t="n">
        <x:v>46260.92880688657</x:v>
      </x:c>
    </x:row>
    <x:row r="135" ht="72" customHeight="1">
      <x:c r="A135" s="50" t="str">
        <x:v>V4-R-Q017-C06</x:v>
      </x:c>
      <x:c r="B135" s="50" t="str">
        <x:v>V4-E-Q017-C06</x:v>
      </x:c>
      <x:c r="C135" s="50" t="str">
        <x:v>V4-Q017</x:v>
      </x:c>
      <x:c r="D135" s="49" t="str">
        <x:v>中芯国际</x:v>
      </x:c>
      <x:c r="E135" s="50" t="str">
        <x:v>688981</x:v>
      </x:c>
      <x:c r="F135" s="81" t="n">
        <x:v>46260.75</x:v>
      </x:c>
      <x:c r="G135" s="65" t="str">
        <x:v>外部贸易限制是否会影响先进产能建设与客户需求</x:v>
      </x:c>
      <x:c r="H135" s="50" t="str">
        <x:v>DOC-EVT-688981-00094</x:v>
      </x:c>
      <x:c r="I135" s="65" t="str">
        <x:v>中芯国际2024年第三季度报告</x:v>
      </x:c>
      <x:c r="J135" s="81" t="n">
        <x:v>45604</x:v>
      </x:c>
      <x:c r="K135" s="87" t="str">
        <x:v>http://static.cninfo.com.cn/finalpage/2024-11-08/1221649951.PDF</x:v>
      </x:c>
      <x:c r="L135" s="49" t="str">
        <x:v>第2页</x:v>
      </x:c>
      <x:c r="M135" s="65" t="str">
        <x:v>中芯国际集成电路制造有限公司 2024 年第三季度报告 2 / 17 一、 公司基本情况 (一)2024 年第四季指引 以下声明为前瞻性陈述，此陈述基于目前的期望并涵盖风险和不确定性。以下数据不包含汇 率变动的影响。本公司预期国际财务报告准则下的指引为:  季度收入环比持平至增长2%。  毛利率介于18%至 20%的范围内。 (二)管理层评论 按照国际财务报告准则，三季度，公司收入环比上升14%，达到 21.7 亿美元，首次站上单季 20亿美元台阶，创历史新高。新增2.1万片12英寸月产能，促进产品结构进一步优化，平均销售 单价上升。整体产能利用率提升至90.4%，毛利率提升至20.5%。 四季度，公司给出的指引是收入环比持平至增长2%，毛利率介于18%至20%之间。 公司会坚定发展信心，保持战略定力，稳住市场份额，巩固行业地位。</x:v>
      </x:c>
      <x:c r="N135" s="51" t="str">
        <x:v>1-弱相关</x:v>
      </x:c>
      <x:c r="O135" s="51" t="str">
        <x:v>否</x:v>
      </x:c>
      <x:c r="P135" s="71" t="str">
        <x:v>《中芯国际2024年第三季度报告》（第2页）仅披露“中芯国际集成电路制造有限公司 2024 年第三季度报告 2 / 17 一、 公司基本情况 (一)2024 年第四季指引 以下声明为前瞻性陈述，此陈述基于目…”，虽与公司经营或相邻主题有关，但不足以验证“外部贸易限制是否会影响先进产能建设与客户需求”的关键路径，故判1级。</x:v>
      </x:c>
      <x:c r="Q135" s="51" t="str">
        <x:v>FIN-R01</x:v>
      </x:c>
      <x:c r="R135" s="202" t="n">
        <x:v>46260.92880688657</x:v>
      </x:c>
    </x:row>
    <x:row r="136" ht="72" customHeight="1">
      <x:c r="A136" s="50" t="str">
        <x:v>V4-R-Q017-C03</x:v>
      </x:c>
      <x:c r="B136" s="50" t="str">
        <x:v>V4-E-Q017-C03</x:v>
      </x:c>
      <x:c r="C136" s="50" t="str">
        <x:v>V4-Q017</x:v>
      </x:c>
      <x:c r="D136" s="49" t="str">
        <x:v>中芯国际</x:v>
      </x:c>
      <x:c r="E136" s="50" t="str">
        <x:v>688981</x:v>
      </x:c>
      <x:c r="F136" s="81" t="n">
        <x:v>46260.75</x:v>
      </x:c>
      <x:c r="G136" s="65" t="str">
        <x:v>外部贸易限制是否会影响先进产能建设与客户需求</x:v>
      </x:c>
      <x:c r="H136" s="50" t="str">
        <x:v>DOC-EVT-688981-00129</x:v>
      </x:c>
      <x:c r="I136" s="65" t="str">
        <x:v>港股公告：授出限制性股票单位</x:v>
      </x:c>
      <x:c r="J136" s="81" t="n">
        <x:v>45749</x:v>
      </x:c>
      <x:c r="K136" s="87" t="str">
        <x:v>http://static.cninfo.com.cn/finalpage/2025-04-02/1222984038.PDF</x:v>
      </x:c>
      <x:c r="L136" s="49" t="str">
        <x:v>第1页</x:v>
      </x:c>
      <x:c r="M136"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00981) 授出限制性股票單位 董事會宣佈於 202 5年4月1日，本公司根據 2024 年股份獎勵計劃授出 2,876,943個限制性股票單位 予434名承授人。每個授出的 限制性股 票單位 代表於其歸屬日期可收取一股香港股份的權利。 有關授出 限制性股票單位 的詳情如下： 授出日期： 2025年4月1日 承授人數量： 共434名承授人 授出數目： （1）273,503個限制性股票單位授予董事及聯合首席執行 官，詳情如下： 姓名 職務 授予限制性股 票單位數目 (香港股份) 劉訓峰博士 董事長、執行董事 124,377 趙海軍博士 聯合首席執行官 74,563 梁孟松博士 聯合首席執行官 74,563 （2）2,603,440 個限制性股票單位授予431名承授人 （包括本 集團高級管理人員（非本公司董事或最高行政人員）及僱員） 授出代價： 每個限制性股票單位0.031港元 購買價： 無 授出日期的香港股份收市價： 每股香港股份44.30 港元</x:v>
      </x:c>
      <x:c r="N136" s="51" t="str">
        <x:v>0-无关</x:v>
      </x:c>
      <x:c r="O136" s="51" t="str">
        <x:v>否</x:v>
      </x:c>
      <x:c r="P136" s="71" t="str">
        <x:v>《港股公告：授出限制性股票单位》（第1页）内容为“1 香港交易及結算所有限公司及香港聯合交易所有限公司對本公告之內容概不負責，對其準 確性或完整性亦不發表聲明，並明確表示，概不對因本公告全部或任何部份內容…”，属于治理、证券程序或其他非核心事项，不能帮助判断“外部贸易限制是否会影响先进产能建设与客户需求”，故判0级。</x:v>
      </x:c>
      <x:c r="Q136" s="51" t="str">
        <x:v>FIN-R01</x:v>
      </x:c>
      <x:c r="R136" s="202" t="n">
        <x:v>46260.92880688657</x:v>
      </x:c>
    </x:row>
    <x:row r="137" ht="72" customHeight="1">
      <x:c r="A137" s="50" t="str">
        <x:v>V4-R-Q017-C01</x:v>
      </x:c>
      <x:c r="B137" s="50" t="str">
        <x:v>V4-E-Q017-C01</x:v>
      </x:c>
      <x:c r="C137" s="50" t="str">
        <x:v>V4-Q017</x:v>
      </x:c>
      <x:c r="D137" s="49" t="str">
        <x:v>中芯国际</x:v>
      </x:c>
      <x:c r="E137" s="50" t="str">
        <x:v>688981</x:v>
      </x:c>
      <x:c r="F137" s="81" t="n">
        <x:v>46260.75</x:v>
      </x:c>
      <x:c r="G137" s="65" t="str">
        <x:v>外部贸易限制是否会影响先进产能建设与客户需求</x:v>
      </x:c>
      <x:c r="H137" s="50" t="str">
        <x:v>DOC-EVT-688981-00300</x:v>
      </x:c>
      <x:c r="I137" s="65" t="str">
        <x:v>港股公告：授出限制性股票单位</x:v>
      </x:c>
      <x:c r="J137" s="81" t="n">
        <x:v>46114</x:v>
      </x:c>
      <x:c r="K137" s="87" t="str">
        <x:v>http://static.cninfo.com.cn/finalpage/2026-04-02/1225072811.PDF</x:v>
      </x:c>
      <x:c r="L137" s="49" t="str">
        <x:v>第1页</x:v>
      </x:c>
      <x:c r="M137"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00981) 授出限制性股票單位 董事會宣佈於 202 6年4月1日，本公司根據 2024 年股份獎勵計劃授出 18,298,455個限制性股票單 位予6,091名承授人。每個授出的 限制性股 票單位 代表於其歸屬日期可收取一股香港股份的權 利。 有關授出 限制性股票單位 的詳情如下： 授出日期： 2026年4月1日 承授人數量： 共6,091名承授人 授出數目： （1）278,345個限制性股票單位授予董事及聯合首席執行 官，詳情如下： 姓名 職務 授予限制性股 票單位數目 (香港股份) 劉訓峰博士 董事長、執行董事 117,983 趙海軍博士 聯合首席執行官 80,181 梁孟松博士 聯合首席執行官 80,181 （2）18,020,110 個限制性股票單位授予6,088名承授人（包 括本集團高級管理人員（非本公司董事或最高行政人員）及 僱員） 授出代價： 每個限制性股票單位0.031港元 購買價： 無</x:v>
      </x:c>
      <x:c r="N137" s="51" t="str">
        <x:v>0-无关</x:v>
      </x:c>
      <x:c r="O137" s="51" t="str">
        <x:v>否</x:v>
      </x:c>
      <x:c r="P137" s="71" t="str">
        <x:v>《港股公告：授出限制性股票单位》（第1页）内容为“1 香港交易及結算所有限公司及香港聯合交易所有限公司對本公告之內容概不負責，對其準 確性或完整性亦不發表聲明，並明確表示，概不對因本公告全部或任何部份內容…”，属于治理、证券程序或其他非核心事项，不能帮助判断“外部贸易限制是否会影响先进产能建设与客户需求”，故判0级。</x:v>
      </x:c>
      <x:c r="Q137" s="51" t="str">
        <x:v>FIN-R01</x:v>
      </x:c>
      <x:c r="R137" s="202" t="n">
        <x:v>46260.92880688657</x:v>
      </x:c>
    </x:row>
    <x:row r="138" ht="72" customHeight="1">
      <x:c r="A138" s="50" t="str">
        <x:v>V4-R-Q018-C01</x:v>
      </x:c>
      <x:c r="B138" s="50" t="str">
        <x:v>V4-E-Q018-C01</x:v>
      </x:c>
      <x:c r="C138" s="50" t="str">
        <x:v>V4-Q018</x:v>
      </x:c>
      <x:c r="D138" s="49" t="str">
        <x:v>兆易创新</x:v>
      </x:c>
      <x:c r="E138" s="50" t="str">
        <x:v>603986</x:v>
      </x:c>
      <x:c r="F138" s="81" t="n">
        <x:v>46260.75</x:v>
      </x:c>
      <x:c r="G138" s="65" t="str">
        <x:v>DRAM募投项目能否形成新的收入贡献</x:v>
      </x:c>
      <x:c r="H138" s="50" t="str">
        <x:v>DOC-EVT-603986-00179</x:v>
      </x:c>
      <x:c r="I138" s="65" t="str">
        <x:v>兆易创新关于调整部分募投项目、新增募投项目并将部分募集资金永久补充流动资金的公告</x:v>
      </x:c>
      <x:c r="J138" s="81" t="n">
        <x:v>45602</x:v>
      </x:c>
      <x:c r="K138" s="87" t="str">
        <x:v>http://static.cninfo.com.cn/finalpage/2024-11-06/1221637288.PDF</x:v>
      </x:c>
      <x:c r="L138" s="49" t="str">
        <x:v>第1页</x:v>
      </x:c>
      <x:c r="M138" s="65" t="str">
        <x:v>1 证券代码：603986 证券简称：兆易创新 公告编号：2024-105 兆易创新科技集团股份有限公司 关于调整部分募投项目、新增募投项目并将部分募集 资金永久补充流动资金的公告 本公司董事会及全体董事保证本公告内容不存在任何虚假记载、 误导性陈述 或者重大遗漏，并对其内容的真实性、准确性和完整性承担个别及连带责任。 兆易创新科技集团股份有限公司（以 下简称“公司”或“兆易创新”）于 2024 年11 月5 日召开了第四届董事会第二十六次会议和第四届监事会第二十二 次会议，审议通过了《关于调整部分募投项目、新增募投项目并将部分募集资金 永久补充流动资金的议案》，同意公司调整“DRAM 芯片研发及产业化项目” 用途及规模，将项目总投资金额由399,173.60 万元减少至 357,018.51 万元，拟投 入募集资金金额由 332,402.35 万元减少至 282,413.75 万元； 同意公司使用募集资 金 70,644.12 万元投入新增募投项目“汽车电子芯片研发及产业化项目”；同意 公司将 20,216.50 万元募集资金用于永久补充流动资金，具体金额将以股东会审 议通过该事项后实际补充流动资金时募集资金余额扣除尚待投入 DRAM 芯片研 发及产业化项目及汽车电子芯片研发及产业化项目后的余额为准。 该议案尚需提 交股东会审议。具体情况如下： 一、募集资金及投资项目概况 （一） 募集资金基本情况 经中国证券监督管理委员会 《关于核准北京兆易创新科技股份有限公司非公 开发…</x:v>
      </x:c>
      <x:c r="N138" s="51" t="str">
        <x:v>2-间接相关</x:v>
      </x:c>
      <x:c r="O138" s="51" t="str">
        <x:v>是</x:v>
      </x:c>
      <x:c r="P138" s="71" t="str">
        <x:v>《兆易创新关于调整部分募投项目、新增募投项目并将部分募集资金永久补充…》（第1页）披露“1 证券代码：603986 证券简称：兆易创新 公告编号：2024-105 兆易创新科技集团股份有限公司 关于调整部分募投项目、新增募投项目并将部分募集 …”，可建立公告事项到“DRAM募投项目能否形成新的收入贡献”的一阶业务传导链；但未直接给出最终结果，故判2级。</x:v>
      </x:c>
      <x:c r="Q138" s="51" t="str">
        <x:v>FIN-R01</x:v>
      </x:c>
      <x:c r="R138" s="202" t="n">
        <x:v>46260.92880688657</x:v>
      </x:c>
    </x:row>
    <x:row r="139" ht="72" customHeight="1">
      <x:c r="A139" s="50" t="str">
        <x:v>V4-R-Q018-C05</x:v>
      </x:c>
      <x:c r="B139" s="50" t="str">
        <x:v>V4-E-Q018-C05</x:v>
      </x:c>
      <x:c r="C139" s="50" t="str">
        <x:v>V4-Q018</x:v>
      </x:c>
      <x:c r="D139" s="49" t="str">
        <x:v>兆易创新</x:v>
      </x:c>
      <x:c r="E139" s="50" t="str">
        <x:v>603986</x:v>
      </x:c>
      <x:c r="F139" s="81" t="n">
        <x:v>46260.75</x:v>
      </x:c>
      <x:c r="G139" s="65" t="str">
        <x:v>DRAM募投项目能否形成新的收入贡献</x:v>
      </x:c>
      <x:c r="H139" s="50" t="str">
        <x:v>DOC-EVT-603986-00410</x:v>
      </x:c>
      <x:c r="I139" s="65" t="str">
        <x:v>兆易创新关于使用A股部分募集资金向全资子公司及全资孙公司增资以实施DRAM募投项目的公告</x:v>
      </x:c>
      <x:c r="J139" s="81" t="n">
        <x:v>46045</x:v>
      </x:c>
      <x:c r="K139" s="87" t="str">
        <x:v>http://static.cninfo.com.cn/finalpage/2026-01-23/1224946585.PDF</x:v>
      </x:c>
      <x:c r="L139" s="49" t="str">
        <x:v>第1页</x:v>
      </x:c>
      <x:c r="M139" s="65" t="str">
        <x:v>1 证券代码：603986 证券简称：兆易创新 公告编号：2026-008 兆易创新科技集团股份有限公司 关于使用A 股部分募集资金向全资子公司及全资孙公司 增资以实施 DRAM 募投项目的公告 本公司董事会及全体董事保证本公告内容不存在任何虚假记载、误导性陈述或 者重大遗漏，并对其内容的真实性、准确性和完整性承担法律责任。 兆易创新科技集团股份有限公司（以下简称“公司”或“兆易创新”）于 2026 年 1 月 22 日召开第五届董事会第八次会议，审议通过了《关于使用 A 股部分募集资 金向全资子公司及全资孙公司增资以实施 DRAM 募投项目的议案》，同意公司使用 A 股募集资金 50,000 万元向全资子公司珠海横琴芯存半导体有限公司（以下简称“珠 海芯存”）增资，并由珠海芯存使用A 股募集资金向全资孙公司合肥芯存半导体有 限公司（以下简称“合肥芯存”）、全资孙公司西安芯存半导体有限公司（以下简 称“西安芯存”）分别增资 3,000 万元、5,000 万元，以实施 DRAM 募投项目。该事 项无需提交股东会审议。具体情况如下： 一、募集资金基本情况 经中国证券监督管理委员会《关于核准北京兆易创新科技股份有限公司非公开 发行股票的批复》（证监许可[2020]711 号核准），公司由主承销商中国国际金融股 份有限公司采用非公开发行股票方式，发行人民币普通股（A 股）21,219,077 股，发 行价格为人民币 203.78 元/股，本次发行募集资金总额为人民币 432,402…</x:v>
      </x:c>
      <x:c r="N139" s="51" t="str">
        <x:v>2-间接相关</x:v>
      </x:c>
      <x:c r="O139" s="51" t="str">
        <x:v>是</x:v>
      </x:c>
      <x:c r="P139" s="71" t="str">
        <x:v>《兆易创新关于使用A股部分募集资金向全资子公司及全资孙公司增资以实施…》（第1页）披露“1 证券代码：603986 证券简称：兆易创新 公告编号：2026-008 兆易创新科技集团股份有限公司 关于使用A 股部分募集资金向全资子公司及全资孙公…”，可建立公告事项到“DRAM募投项目能否形成新的收入贡献”的一阶业务传导链；但未直接给出最终结果，故判2级。</x:v>
      </x:c>
      <x:c r="Q139" s="51" t="str">
        <x:v>FIN-R01</x:v>
      </x:c>
      <x:c r="R139" s="202" t="n">
        <x:v>46260.92880688657</x:v>
      </x:c>
    </x:row>
    <x:row r="140" ht="72" customHeight="1">
      <x:c r="A140" s="50" t="str">
        <x:v>V4-R-Q018-C08</x:v>
      </x:c>
      <x:c r="B140" s="50" t="str">
        <x:v>V4-E-Q018-C08</x:v>
      </x:c>
      <x:c r="C140" s="50" t="str">
        <x:v>V4-Q018</x:v>
      </x:c>
      <x:c r="D140" s="49" t="str">
        <x:v>兆易创新</x:v>
      </x:c>
      <x:c r="E140" s="50" t="str">
        <x:v>603986</x:v>
      </x:c>
      <x:c r="F140" s="81" t="n">
        <x:v>46260.75</x:v>
      </x:c>
      <x:c r="G140" s="65" t="str">
        <x:v>DRAM募投项目能否形成新的收入贡献</x:v>
      </x:c>
      <x:c r="H140" s="50" t="str">
        <x:v>DOC-EVT-603986-00514</x:v>
      </x:c>
      <x:c r="I140" s="65" t="str">
        <x:v>兆易创新关于回购A股股份事项前十大股东、前十大无限售条件股东持股情况的公告</x:v>
      </x:c>
      <x:c r="J140" s="81" t="n">
        <x:v>46241</x:v>
      </x:c>
      <x:c r="K140" s="87" t="str">
        <x:v>http://static.cninfo.com.cn/finalpage/2026-08-07/1225461664.PDF</x:v>
      </x:c>
      <x:c r="L140" s="49" t="str">
        <x:v>第1页</x:v>
      </x:c>
      <x:c r="M140" s="65" t="str">
        <x:v>1 证券代码：603986 证券简称：兆易创新 公告编号：2026-070 兆易创新科技集团股份有限公司 关于回购A 股股份事项前十大股东、前十大无限售条 件股东持股情况的公告 本公司董事会及全体董事保证本公告内容不存在任何虚假记载、误导性陈述 或者重大遗漏，并对其内容的真实性、准确性和完整性承担法律责任。 兆易创新科技集团股份有限公司（以下简称“公司”）于 2026 年 7 月 31 日 召开第五届董事会第十四次次会议，审议通过了《关于以集中竞价交易方式回购 公司 A 股股份方案的议案》，具体内容请详见公司于 2026 年 8 月 1 日在上海证 券交易所网站（http://www.sse.com.cn）披露的《兆易创新关于以集中竞价交易方 式回购公司 A 股股份方案的公告》（公告编号：2026-067）。 根据《上市公司股份回购规则》《上海证券交易所上市公司自律监管指引第 7 号——回购股份》等相关规定，现将董事会公告回购股份决议前一个交易日 （2026 年 7 月 31 日）登记在册的前十大股东和前十大无限售条件股东的名称及 持股数量、持股比例情况公告如下： 序号 股东名称 持股数量 （股） 占公司总股 本比例（%） 1. 朱一明 34,647,376 4.94 2. HKSCC NOMINEES LIMITED 33,253,060 4.74 3. 香港中央结算有限公司 32,464,226 4.63 4. 葛卫东 16,446,669 2.34 5. InfoGr…</x:v>
      </x:c>
      <x:c r="N140" s="51" t="str">
        <x:v>0-无关</x:v>
      </x:c>
      <x:c r="O140" s="51" t="str">
        <x:v>否</x:v>
      </x:c>
      <x:c r="P140" s="71" t="str">
        <x:v>《兆易创新关于回购A股股份事项前十大股东、前十大无限售条件股东持股情…》（第1页）内容为“1 证券代码：603986 证券简称：兆易创新 公告编号：2026-070 兆易创新科技集团股份有限公司 关于回购A 股股份事项前十大股东、前十大无限售条…”，属于治理、证券程序或其他非核心事项，不能帮助判断“DRAM募投项目能否形成新的收入贡献”，故判0级。</x:v>
      </x:c>
      <x:c r="Q140" s="51" t="str">
        <x:v>FIN-R01</x:v>
      </x:c>
      <x:c r="R140" s="202" t="n">
        <x:v>46260.92880688657</x:v>
      </x:c>
    </x:row>
    <x:row r="141" ht="72" customHeight="1">
      <x:c r="A141" s="50" t="str">
        <x:v>V4-R-Q018-C04</x:v>
      </x:c>
      <x:c r="B141" s="50" t="str">
        <x:v>V4-E-Q018-C04</x:v>
      </x:c>
      <x:c r="C141" s="50" t="str">
        <x:v>V4-Q018</x:v>
      </x:c>
      <x:c r="D141" s="49" t="str">
        <x:v>兆易创新</x:v>
      </x:c>
      <x:c r="E141" s="50" t="str">
        <x:v>603986</x:v>
      </x:c>
      <x:c r="F141" s="81" t="n">
        <x:v>46260.75</x:v>
      </x:c>
      <x:c r="G141" s="65" t="str">
        <x:v>DRAM募投项目能否形成新的收入贡献</x:v>
      </x:c>
      <x:c r="H141" s="50" t="str">
        <x:v>DOC-EVT-603986-00146</x:v>
      </x:c>
      <x:c r="I141" s="65" t="str">
        <x:v>兆易创新关于增加DRAM募投项目实施主体和地点并使用部分募集资金向全资子公司及全资孙公司增资的公告</x:v>
      </x:c>
      <x:c r="J141" s="81" t="n">
        <x:v>45545</x:v>
      </x:c>
      <x:c r="K141" s="87" t="str">
        <x:v>http://static.cninfo.com.cn/finalpage/2024-09-10/1221174825.PDF</x:v>
      </x:c>
      <x:c r="L141" s="49" t="str">
        <x:v>第1页</x:v>
      </x:c>
      <x:c r="M141" s="65" t="str">
        <x:v>1 证券代码：603986 证券简称：兆易创新 公告编号：2024-079 兆易创新科技集团股份有限公司 关于增加 DRAM 募投项目实施主体和地点并使用部 分募集资金向全资子公司及全资孙公司增资的公告 本公司董事会及全体董事保证本公告内容不存在任何虚假记载、 误导性陈述 或者重大遗漏，并对其内容的真实性、准确性和完整性承担个别及连带责任。 兆易创新科技集团股份有限公司（以下简称 “公司”或“兆易创新”）于 2024 年 9 月 9 日召开了第四届董事会第二十四次会议和第四届监事会第二十次 会议，审议通过了《关于增加 DRAM 募投项目实施主体和地点并使用部分募集 资金向全资子公司及全资孙公司增资的议案》，同意公司增加全资子公司珠海横 琴芯存半导体有限公司（以下简称“珠海横琴芯存”）、全资孙公司北京芯存集 成电路有限公司（以下简称“北京芯存”）、全资孙公司上海芯存志远半导体有 限公司（以下简称“上海芯存”）、全资孙公司合肥芯存半导体有限公司（以下 简称“合肥芯存”）、全资孙公司西安芯存半导体有限公司（以下简称“西安芯 存”）作为“DRAM 芯片研发及产业化项目”的实施主体，并由公司使用部分 募集资金 80,000 万元向珠海横琴芯存增资，再由珠海横琴芯存使用募集资金向 北京芯存、上海芯存、合肥芯存、西安芯存分别增资 1,000 万元、1,000 万元、 2,000 万元、5,000 万元以实施募投项目，对应增加实施地点珠海市、北京市朝阳 区、合肥市、西安市。该议案无需提交股…</x:v>
      </x:c>
      <x:c r="N141" s="51" t="str">
        <x:v>2-间接相关</x:v>
      </x:c>
      <x:c r="O141" s="51" t="str">
        <x:v>是</x:v>
      </x:c>
      <x:c r="P141" s="71" t="str">
        <x:v>《兆易创新关于增加DRAM募投项目实施主体和地点并使用部分募集资金向…》（第1页）披露“1 证券代码：603986 证券简称：兆易创新 公告编号：2024-079 兆易创新科技集团股份有限公司 关于增加 DRAM 募投项目实施主体和地点并使用…”，可建立公告事项到“DRAM募投项目能否形成新的收入贡献”的一阶业务传导链；但未直接给出最终结果，故判2级。</x:v>
      </x:c>
      <x:c r="Q141" s="51" t="str">
        <x:v>FIN-R01</x:v>
      </x:c>
      <x:c r="R141" s="202" t="n">
        <x:v>46260.92880688657</x:v>
      </x:c>
    </x:row>
    <x:row r="142" ht="72" customHeight="1">
      <x:c r="A142" s="50" t="str">
        <x:v>V4-R-Q018-C03</x:v>
      </x:c>
      <x:c r="B142" s="50" t="str">
        <x:v>V4-E-Q018-C03</x:v>
      </x:c>
      <x:c r="C142" s="50" t="str">
        <x:v>V4-Q018</x:v>
      </x:c>
      <x:c r="D142" s="49" t="str">
        <x:v>兆易创新</x:v>
      </x:c>
      <x:c r="E142" s="50" t="str">
        <x:v>603986</x:v>
      </x:c>
      <x:c r="F142" s="81" t="n">
        <x:v>46260.75</x:v>
      </x:c>
      <x:c r="G142" s="65" t="str">
        <x:v>DRAM募投项目能否形成新的收入贡献</x:v>
      </x:c>
      <x:c r="H142" s="50" t="str">
        <x:v>DOC-EVT-603986-00177</x:v>
      </x:c>
      <x:c r="I142" s="65" t="str">
        <x:v>中金公司关于兆易创新调整部分募投项目、新增募投项目并将部分募集资金补充流动资金的核查意见</x:v>
      </x:c>
      <x:c r="J142" s="81" t="n">
        <x:v>45602</x:v>
      </x:c>
      <x:c r="K142" s="87" t="str">
        <x:v>http://static.cninfo.com.cn/finalpage/2024-11-06/1221637289.PDF</x:v>
      </x:c>
      <x:c r="L142" s="49" t="str">
        <x:v>第1页</x:v>
      </x:c>
      <x:c r="M142" s="65" t="str">
        <x:v>1 中国国际金融股份有限公司 关于兆易创新科技集团股份有限公司 调整部分募投项目、新增募投项目并将部分募集资金 永久补充流动资金的核查意见 中国国际金融股份有限公司（以下简称“保荐机构”或“中金公司”）作为 兆易创新科技集团股份有限公司（以下简称“兆易创新”或“公司”）非公开发 行A 股股票的保荐机构，根据《证券发行上市保荐业务管理办法》《上海证券交 易所股票上市规则（2024 年 4 月修订）》《上市公司监管指引第 2 号——上市 公司募集资金管理和使用的监管要求》和《上海证券交易所上市公司自律监管指 引第1 号——规范运作》等有关规定，对兆易创新调整部分募投项目、新增募投 项目并将部分募集资金永久补充流动资金事项进行了审慎的核查， 具体核查情况 如下： 一、募集资金及投资项目概况 （一）募集资金基本情况 经中国证券监督管理委员会 《关于核准北京兆易创新科技股份有限公司非公 开发行股票的批复》 （证监许可[2020]711 号核准） ，公司由主承销商中金公司采 用非公开发行股票方式，发行人民币普通股（A 股）21,219,077 股，发行价格为 人民币 203.78 元/股，发行募集资金总额为人民币 432,402.35 万元，扣除承销费 用（不含增值税）人民币3,958.49 万元后，公司此次实际募集资金净额为人民币 428,443.86 万元。上述募集资金已由保荐机构于2020 年 5 月 26 日分别汇入公司 在江苏银行股份有限公司北京中关村西区支行开设的 3231…</x:v>
      </x:c>
      <x:c r="N142" s="51" t="str">
        <x:v>2-间接相关</x:v>
      </x:c>
      <x:c r="O142" s="51" t="str">
        <x:v>是</x:v>
      </x:c>
      <x:c r="P142" s="71" t="str">
        <x:v>《中金公司关于兆易创新调整部分募投项目、新增募投项目并将部分募集资金…》（第1页）披露“1 中国国际金融股份有限公司 关于兆易创新科技集团股份有限公司 调整部分募投项目、新增募投项目并将部分募集资金 永久补充流动资金的核查意见 中国国际金融股…”，可建立公告事项到“DRAM募投项目能否形成新的收入贡献”的一阶业务传导链；但未直接给出最终结果，故判2级。</x:v>
      </x:c>
      <x:c r="Q142" s="51" t="str">
        <x:v>FIN-R01</x:v>
      </x:c>
      <x:c r="R142" s="202" t="n">
        <x:v>46260.92880688657</x:v>
      </x:c>
    </x:row>
    <x:row r="143" ht="72" customHeight="1">
      <x:c r="A143" s="50" t="str">
        <x:v>V4-R-Q018-C07</x:v>
      </x:c>
      <x:c r="B143" s="50" t="str">
        <x:v>V4-E-Q018-C07</x:v>
      </x:c>
      <x:c r="C143" s="50" t="str">
        <x:v>V4-Q018</x:v>
      </x:c>
      <x:c r="D143" s="49" t="str">
        <x:v>兆易创新</x:v>
      </x:c>
      <x:c r="E143" s="50" t="str">
        <x:v>603986</x:v>
      </x:c>
      <x:c r="F143" s="81" t="n">
        <x:v>46260.75</x:v>
      </x:c>
      <x:c r="G143" s="65" t="str">
        <x:v>DRAM募投项目能否形成新的收入贡献</x:v>
      </x:c>
      <x:c r="H143" s="50" t="str">
        <x:v>DOC-EVT-603986-00440</x:v>
      </x:c>
      <x:c r="I143" s="65" t="str">
        <x:v>兆易创新2025年年度报告摘要</x:v>
      </x:c>
      <x:c r="J143" s="81" t="n">
        <x:v>46112</x:v>
      </x:c>
      <x:c r="K143" s="87" t="str">
        <x:v>http://static.cninfo.com.cn/finalpage/2026-03-31/1225061348.PDF</x:v>
      </x:c>
      <x:c r="L143" s="49" t="str">
        <x:v>第3页</x:v>
      </x:c>
      <x:c r="M143" s="65" t="str">
        <x:v>兆易创新科技集团股份有限公司2025 年年度报告摘要 3 2. 报告期公司主要业务简介 2025 年，公司所处集成电路行业在 AI 需求爆发下迎来强复苏，全球市场规模创历史新高。 WSTS 数据显示，2025 年全球半导体市场规模达 7,720 亿美元，同比增长 22%，其中逻辑芯片增 长 37%，存储芯片增长 28%，成为增长主力。在中国集成电路行业，依据中国半导体行业协会数 据，中国本土集成电路市场规模预计达 2,800 亿美元，设计环节收入规模约 1,180 亿美元，同比增 长约 29.4%。在 AI 需求爆发以及汽车电子、消费电子温和复苏的带动下，GPU、存储芯片需求升 温、价格上涨，成为集成电路行业增长的主要驱动力。 在存储业务领域，依据弗若斯特沙利文的数据，公司所处专用型存储（包括 NOR Flash、SLC NAND Flash、利基型 DRAM）2025 年全球市场规模预计为 157 亿美元，其中利基型 DRAM 为 99 亿美元，NOR Flash 为 31 亿美元，SLC NAND Flash 为 27 亿美元。DRAM 产品方面，AI 服务器 等需求爆发带动DDR5、HBM等主流存储产品需求激增，国际头部公司加速向新制程节点的HBM、 DDR5 等主流产品迁移，放弃或减少利基型产品的生产，带来行业竞争格局的改善，利基型 DRAM 价格从而迎来大幅上涨。在 SLC NAND Flash 产品上，受益于 AI 需求的爆发，对主流的 3D NAND （如eS…</x:v>
      </x:c>
      <x:c r="N143" s="51" t="str">
        <x:v>2-间接相关</x:v>
      </x:c>
      <x:c r="O143" s="51" t="str">
        <x:v>是</x:v>
      </x:c>
      <x:c r="P143" s="71" t="str">
        <x:v>《兆易创新2025年年度报告摘要》（第3页）披露“兆易创新科技集团股份有限公司2025 年年度报告摘要 3 2. 报告期公司主要业务简介 2025 年，公司所处集成电路行业在 AI 需求爆发下迎来强复苏，…”，可建立公告事项到“DRAM募投项目能否形成新的收入贡献”的一阶业务传导链；但未直接给出最终结果，故判2级。</x:v>
      </x:c>
      <x:c r="Q143" s="51" t="str">
        <x:v>FIN-R01</x:v>
      </x:c>
      <x:c r="R143" s="202" t="n">
        <x:v>46260.92880688657</x:v>
      </x:c>
    </x:row>
    <x:row r="144" ht="72" customHeight="1">
      <x:c r="A144" s="50" t="str">
        <x:v>V4-R-Q018-C06</x:v>
      </x:c>
      <x:c r="B144" s="50" t="str">
        <x:v>V4-E-Q018-C06</x:v>
      </x:c>
      <x:c r="C144" s="50" t="str">
        <x:v>V4-Q018</x:v>
      </x:c>
      <x:c r="D144" s="49" t="str">
        <x:v>兆易创新</x:v>
      </x:c>
      <x:c r="E144" s="50" t="str">
        <x:v>603986</x:v>
      </x:c>
      <x:c r="F144" s="81" t="n">
        <x:v>46260.75</x:v>
      </x:c>
      <x:c r="G144" s="65" t="str">
        <x:v>DRAM募投项目能否形成新的收入贡献</x:v>
      </x:c>
      <x:c r="H144" s="50" t="str">
        <x:v>DOC-EVT-603986-00468</x:v>
      </x:c>
      <x:c r="I144" s="65" t="str">
        <x:v>兆易创新2026年第一季度报告</x:v>
      </x:c>
      <x:c r="J144" s="81" t="n">
        <x:v>46142</x:v>
      </x:c>
      <x:c r="K144" s="87" t="str">
        <x:v>http://static.cninfo.com.cn/finalpage/2026-04-30/1225257883.PDF</x:v>
      </x:c>
      <x:c r="L144" s="49" t="str">
        <x:v>第2页</x:v>
      </x:c>
      <x:c r="M144" s="65" t="str">
        <x:v>兆易创新科技集团股份有限公司2026 年第一季度报告 2 / 12 本报告期末 上年度末 本报告期末比上 年度末增减变动 幅度(%) 总资产 27,773,679,160.67 21,396,579,783.85 29.80 归属于上市公司股东的所有 者权益 25,273,306,654.79 19,007,782,130.79 32.96 (二)非经常性损益项目和金额 √适用 □不适用 单位:元 币种:人民币 非经常性损益项目 本期金额 说明 非流动性资产处置损益，包括已计提资产 减值准备的冲销部分 237,461.80 计入当期损益的政府补助，但与公司正常 经营业务密切相关、符合国家政策规定、 按照确定的标准享有、对公司损益产生持 续影响的政府补助除外 14,372,345.38 包括以前年度取得的政府 补助在本期分摊确认的收 入，以及当期取得的政府 补助且当期确认的收入 除同公司正常经营业务相关的有效套期保 值业务外，非金融企业持有金融资产和金 融负债产生的公允价值变动损益以及处置 金融资产和金融负债产生的损益 42,060,322.82 计入当期损益的对非金融企业收取的资金 占用费 1,234,253.29 除上述各项之外的其他营业外收入和支出 -9,368.72 减：所得税影响额 5,469,058.87 少数股东权益影响额（税后） 1,241,886.82 合计 51,184,068.88 对公司将《公开发行证券的公司信息披露解释性公告第 1 号——非经常性损益…</x:v>
      </x:c>
      <x:c r="N144" s="51" t="str">
        <x:v>1-弱相关</x:v>
      </x:c>
      <x:c r="O144" s="51" t="str">
        <x:v>否</x:v>
      </x:c>
      <x:c r="P144" s="71" t="str">
        <x:v>《兆易创新2026年第一季度报告》（第2页）仅披露“兆易创新科技集团股份有限公司2026 年第一季度报告 2 / 12 本报告期末 上年度末 本报告期末比上 年度末增减变动 幅度(%) 总资产 27,773…”，虽与公司经营或相邻主题有关，但不足以验证“DRAM募投项目能否形成新的收入贡献”的关键路径，故判1级。</x:v>
      </x:c>
      <x:c r="Q144" s="51" t="str">
        <x:v>FIN-R01</x:v>
      </x:c>
      <x:c r="R144" s="202" t="n">
        <x:v>46260.92880688657</x:v>
      </x:c>
    </x:row>
    <x:row r="145" ht="72" customHeight="1">
      <x:c r="A145" s="50" t="str">
        <x:v>V4-R-Q018-C02</x:v>
      </x:c>
      <x:c r="B145" s="50" t="str">
        <x:v>V4-E-Q018-C02</x:v>
      </x:c>
      <x:c r="C145" s="50" t="str">
        <x:v>V4-Q018</x:v>
      </x:c>
      <x:c r="D145" s="49" t="str">
        <x:v>兆易创新</x:v>
      </x:c>
      <x:c r="E145" s="50" t="str">
        <x:v>603986</x:v>
      </x:c>
      <x:c r="F145" s="81" t="n">
        <x:v>46260.75</x:v>
      </x:c>
      <x:c r="G145" s="65" t="str">
        <x:v>DRAM募投项目能否形成新的收入贡献</x:v>
      </x:c>
      <x:c r="H145" s="50" t="str">
        <x:v>DOC-EVT-603986-00501</x:v>
      </x:c>
      <x:c r="I145" s="65" t="str">
        <x:v>兆易创新关于使用A股部分募集资金向全资子公司增资以实施DRAM募投项目的公告</x:v>
      </x:c>
      <x:c r="J145" s="81" t="n">
        <x:v>46225</x:v>
      </x:c>
      <x:c r="K145" s="87" t="str">
        <x:v>http://static.cninfo.com.cn/finalpage/2026-07-22/1225435810.PDF</x:v>
      </x:c>
      <x:c r="L145" s="49" t="str">
        <x:v>第1页</x:v>
      </x:c>
      <x:c r="M145" s="65" t="str">
        <x:v>1 证券代码：603986 证券简称：兆易创新 公告编号：2026-059 兆易创新科技集团股份有限公司 关于使用A股部分募集资金向全资子公司增资以实施 DRAM 募投项目的公告 本公司董事会及全体董事保证本公告内容不存在任何虚假记载、误导性陈述 或者重大遗漏，并对其内容的真实性、准确性和完整性承担法律责任。 兆易创新科技集团股份有限公司（以下简称“公司”或“兆易创新”）于 2026 年 7 月 21 日召开第五届董事会第十三次会议，审议通过了《关于使用 A 股 部分募集资金向全资子公司增资以实施 DRAM 募投项目的议案》，同意公司使 用 A 股募集资金 50,000 万元向全资子公司珠海横琴芯存半导体有限公司（以下 简称“珠海芯存”）增资，以实施 DRAM 募投项目。该事项无需提交股东会审 议。具体情况如下： 一、募集资金基本情况 经中国证券监督管理委员会《关于核准北京兆易创新科技股份有限公司非公 开发行股票的批复》（证监许可[2020]711 号核准），公司由主承销商中国国际 金融股份有限公司采用非公开发行股票方式，发行人民币普通股（A 股） 21,219,077 股，发行价格为人民币 203.78 元/股，本次发行募集资金总额为人民 币 432,402.35 万元，扣除承销费用（不含增值税）人民币 3,958.49 万元后，公司 此次实际募集资金净额为人民币 428,443.86 万元。上述募集资金已由保荐机构 （主承销商）中国国际金融股份有限公司（以下简称“保荐机…</x:v>
      </x:c>
      <x:c r="N145" s="51" t="str">
        <x:v>2-间接相关</x:v>
      </x:c>
      <x:c r="O145" s="51" t="str">
        <x:v>是</x:v>
      </x:c>
      <x:c r="P145" s="71" t="str">
        <x:v>《兆易创新关于使用A股部分募集资金向全资子公司增资以实施DRAM募投…》（第1页）披露“1 证券代码：603986 证券简称：兆易创新 公告编号：2026-059 兆易创新科技集团股份有限公司 关于使用A股部分募集资金向全资子公司增资以实施 …”，可建立公告事项到“DRAM募投项目能否形成新的收入贡献”的一阶业务传导链；但未直接给出最终结果，故判2级。</x:v>
      </x:c>
      <x:c r="Q145" s="51" t="str">
        <x:v>FIN-R01</x:v>
      </x:c>
      <x:c r="R145" s="202" t="n">
        <x:v>46260.92880688657</x:v>
      </x:c>
    </x:row>
    <x:row r="146" ht="72" customHeight="1">
      <x:c r="A146" s="50" t="str">
        <x:v>V4-R-Q019-C05</x:v>
      </x:c>
      <x:c r="B146" s="50" t="str">
        <x:v>V4-E-Q019-C05</x:v>
      </x:c>
      <x:c r="C146" s="50" t="str">
        <x:v>V4-Q019</x:v>
      </x:c>
      <x:c r="D146" s="49" t="str">
        <x:v>兆易创新</x:v>
      </x:c>
      <x:c r="E146" s="50" t="str">
        <x:v>603986</x:v>
      </x:c>
      <x:c r="F146" s="81" t="n">
        <x:v>46260.75</x:v>
      </x:c>
      <x:c r="G146" s="65" t="str">
        <x:v>存储芯片价格与库存周期改善能否提升盈利能力</x:v>
      </x:c>
      <x:c r="H146" s="50" t="str">
        <x:v>DOC-EVT-603986-00355</x:v>
      </x:c>
      <x:c r="I146" s="65" t="str">
        <x:v>兆易创新关于延长屹唐华创投资基金经营期限暨参与私募股权投资基金的进展公告</x:v>
      </x:c>
      <x:c r="J146" s="81" t="n">
        <x:v>45884</x:v>
      </x:c>
      <x:c r="K146" s="87" t="str">
        <x:v>http://static.cninfo.com.cn/finalpage/2025-08-15/1224486075.PDF</x:v>
      </x:c>
      <x:c r="L146" s="49" t="str">
        <x:v>第1页</x:v>
      </x:c>
      <x:c r="M146" s="65" t="str">
        <x:v>1 证券代码：603986 证券简称：兆易创新 公告编号：2025-043 兆易创新科技集团股份有限公司 关于延长屹唐华创投资基金经营期限暨 参与私募股权投资基金的进展公告 本公司董事会及全体董事保证本公告内容不存在任何虚假记载、误导性陈述 或者重大遗漏，并对其内容的真实性、准确性和完整性承担法律责任。 一、基金情况概述 2017 年 7 月 11 日，兆易创新科技集团股份有限公司（以下称“公司”）召 开第二届董事会第十五次会议，审议通过《关于拟签署&lt;北京屹唐华创股权投资 中心（有限合伙）有限合伙协议&gt;的议案》，公司与北京屹唐华创投资管理有限 公司（于2017 年 11 月更名为“北京石溪屹唐华创投资管理有限公司”，以下称 “普通合伙人”或“管理人”）等各方签署合伙协议，共同出资设立北京屹唐华 创股权投资中心（有限合伙）（以下称“屹唐华创投资基金”或“基金”）。 2021 年 11 月 30 日，经屹唐华创投资基金全体合伙人协商一致，公司与管 理人等各方签署《北京屹唐华创股权投资中心（有限合伙）变更决定书》，将各 合伙人的认缴出资金额同比降低至其已实缴出资金额，即原认缴出资金额的 50%，各合伙人及其出资比例与变更前保持不变。变更后，屹唐华创投资基金总 规模 11.15 亿元，公司认缴出资金额减少至已实缴的出资金额，即人民币1 亿元， 持有份额 8.97%保持不变。 2024 年 12 月 16 日，经屹唐华创投资基金全体合伙人协商一致，公司与管 理人等各方签署《北京屹唐华…</x:v>
      </x:c>
      <x:c r="N146" s="51" t="str">
        <x:v>0-无关</x:v>
      </x:c>
      <x:c r="O146" s="51" t="str">
        <x:v>否</x:v>
      </x:c>
      <x:c r="P146" s="71" t="str">
        <x:v>《兆易创新关于延长屹唐华创投资基金经营期限暨参与私募股权投资基金的进…》（第1页）内容为“1 证券代码：603986 证券简称：兆易创新 公告编号：2025-043 兆易创新科技集团股份有限公司 关于延长屹唐华创投资基金经营期限暨 参与私募股权…”，属于治理、证券程序或其他非核心事项，不能帮助判断“存储芯片价格与库存周期改善能否提升盈利能力”，故判0级。</x:v>
      </x:c>
      <x:c r="Q146" s="51" t="str">
        <x:v>FIN-R01</x:v>
      </x:c>
      <x:c r="R146" s="202" t="n">
        <x:v>46260.92880688657</x:v>
      </x:c>
    </x:row>
    <x:row r="147" ht="72" customHeight="1">
      <x:c r="A147" s="50" t="str">
        <x:v>V4-R-Q019-C03</x:v>
      </x:c>
      <x:c r="B147" s="50" t="str">
        <x:v>V4-E-Q019-C03</x:v>
      </x:c>
      <x:c r="C147" s="50" t="str">
        <x:v>V4-Q019</x:v>
      </x:c>
      <x:c r="D147" s="49" t="str">
        <x:v>兆易创新</x:v>
      </x:c>
      <x:c r="E147" s="50" t="str">
        <x:v>603986</x:v>
      </x:c>
      <x:c r="F147" s="81" t="n">
        <x:v>46260.75</x:v>
      </x:c>
      <x:c r="G147" s="65" t="str">
        <x:v>存储芯片价格与库存周期改善能否提升盈利能力</x:v>
      </x:c>
      <x:c r="H147" s="50" t="str">
        <x:v>DOC-EVT-603986-00401</x:v>
      </x:c>
      <x:c r="I147" s="65" t="str">
        <x:v>兆易创新关于刊发H股招股说明书、H股发行价格区间及H股香港公开发售等事宜的公告</x:v>
      </x:c>
      <x:c r="J147" s="81" t="n">
        <x:v>46022</x:v>
      </x:c>
      <x:c r="K147" s="87" t="str">
        <x:v>http://static.cninfo.com.cn/finalpage/2025-12-31/1224912143.PDF</x:v>
      </x:c>
      <x:c r="L147" s="49" t="str">
        <x:v>第1页</x:v>
      </x:c>
      <x:c r="M147" s="65" t="str">
        <x:v>1 证券代码：603986 证券简称：兆易创新 公告编号：2025-072 兆易创新科技集团股份有限公司 关于刊发 H 股招股说明书、H 股发行价格区间及 H 股 香港公开发售等事宜的公告 本公司董事会及全体董事保证本公告内容不存在任何虚假记载、误导性陈述 或者重大遗漏，并对其内容的真实性、准确性和完整性承担法律责任。 兆易创新科技集团股份有限公司（以下简称“公司”）正在进行申请公开发 行境外上市外资股（H 股）并在香港联合交易所有限公司（以下简称“香港联交 所”）主板上市（以下简称“本次发行上市”）的相关工作。 2025 年 6 月 19 日，公司向香港联交所递交了本次发行上市的申请，并于同 日在香港联交所网站刊登了申请资料。具体内容请详见公司于 2025 年 6 月 20 日在上海证券交易所网站（http://www.sse.com.cn）披露的《兆易创新关于向香 港联交所递交 H 股发行上市的申请并刊发申请资料的公告》（公告编号： 2025-034）。 2025 年 12 月 9 日，公司收到中国证券监督管理委员会（以下简称“中国证 监会”）出具的《关于兆易创新科技集团股份有限公司境外发行上市备案通知书》 （国合函〔2025〕2206 号），中国证监会对公司本次发行上市备案信息予以确认。 具体 内容 请详 见公司 于 2025 年 12 月 10 日在 上海 证券 交易所 网站 （http://www.sse.com.cn）披露的《兆易创新关于发行境外上市外资股（H…</x:v>
      </x:c>
      <x:c r="N147" s="51" t="str">
        <x:v>0-无关</x:v>
      </x:c>
      <x:c r="O147" s="51" t="str">
        <x:v>否</x:v>
      </x:c>
      <x:c r="P147" s="71" t="str">
        <x:v>《兆易创新关于刊发H股招股说明书、H股发行价格区间及H股香港公开发售…》（第1页）内容为“1 证券代码：603986 证券简称：兆易创新 公告编号：2025-072 兆易创新科技集团股份有限公司 关于刊发 H 股招股说明书、H 股发行价格区间及…”，属于治理、证券程序或其他非核心事项，不能帮助判断“存储芯片价格与库存周期改善能否提升盈利能力”，故判0级。</x:v>
      </x:c>
      <x:c r="Q147" s="51" t="str">
        <x:v>FIN-R01</x:v>
      </x:c>
      <x:c r="R147" s="202" t="n">
        <x:v>46260.92880688657</x:v>
      </x:c>
    </x:row>
    <x:row r="148" ht="72" customHeight="1">
      <x:c r="A148" s="50" t="str">
        <x:v>V4-R-Q019-C07</x:v>
      </x:c>
      <x:c r="B148" s="50" t="str">
        <x:v>V4-E-Q019-C07</x:v>
      </x:c>
      <x:c r="C148" s="50" t="str">
        <x:v>V4-Q019</x:v>
      </x:c>
      <x:c r="D148" s="49" t="str">
        <x:v>兆易创新</x:v>
      </x:c>
      <x:c r="E148" s="50" t="str">
        <x:v>603986</x:v>
      </x:c>
      <x:c r="F148" s="81" t="n">
        <x:v>46260.75</x:v>
      </x:c>
      <x:c r="G148" s="65" t="str">
        <x:v>存储芯片价格与库存周期改善能否提升盈利能力</x:v>
      </x:c>
      <x:c r="H148" s="50" t="str">
        <x:v>DOC-EVT-603986-00440</x:v>
      </x:c>
      <x:c r="I148" s="65" t="str">
        <x:v>兆易创新2025年年度报告摘要</x:v>
      </x:c>
      <x:c r="J148" s="81" t="n">
        <x:v>46112</x:v>
      </x:c>
      <x:c r="K148" s="87" t="str">
        <x:v>http://static.cninfo.com.cn/finalpage/2026-03-31/1225061348.PDF</x:v>
      </x:c>
      <x:c r="L148" s="49" t="str">
        <x:v>第3页</x:v>
      </x:c>
      <x:c r="M148" s="65" t="str">
        <x:v>兆易创新科技集团股份有限公司2025 年年度报告摘要 3 2. 报告期公司主要业务简介 2025 年，公司所处集成电路行业在 AI 需求爆发下迎来强复苏，全球市场规模创历史新高。 WSTS 数据显示，2025 年全球半导体市场规模达 7,720 亿美元，同比增长 22%，其中逻辑芯片增 长 37%，存储芯片增长 28%，成为增长主力。在中国集成电路行业，依据中国半导体行业协会数 据，中国本土集成电路市场规模预计达 2,800 亿美元，设计环节收入规模约 1,180 亿美元，同比增 长约 29.4%。在 AI 需求爆发以及汽车电子、消费电子温和复苏的带动下，GPU、存储芯片需求升 温、价格上涨，成为集成电路行业增长的主要驱动力。 在存储业务领域，依据弗若斯特沙利文的数据，公司所处专用型存储（包括 NOR Flash、SLC NAND Flash、利基型 DRAM）2025 年全球市场规模预计为 157 亿美元，其中利基型 DRAM 为 99 亿美元，NOR Flash 为 31 亿美元，SLC NAND Flash 为 27 亿美元。DRAM 产品方面，AI 服务器 等需求爆发带动DDR5、HBM等主流存储产品需求激增，国际头部公司加速向新制程节点的HBM、 DDR5 等主流产品迁移，放弃或减少利基型产品的生产，带来行业竞争格局的改善，利基型 DRAM 价格从而迎来大幅上涨。在 SLC NAND Flash 产品上，受益于 AI 需求的爆发，对主流的 3D NAND （如eS…</x:v>
      </x:c>
      <x:c r="N148" s="51" t="str">
        <x:v>2-间接相关</x:v>
      </x:c>
      <x:c r="O148" s="51" t="str">
        <x:v>是</x:v>
      </x:c>
      <x:c r="P148" s="71" t="str">
        <x:v>《兆易创新2025年年度报告摘要》（第3页）披露“兆易创新科技集团股份有限公司2025 年年度报告摘要 3 2. 报告期公司主要业务简介 2025 年，公司所处集成电路行业在 AI 需求爆发下迎来强复苏，…”，可建立公告事项到“存储芯片价格与库存周期改善能否提升盈利能力”的一阶业务传导链；但未直接给出最终结果，故判2级。</x:v>
      </x:c>
      <x:c r="Q148" s="51" t="str">
        <x:v>FIN-R01</x:v>
      </x:c>
      <x:c r="R148" s="202" t="n">
        <x:v>46260.92880688657</x:v>
      </x:c>
    </x:row>
    <x:row r="149" ht="72" customHeight="1">
      <x:c r="A149" s="50" t="str">
        <x:v>V4-R-Q019-C04</x:v>
      </x:c>
      <x:c r="B149" s="50" t="str">
        <x:v>V4-E-Q019-C04</x:v>
      </x:c>
      <x:c r="C149" s="50" t="str">
        <x:v>V4-Q019</x:v>
      </x:c>
      <x:c r="D149" s="49" t="str">
        <x:v>兆易创新</x:v>
      </x:c>
      <x:c r="E149" s="50" t="str">
        <x:v>603986</x:v>
      </x:c>
      <x:c r="F149" s="81" t="n">
        <x:v>46260.75</x:v>
      </x:c>
      <x:c r="G149" s="65" t="str">
        <x:v>存储芯片价格与库存周期改善能否提升盈利能力</x:v>
      </x:c>
      <x:c r="H149" s="50" t="str">
        <x:v>DOC-EVT-603986-00205</x:v>
      </x:c>
      <x:c r="I149" s="65" t="str">
        <x:v>提名人声明与承诺-杨小雯</x:v>
      </x:c>
      <x:c r="J149" s="81" t="n">
        <x:v>45624</x:v>
      </x:c>
      <x:c r="K149" s="87" t="str">
        <x:v>http://static.cninfo.com.cn/finalpage/2024-11-28/1221864798.PDF</x:v>
      </x:c>
      <x:c r="L149" s="49" t="str">
        <x:v>第1页</x:v>
      </x:c>
      <x:c r="M149" s="65" t="str">
        <x:v>兆易创新科技集团股份有限公司 独立董事提名人声明与承诺 提名人兆易创新科技集团股份有限公司董事会， 现提名 杨小雯 为兆易创新 科技集团股份有限公司第五届董事会独立董事候选人， 并已充分了解被提名人职 业、学历、职称、详细的工作经历、全部兼职、有无重大失信等不良记录等情况。 被提名人已同意出任兆易创新科技集团 股份有限公司第五届董事会独立董事候 选人（参见该独立董事候选人声明） 。提名人认为，被提名人具备独立董事任职 资格，与兆易创新科技集团股份有限公司之间不存在任何影响其独立性的关系， 具体声明并承诺如下： 一、被提名人具备上市公司运作的基本知识，熟悉相关法律、行政法规、规 章及其他规范性文件，具有5 年以上法律、经济、会计、财务、管理或者其他履 行独立董事职责所必需的工作经验。 被提名人已经参加培训并取得证券交易所认可的相关培训证明材料。 二、被提名人任职资格符合下列法律、行政法规和部门规章的要求： （一） 《中华人民共和国公司法》关于董事任职资格的规定； （二） 《中华人民共和国公务员法》关于公务员兼任职务的规定（如适用） ； （三）中国证监会《上市公司独立董事管理办法》 、上海证券交易所自律监 管规则以及公司章程有关独立董事任职资格和条件的相关规定； （四）中共中央纪委、中共中央组织部《关于规范中管干部辞去公职或者退 （离） 休后担任上市公司、 基金管理公司独立董事、 独立监事的通知》 的规定 （如 适用） ； （五）中共中央组织部《关于进一步规范党政领导干部在企业…</x:v>
      </x:c>
      <x:c r="N149" s="51" t="str">
        <x:v>0-无关</x:v>
      </x:c>
      <x:c r="O149" s="51" t="str">
        <x:v>否</x:v>
      </x:c>
      <x:c r="P149" s="71" t="str">
        <x:v>《提名人声明与承诺-杨小雯》（第1页）内容为“兆易创新科技集团股份有限公司 独立董事提名人声明与承诺 提名人兆易创新科技集团股份有限公司董事会， 现提名 杨小雯 为兆易创新 科技集团股份有限公司第五届…”，属于治理、证券程序或其他非核心事项，不能帮助判断“存储芯片价格与库存周期改善能否提升盈利能力”，故判0级。</x:v>
      </x:c>
      <x:c r="Q149" s="51" t="str">
        <x:v>FIN-R01</x:v>
      </x:c>
      <x:c r="R149" s="202" t="n">
        <x:v>46260.92880688657</x:v>
      </x:c>
    </x:row>
    <x:row r="150" ht="72" customHeight="1">
      <x:c r="A150" s="50" t="str">
        <x:v>V4-R-Q019-C02</x:v>
      </x:c>
      <x:c r="B150" s="50" t="str">
        <x:v>V4-E-Q019-C02</x:v>
      </x:c>
      <x:c r="C150" s="50" t="str">
        <x:v>V4-Q019</x:v>
      </x:c>
      <x:c r="D150" s="49" t="str">
        <x:v>兆易创新</x:v>
      </x:c>
      <x:c r="E150" s="50" t="str">
        <x:v>603986</x:v>
      </x:c>
      <x:c r="F150" s="81" t="n">
        <x:v>46260.75</x:v>
      </x:c>
      <x:c r="G150" s="65" t="str">
        <x:v>存储芯片价格与库存周期改善能否提升盈利能力</x:v>
      </x:c>
      <x:c r="H150" s="50" t="str">
        <x:v>DOC-EVT-603986-00402</x:v>
      </x:c>
      <x:c r="I150" s="65" t="str">
        <x:v>兆易创新关于H股公开发行价格的公告</x:v>
      </x:c>
      <x:c r="J150" s="81" t="n">
        <x:v>46032</x:v>
      </x:c>
      <x:c r="K150" s="87" t="str">
        <x:v>http://static.cninfo.com.cn/finalpage/2026-01-10/1224928754.PDF</x:v>
      </x:c>
      <x:c r="L150" s="49" t="str">
        <x:v>第1页</x:v>
      </x:c>
      <x:c r="M150" s="65" t="str">
        <x:v>1 证券代码：603986 证券简称：兆易创新 公告编号：2026-001 兆易创新科技集团股份有限公司 关于 H 股公开发行价格的公告 本公司董事会及全体董事保证本公告内容不存在任何虚假记载、误导性陈述 或者重大遗漏，并对其内容的真实性、准确性和完整性承担法律责任。 兆易创新科技集团股份有限公司（以下简称“公司”）正在进行申请公开发 行境外上市外资股（H 股）并在香港联合交易所有限公司（以下简称“香港联交 所”）主板上市（以下简称“本次发行上市”）的相关工作。 本次拟发行的 H 股股份的认购对象仅限于符合相应条件的境外投资者及依 据中国相关法律法规有权进行境外证券投资管理的境内证券经营机构和合格境 内机构投资者及其他符合监管规定的投资者。因此，本公告仅为 A 股投资者及 时了解公司本次发行上市的相关信息而作出，并不构成亦不得被视为是对任何境 内个人或实体收购、购买或认购公司任何证券的要约或要约邀请。 公司已确定本次 H 股发行的最终价格为每股 162.00 港元（不包括 1%经纪佣 金、0.0027%香港证券及期货事务监察委员会交易征费、0.00565%香港联交所交 易费及 0.00015%香港会计及财务汇报局交易征费）。公司本次发行的 H 股预计于 2026 年 1 月 13 日在香港联交所主板挂牌并开始上市交易。 特此公告。 兆易创新科技集团股份有限公司董事会 2026 年 1 月 10 日</x:v>
      </x:c>
      <x:c r="N150" s="51" t="str">
        <x:v>0-无关</x:v>
      </x:c>
      <x:c r="O150" s="51" t="str">
        <x:v>否</x:v>
      </x:c>
      <x:c r="P150" s="71" t="str">
        <x:v>《兆易创新关于H股公开发行价格的公告》（第1页）内容为“1 证券代码：603986 证券简称：兆易创新 公告编号：2026-001 兆易创新科技集团股份有限公司 关于 H 股公开发行价格的公告 本公司董事会及全…”，属于治理、证券程序或其他非核心事项，不能帮助判断“存储芯片价格与库存周期改善能否提升盈利能力”，故判0级。</x:v>
      </x:c>
      <x:c r="Q150" s="51" t="str">
        <x:v>FIN-R01</x:v>
      </x:c>
      <x:c r="R150" s="202" t="n">
        <x:v>46260.92880688657</x:v>
      </x:c>
    </x:row>
    <x:row r="151" ht="72" customHeight="1">
      <x:c r="A151" s="50" t="str">
        <x:v>V4-R-Q019-C08</x:v>
      </x:c>
      <x:c r="B151" s="50" t="str">
        <x:v>V4-E-Q019-C08</x:v>
      </x:c>
      <x:c r="C151" s="50" t="str">
        <x:v>V4-Q019</x:v>
      </x:c>
      <x:c r="D151" s="49" t="str">
        <x:v>兆易创新</x:v>
      </x:c>
      <x:c r="E151" s="50" t="str">
        <x:v>603986</x:v>
      </x:c>
      <x:c r="F151" s="81" t="n">
        <x:v>46260.75</x:v>
      </x:c>
      <x:c r="G151" s="65" t="str">
        <x:v>存储芯片价格与库存周期改善能否提升盈利能力</x:v>
      </x:c>
      <x:c r="H151" s="50" t="str">
        <x:v>DOC-EVT-603986-00506</x:v>
      </x:c>
      <x:c r="I151" s="65" t="str">
        <x:v>兆易创新关于控股股东、实际控制人自愿承诺未来12个月不减持公司股份的公告</x:v>
      </x:c>
      <x:c r="J151" s="81" t="n">
        <x:v>46233</x:v>
      </x:c>
      <x:c r="K151" s="87" t="str">
        <x:v>http://static.cninfo.com.cn/finalpage/2026-07-30/1225447342.PDF</x:v>
      </x:c>
      <x:c r="L151" s="49" t="str">
        <x:v>第1页</x:v>
      </x:c>
      <x:c r="M151" s="65" t="str">
        <x:v>1 证券代码：603986 证券简称：兆易创新 公告编号：2026-061 兆易创新科技集团股份有限公司 关于控股股东、实际控制人自愿承诺未来 12 个月不减 持公司股份的公告 本公司董事会及全体董事保证本公告内容不存在任何虚假记载、误导性陈述或 者重大遗漏，并对其内容的真实性、准确性和完整性承担法律责任。 兆易创新科技集团股份有限公司（以下简称“公司”）于 2026 年 7 月 29 日收 到控股股东、实际控制人朱一明先生出具的《关于未来 12 个月不减持兆易创新股份 的承诺函》，现将有关情况公告如下： 朱一明先生自愿承诺，自 2026 年 7 月 29 日起 12 个月内（即 2026 年 7 月 29 日 至 2027 年 7 月 28 日），不以任何方式减持其持有的公司股份（包括因公司资本公积 转增股本、派送股票红利等事项取得的新增股份）。 截至本公告披露日，公司控股股东、实际控制人朱一明先生及其一致行动人香港 赢富得有限公司合计持有公司股份 47,700,876 股，占公司当前总股本的 6.80%。公司 控股股东、实际控制人及其一致行动人未发生变化，公司控制权稳定。 公司董事会将督促控股股东严格遵守上述承诺，并按照相关法律法规的规定及 时履行信息披露义务。 特此公告。 兆易创新科技集团股份有限公司董事会 2026 年 7 月 30 日</x:v>
      </x:c>
      <x:c r="N151" s="51" t="str">
        <x:v>0-无关</x:v>
      </x:c>
      <x:c r="O151" s="51" t="str">
        <x:v>否</x:v>
      </x:c>
      <x:c r="P151" s="71" t="str">
        <x:v>《兆易创新关于控股股东、实际控制人自愿承诺未来12个月不减持公司股份…》（第1页）内容为“1 证券代码：603986 证券简称：兆易创新 公告编号：2026-061 兆易创新科技集团股份有限公司 关于控股股东、实际控制人自愿承诺未来 12 个月…”，属于治理、证券程序或其他非核心事项，不能帮助判断“存储芯片价格与库存周期改善能否提升盈利能力”，故判0级。</x:v>
      </x:c>
      <x:c r="Q151" s="51" t="str">
        <x:v>FIN-R01</x:v>
      </x:c>
      <x:c r="R151" s="202" t="n">
        <x:v>46260.92880688657</x:v>
      </x:c>
    </x:row>
    <x:row r="152" ht="72" customHeight="1">
      <x:c r="A152" s="50" t="str">
        <x:v>V4-R-Q019-C06</x:v>
      </x:c>
      <x:c r="B152" s="50" t="str">
        <x:v>V4-E-Q019-C06</x:v>
      </x:c>
      <x:c r="C152" s="50" t="str">
        <x:v>V4-Q019</x:v>
      </x:c>
      <x:c r="D152" s="49" t="str">
        <x:v>兆易创新</x:v>
      </x:c>
      <x:c r="E152" s="50" t="str">
        <x:v>603986</x:v>
      </x:c>
      <x:c r="F152" s="81" t="n">
        <x:v>46260.75</x:v>
      </x:c>
      <x:c r="G152" s="65" t="str">
        <x:v>存储芯片价格与库存周期改善能否提升盈利能力</x:v>
      </x:c>
      <x:c r="H152" s="50" t="str">
        <x:v>DOC-EVT-603986-00468</x:v>
      </x:c>
      <x:c r="I152" s="65" t="str">
        <x:v>兆易创新2026年第一季度报告</x:v>
      </x:c>
      <x:c r="J152" s="81" t="n">
        <x:v>46142</x:v>
      </x:c>
      <x:c r="K152" s="87" t="str">
        <x:v>http://static.cninfo.com.cn/finalpage/2026-04-30/1225257883.PDF</x:v>
      </x:c>
      <x:c r="L152" s="49" t="str">
        <x:v>第3页</x:v>
      </x:c>
      <x:c r="M152" s="65" t="str">
        <x:v>兆易创新科技集团股份有限公司2026 年第一季度报告 3 / 12 利润总额 587.93 报告期内，公司营收规模显著攀升，存储 芯片产品盈利能力大幅提升，推动公司整 体经营业绩实现大幅增长。 归属于上市公司股东的净利润 522.79 归属于上市公司股东的扣除非 经常性损益的净利润 529.90 基本每股收益（元/股） 525.71 稀释每股收益（元/股） 522.86 经营活动产生的现金流量净额 430.91 报告期内，公司营业收入显著增长，销售 回款与采购支出净额大幅增长。 归属于上市公司股东的所有者 权益 32.96 报告期内，公司完成 H 股上市募集资金到 位以及归属于上市股东净利润增加导致。 二、股东信息 (一)普通股股东总数和表决权恢复的优先股股东数量及前十名股东持股情况表 单位：股 报告期末普通股股东 总数 243,737 (A 股 243,735 名，H 股 2 名) 报告期末表决权恢复的优先股股东 总数（如有） 0 前 10 名股东持股情况（不含通过转融通出借股份） 股东名称 股东性质 持股数量 持股比 例(%) 持有有限售 条件股份数 量 质押、标 记或冻结 情况 股份 状态 数 量 朱一明 境内自然人 45,758,013 6.53 无 香港中央结算有限公 司 境外法人 41,368,518 5.90 无 HKSCC NOMINEES LIMITED 境外法人 33,253,060 4.74 14,394,300 未知 葛卫东 境外自然人 16,261…</x:v>
      </x:c>
      <x:c r="N152" s="51" t="str">
        <x:v>3-直接相关</x:v>
      </x:c>
      <x:c r="O152" s="51" t="str">
        <x:v>是</x:v>
      </x:c>
      <x:c r="P152" s="71" t="str">
        <x:v>《兆易创新2026年第一季度报告》（第3页）直接披露“兆易创新科技集团股份有限公司2026 年第一季度报告 3 / 12 利润总额 587.93 报告期内，公司营收规模显著攀升，存储 芯片产品盈利能力大幅提升…”，与“存储芯片价格与库存周期改善能否提升盈利能力”的核心变量或结果同口径，可直接用于判断，故判3级。</x:v>
      </x:c>
      <x:c r="Q152" s="51" t="str">
        <x:v>FIN-R01</x:v>
      </x:c>
      <x:c r="R152" s="202" t="n">
        <x:v>46260.92880688657</x:v>
      </x:c>
    </x:row>
    <x:row r="153" ht="72" customHeight="1">
      <x:c r="A153" s="50" t="str">
        <x:v>V4-R-Q019-C01</x:v>
      </x:c>
      <x:c r="B153" s="50" t="str">
        <x:v>V4-E-Q019-C01</x:v>
      </x:c>
      <x:c r="C153" s="50" t="str">
        <x:v>V4-Q019</x:v>
      </x:c>
      <x:c r="D153" s="49" t="str">
        <x:v>兆易创新</x:v>
      </x:c>
      <x:c r="E153" s="50" t="str">
        <x:v>603986</x:v>
      </x:c>
      <x:c r="F153" s="81" t="n">
        <x:v>46260.75</x:v>
      </x:c>
      <x:c r="G153" s="65" t="str">
        <x:v>存储芯片价格与库存周期改善能否提升盈利能力</x:v>
      </x:c>
      <x:c r="H153" s="50" t="str">
        <x:v>DOC-EVT-603986-00417</x:v>
      </x:c>
      <x:c r="I153" s="65" t="str">
        <x:v>兆易创新关于悉数行使超额配售权、稳定价格行动及稳定价格期结束的公告</x:v>
      </x:c>
      <x:c r="J153" s="81" t="n">
        <x:v>46062</x:v>
      </x:c>
      <x:c r="K153" s="87" t="str">
        <x:v>http://static.cninfo.com.cn/finalpage/2026-02-09/1224972235.PDF</x:v>
      </x:c>
      <x:c r="L153" s="49" t="str">
        <x:v>第1页</x:v>
      </x:c>
      <x:c r="M153" s="65" t="str">
        <x:v>1 证券代码：603986 证券简称：兆易创新 公告编号：2026-013 兆易创新科技集团股份有限公司 关于悉数行使超额配售权、稳定价格行动及稳定价格 期结束的公告 本公司董事会及全体董事保证本公告内容不存在任何虚假记载、误导性陈述 或者重大遗漏，并对其内容的真实性、准确性和完整性承担法律责任。 一、悉数行使超额配售权情况 经香港联合交易所有限公司（以下简称“香港联交所”）批准，兆易创新科 技集团股份有限公司（以下简称“公司”）发行的 28,915,800 股（行使超额配售 权之前）境外上市外资股（H 股）已于 2026 年 1 月 13 日在香港联交所主板挂牌 并上市交易（以下简称“本次发行上市”）。公司 H 股股票中文简称为“兆易创 新”，英文简称为“GIGADEVICE”，股份代号为“3986”，具体内容请详见公司于 2026 年 1 月 14 日在上海证券交易所网站（http://www.sse.com.cn）披露的《兆易 创新关于 H 股挂牌并上市交易的公告》（公告编号：2026-003）。 根据本次发行上市方案，公司同意由整体协调人（为其本身及代表国际承销 商）于 2026 年 2 月 7 日悉数行使超额配售权，按发售价每股 H 股股份 162.00 港 元（即全球发售项下每股H 股股份的发售价，不包括经纪佣金、香港证券及期货 事务监察委员会交易征费、香港联交所交易费及香港会计及财务汇报局交易征费） 发行 4,337,300 股 H 股股份。前述超额配售权悉数…</x:v>
      </x:c>
      <x:c r="N153" s="51" t="str">
        <x:v>0-无关</x:v>
      </x:c>
      <x:c r="O153" s="51" t="str">
        <x:v>否</x:v>
      </x:c>
      <x:c r="P153" s="71" t="str">
        <x:v>《兆易创新关于悉数行使超额配售权、稳定价格行动及稳定价格期结束的公告》（第1页）内容为“1 证券代码：603986 证券简称：兆易创新 公告编号：2026-013 兆易创新科技集团股份有限公司 关于悉数行使超额配售权、稳定价格行动及稳定价格 …”，属于治理、证券程序或其他非核心事项，不能帮助判断“存储芯片价格与库存周期改善能否提升盈利能力”，故判0级。</x:v>
      </x:c>
      <x:c r="Q153" s="51" t="str">
        <x:v>FIN-R01</x:v>
      </x:c>
      <x:c r="R153" s="202" t="n">
        <x:v>46260.92880688657</x:v>
      </x:c>
    </x:row>
    <x:row r="154" ht="72" customHeight="1">
      <x:c r="A154" s="50" t="str">
        <x:v>V4-R-Q020-C01</x:v>
      </x:c>
      <x:c r="B154" s="50" t="str">
        <x:v>V4-E-Q020-C01</x:v>
      </x:c>
      <x:c r="C154" s="50" t="str">
        <x:v>V4-Q020</x:v>
      </x:c>
      <x:c r="D154" s="49" t="str">
        <x:v>兆易创新</x:v>
      </x:c>
      <x:c r="E154" s="50" t="str">
        <x:v>603986</x:v>
      </x:c>
      <x:c r="F154" s="81" t="n">
        <x:v>46260.75</x:v>
      </x:c>
      <x:c r="G154" s="65" t="str">
        <x:v>研发投入能否支持MCU与存储产品持续升级</x:v>
      </x:c>
      <x:c r="H154" s="50" t="str">
        <x:v>DOC-EVT-603986-00400</x:v>
      </x:c>
      <x:c r="I154" s="65" t="str">
        <x:v>兆易创新关于更换持续督导保荐代表人的公告</x:v>
      </x:c>
      <x:c r="J154" s="81" t="n">
        <x:v>46021</x:v>
      </x:c>
      <x:c r="K154" s="87" t="str">
        <x:v>http://static.cninfo.com.cn/finalpage/2025-12-30/1224904287.PDF</x:v>
      </x:c>
      <x:c r="L154" s="49" t="str">
        <x:v>第1页</x:v>
      </x:c>
      <x:c r="M154" s="65" t="str">
        <x:v>1 证券代码：603986 证券简称：兆易创新 公告编号：2025-071 兆易创新科技集团股份有限公司 关于更换持续督导保荐代表人的公告 本公司董事会及全体董事保证本公告内容不存在任何虚假记载、误导性陈 述或者重大遗漏，并对其内容的真实性、准确性和完整性承担法律责任。 兆易创新科技集团股份有限公司（以下简称“公司”）于 2025 年 12 月 29 日收 到中国国际金融股份有限公司（以下简称“中金公司”）《关于更换兆易创新科技集 团股份有限公司持续督导保荐代表人的报告》，具体情况如下： 中金公司担任公司 2020 年非公开发行 A 股股票项目（以下简称“本次非公开 发行”）的保荐机构，原委派王琨女士、高圣亮先生担任保荐代表人。截至目前，本 次非公开发行持续督导期已结束，公司尚有部分募集资金未使用完毕，保荐机构将 就公司募集资金使用情况继续履行持续督导的责任。原保荐代表人高圣亮先生因中 金公司内部工作变动原因，不再继续担任公司持续督导的保荐代表人。为保证持续 督导工作的有序进行，中金公司现委派杨智博女士（简历附后）接替高圣亮先生继 续担任本次非公开发行的持续督导保荐代表人，继续对募集资金使用等剩余事项履 行持续督导职责。本次变更后，本次非公开发行的持续督导保荐代表人为王琨女士、 杨智博女士。 特此公告。 兆易创新科技集团股份有限公司董事会 2025 年 12 月 30 日</x:v>
      </x:c>
      <x:c r="N154" s="51" t="str">
        <x:v>0-无关</x:v>
      </x:c>
      <x:c r="O154" s="51" t="str">
        <x:v>否</x:v>
      </x:c>
      <x:c r="P154" s="71" t="str">
        <x:v>《兆易创新关于更换持续督导保荐代表人的公告》（第1页）内容为“1 证券代码：603986 证券简称：兆易创新 公告编号：2025-071 兆易创新科技集团股份有限公司 关于更换持续督导保荐代表人的公告 本公司董事会及…”，属于治理、证券程序或其他非核心事项，不能帮助判断“研发投入能否支持MCU与存储产品持续升级”，故判0级。</x:v>
      </x:c>
      <x:c r="Q154" s="51" t="str">
        <x:v>FIN-R01</x:v>
      </x:c>
      <x:c r="R154" s="202" t="n">
        <x:v>46260.92880688657</x:v>
      </x:c>
    </x:row>
    <x:row r="155" ht="72" customHeight="1">
      <x:c r="A155" s="50" t="str">
        <x:v>V4-R-Q020-C07</x:v>
      </x:c>
      <x:c r="B155" s="50" t="str">
        <x:v>V4-E-Q020-C07</x:v>
      </x:c>
      <x:c r="C155" s="50" t="str">
        <x:v>V4-Q020</x:v>
      </x:c>
      <x:c r="D155" s="49" t="str">
        <x:v>兆易创新</x:v>
      </x:c>
      <x:c r="E155" s="50" t="str">
        <x:v>603986</x:v>
      </x:c>
      <x:c r="F155" s="81" t="n">
        <x:v>46260.75</x:v>
      </x:c>
      <x:c r="G155" s="65" t="str">
        <x:v>研发投入能否支持MCU与存储产品持续升级</x:v>
      </x:c>
      <x:c r="H155" s="50" t="str">
        <x:v>DOC-EVT-603986-00440</x:v>
      </x:c>
      <x:c r="I155" s="65" t="str">
        <x:v>兆易创新2025年年度报告摘要</x:v>
      </x:c>
      <x:c r="J155" s="81" t="n">
        <x:v>46112</x:v>
      </x:c>
      <x:c r="K155" s="87" t="str">
        <x:v>http://static.cninfo.com.cn/finalpage/2026-03-31/1225061348.PDF</x:v>
      </x:c>
      <x:c r="L155" s="49" t="str">
        <x:v>第3页</x:v>
      </x:c>
      <x:c r="M155" s="65" t="str">
        <x:v>兆易创新科技集团股份有限公司2025 年年度报告摘要 3 2. 报告期公司主要业务简介 2025 年，公司所处集成电路行业在 AI 需求爆发下迎来强复苏，全球市场规模创历史新高。 WSTS 数据显示，2025 年全球半导体市场规模达 7,720 亿美元，同比增长 22%，其中逻辑芯片增 长 37%，存储芯片增长 28%，成为增长主力。在中国集成电路行业，依据中国半导体行业协会数 据，中国本土集成电路市场规模预计达 2,800 亿美元，设计环节收入规模约 1,180 亿美元，同比增 长约 29.4%。在 AI 需求爆发以及汽车电子、消费电子温和复苏的带动下，GPU、存储芯片需求升 温、价格上涨，成为集成电路行业增长的主要驱动力。 在存储业务领域，依据弗若斯特沙利文的数据，公司所处专用型存储（包括 NOR Flash、SLC NAND Flash、利基型 DRAM）2025 年全球市场规模预计为 157 亿美元，其中利基型 DRAM 为 99 亿美元，NOR Flash 为 31 亿美元，SLC NAND Flash 为 27 亿美元。DRAM 产品方面，AI 服务器 等需求爆发带动DDR5、HBM等主流存储产品需求激增，国际头部公司加速向新制程节点的HBM、 DDR5 等主流产品迁移，放弃或减少利基型产品的生产，带来行业竞争格局的改善，利基型 DRAM 价格从而迎来大幅上涨。在 SLC NAND Flash 产品上，受益于 AI 需求的爆发，对主流的 3D NAND （如eS…</x:v>
      </x:c>
      <x:c r="N155" s="51" t="str">
        <x:v>2-间接相关</x:v>
      </x:c>
      <x:c r="O155" s="51" t="str">
        <x:v>是</x:v>
      </x:c>
      <x:c r="P155" s="71" t="str">
        <x:v>《兆易创新2025年年度报告摘要》（第3页）披露“兆易创新科技集团股份有限公司2025 年年度报告摘要 3 2. 报告期公司主要业务简介 2025 年，公司所处集成电路行业在 AI 需求爆发下迎来强复苏，…”，可建立公告事项到“研发投入能否支持MCU与存储产品持续升级”的一阶业务传导链；但未直接给出最终结果，故判2级。</x:v>
      </x:c>
      <x:c r="Q155" s="51" t="str">
        <x:v>FIN-R01</x:v>
      </x:c>
      <x:c r="R155" s="202" t="n">
        <x:v>46260.92880688657</x:v>
      </x:c>
    </x:row>
    <x:row r="156" ht="72" customHeight="1">
      <x:c r="A156" s="50" t="str">
        <x:v>V4-R-Q020-C04</x:v>
      </x:c>
      <x:c r="B156" s="50" t="str">
        <x:v>V4-E-Q020-C04</x:v>
      </x:c>
      <x:c r="C156" s="50" t="str">
        <x:v>V4-Q020</x:v>
      </x:c>
      <x:c r="D156" s="49" t="str">
        <x:v>兆易创新</x:v>
      </x:c>
      <x:c r="E156" s="50" t="str">
        <x:v>603986</x:v>
      </x:c>
      <x:c r="F156" s="81" t="n">
        <x:v>46260.75</x:v>
      </x:c>
      <x:c r="G156" s="65" t="str">
        <x:v>研发投入能否支持MCU与存储产品持续升级</x:v>
      </x:c>
      <x:c r="H156" s="50" t="str">
        <x:v>DOC-EVT-603986-00504</x:v>
      </x:c>
      <x:c r="I156" s="65" t="str">
        <x:v>兆易创新股东减持股份结果公告</x:v>
      </x:c>
      <x:c r="J156" s="81" t="n">
        <x:v>46233</x:v>
      </x:c>
      <x:c r="K156" s="87" t="str">
        <x:v>http://static.cninfo.com.cn/finalpage/2026-07-30/1225447353.PDF</x:v>
      </x:c>
      <x:c r="L156" s="49" t="str">
        <x:v>第1页</x:v>
      </x:c>
      <x:c r="M156" s="65" t="str">
        <x:v>1 证券代码：603986 证券简称：兆易创新 公告编号：2026-065 兆易创新科技集团股份有限公司 股东减持股份结果公告 本公司董事会、全体董事及相关股东保证本公告内容不存在任何虚假记载、 误导性陈述或者重大遗漏，并对其内容的真实性、准确性和完整性承担法律责任。 重要内容提示：  大股东持股的基本情况 本次减持计划实施前，朱一明先生持有兆易创新科技集团股份有限公司（以 下简称“公司”）股份 45,758,013 股，约占公司当时总股本（701,102,451 股）的 6.53%；朱一明先生与其一致行动人香港赢富得有限公司合计持有公司股份 58,811,513 股，约占公司当时总股本的 8.39%。  减持计划的实施结果情况 2026 年 4 月 8 日，公司披露了《兆易创新股东减持股份计划公告》（公告 编号：2026-029），朱一明先生拟通过集中竞价交易和大宗交易方式减持公司股 份不超过 1,121 万股，约占公司当时总股本的 1.60%，减持期间为 2026 年 4 月 30 日至 2026 年 7 月 29 日。 2026 年 7 月 29 日，公司收到朱一明先生出具的《股份减持结果告知函》， 朱一明先生在 2026 年 5 月 6 日至 6 月 12 日期间内，通过集中竞价和大宗交易 方式合计减持公司股份 11,110,637 股，约占公司目前总股本（701,745,034 股） 的 1.58%，2026 年 6 月 12 日后未再实施减持。 本次减持计划…</x:v>
      </x:c>
      <x:c r="N156" s="51" t="str">
        <x:v>0-无关</x:v>
      </x:c>
      <x:c r="O156" s="51" t="str">
        <x:v>否</x:v>
      </x:c>
      <x:c r="P156" s="71" t="str">
        <x:v>《兆易创新股东减持股份结果公告》（第1页）内容为“1 证券代码：603986 证券简称：兆易创新 公告编号：2026-065 兆易创新科技集团股份有限公司 股东减持股份结果公告 本公司董事会、全体董事及相…”，属于治理、证券程序或其他非核心事项，不能帮助判断“研发投入能否支持MCU与存储产品持续升级”，故判0级。</x:v>
      </x:c>
      <x:c r="Q156" s="51" t="str">
        <x:v>FIN-R01</x:v>
      </x:c>
      <x:c r="R156" s="202" t="n">
        <x:v>46260.92880688657</x:v>
      </x:c>
    </x:row>
    <x:row r="157" ht="72" customHeight="1">
      <x:c r="A157" s="50" t="str">
        <x:v>V4-R-Q020-C03</x:v>
      </x:c>
      <x:c r="B157" s="50" t="str">
        <x:v>V4-E-Q020-C03</x:v>
      </x:c>
      <x:c r="C157" s="50" t="str">
        <x:v>V4-Q020</x:v>
      </x:c>
      <x:c r="D157" s="49" t="str">
        <x:v>兆易创新</x:v>
      </x:c>
      <x:c r="E157" s="50" t="str">
        <x:v>603986</x:v>
      </x:c>
      <x:c r="F157" s="81" t="n">
        <x:v>46260.75</x:v>
      </x:c>
      <x:c r="G157" s="65" t="str">
        <x:v>研发投入能否支持MCU与存储产品持续升级</x:v>
      </x:c>
      <x:c r="H157" s="50" t="str">
        <x:v>DOC-EVT-603986-00193</x:v>
      </x:c>
      <x:c r="I157" s="65" t="str">
        <x:v>候选人声明与承诺-钱鹤</x:v>
      </x:c>
      <x:c r="J157" s="81" t="n">
        <x:v>45624</x:v>
      </x:c>
      <x:c r="K157" s="87" t="str">
        <x:v>http://static.cninfo.com.cn/finalpage/2024-11-28/1221864789.PDF</x:v>
      </x:c>
      <x:c r="L157" s="49" t="str">
        <x:v>第1页</x:v>
      </x:c>
      <x:c r="M157" s="65" t="str">
        <x:v>兆易创新科技集团股份有限公司 独立董事候选人声明与承诺 本人 钱鹤 ，已充分了解并同意由提名人 兆易创新科技集团股份有限公司 董事会 提名为兆易创新科技集团股份有限公司第五届董事会独立董事候选人。 本人公开声明，本人具备独立董事任职资格，保证不存在任何影响本人担任兆易 创新科技集团股份有限公司独立董事独立性的关系，具体声明并承诺如下： 一、本人具备上市公司运作的基本知识，熟悉相关法律、行政法规、部门规 章及其他规范性文件，具有5 年以上法律、经济、会计、财务、管理或者其他履 行独立董事职责所必需的工作经验。 本人已经参加培训并取得证券交易所认可的相关培训证明材料。 二、 本人任职资格符合下列法律、 行政法规和部门规章以及公司规章的要求： （一） 《中华人民共和国公司法》关于董事任职资格的规定； （二） 《中华人民共和国公务员法》关于公务员兼任职务的规定（如适用） ； （三）中国证监会《上市公司独立董事管理办法》 、上海证券交易所自律监 管规则以及公司章程有关独立董事任职资格和条件的相关规定； （四）中共中央纪委、中共中央组织部《关于规范中管干部辞去公职或者退 （离） 休后担任上市公司、 基金管理公司独立董事、 独立监事的通知》的规定（如 适用）； （五）中共中央组织部《关于进一步规范党政领导干部在企业兼职（任职） 问题的意见》的相关规定（如适用） ； （六）中共中央纪委、教育部、监察部《关于加强高等学校反腐倡廉建设的 意见》的相关规定（如适用） ；</x:v>
      </x:c>
      <x:c r="N157" s="51" t="str">
        <x:v>0-无关</x:v>
      </x:c>
      <x:c r="O157" s="51" t="str">
        <x:v>否</x:v>
      </x:c>
      <x:c r="P157" s="71" t="str">
        <x:v>《候选人声明与承诺-钱鹤》（第1页）内容为“兆易创新科技集团股份有限公司 独立董事候选人声明与承诺 本人 钱鹤 ，已充分了解并同意由提名人 兆易创新科技集团股份有限公司 董事会 提名为兆易创新科技集…”，属于治理、证券程序或其他非核心事项，不能帮助判断“研发投入能否支持MCU与存储产品持续升级”，故判0级。</x:v>
      </x:c>
      <x:c r="Q157" s="51" t="str">
        <x:v>FIN-R01</x:v>
      </x:c>
      <x:c r="R157" s="202" t="n">
        <x:v>46260.92880688657</x:v>
      </x:c>
    </x:row>
    <x:row r="158" ht="72" customHeight="1">
      <x:c r="A158" s="50" t="str">
        <x:v>V4-R-Q020-C08</x:v>
      </x:c>
      <x:c r="B158" s="50" t="str">
        <x:v>V4-E-Q020-C08</x:v>
      </x:c>
      <x:c r="C158" s="50" t="str">
        <x:v>V4-Q020</x:v>
      </x:c>
      <x:c r="D158" s="49" t="str">
        <x:v>兆易创新</x:v>
      </x:c>
      <x:c r="E158" s="50" t="str">
        <x:v>603986</x:v>
      </x:c>
      <x:c r="F158" s="81" t="n">
        <x:v>46260.75</x:v>
      </x:c>
      <x:c r="G158" s="65" t="str">
        <x:v>研发投入能否支持MCU与存储产品持续升级</x:v>
      </x:c>
      <x:c r="H158" s="50" t="str">
        <x:v>DOC-EVT-603986-00291</x:v>
      </x:c>
      <x:c r="I158" s="65" t="str">
        <x:v>兆易创新董事会战略与可持续发展委员会工作细则</x:v>
      </x:c>
      <x:c r="J158" s="81" t="n">
        <x:v>45798</x:v>
      </x:c>
      <x:c r="K158" s="87" t="str">
        <x:v>http://static.cninfo.com.cn/finalpage/2025-05-21/1223606698.PDF</x:v>
      </x:c>
      <x:c r="L158" s="49" t="str">
        <x:v>第1页</x:v>
      </x:c>
      <x:c r="M158" s="65" t="str">
        <x:v>1 兆易创新科技集团股份有限公司 董事会战略与可持续发展委员会工作细则 第一章 总则 第一条 为了适应公司战略发展需要，提升企业核心竞争力，健全战略规划的决策程序，完善 公司治理结构，规范公司环境、社会及公司治理（ESG）工作，以持续提升公司ESG 表现，实现公司的可持续发展目标，根据《中华人民共和国公司法》《上市公司治理 准则》以及《兆易创新科技集团股份有限公司章程》（下称《公司章程》）及其他有 关法律法规及规范性文件的规定，公司董事会特设立战略与可持续发展委员会，并制 定本工作规则（下称本细则）。 第二条 战略与可持续发展委员会是董事会内部设立的专门工作机构，对董事会负责，主要负 责对公司长期发展战略、重大投资决策、可持续发展和ESG工作等进行研究并提出建 议。 ESG 工作指定期或不定期评估公司的运营管理对利益相关方的影响，探讨可持续发展 所带来之风险和机遇，并采取相应管理措施。 第二章 人员组成 第三条 战略与可持续发展委员会委员由3名董事组成。 第四条 战略与可持续发展委员会委员由董事长或者二分之一以上独立董事或者全体董事的三 分之一以上提名，并由董事会选举产生。 第五条 战略与可持续发展委员会设主任委员一名，负责召集、主持委员会工作。主任委员不 能履行职务或不履行职务的，由战略与可持续发展委员会委员选举一名委员代为履行 职务，无法选举时，由董事会重新选举主任委员。</x:v>
      </x:c>
      <x:c r="N158" s="51" t="str">
        <x:v>0-无关</x:v>
      </x:c>
      <x:c r="O158" s="51" t="str">
        <x:v>否</x:v>
      </x:c>
      <x:c r="P158" s="71" t="str">
        <x:v>《兆易创新董事会战略与可持续发展委员会工作细则》（第1页）内容为“1 兆易创新科技集团股份有限公司 董事会战略与可持续发展委员会工作细则 第一章 总则 第一条 为了适应公司战略发展需要，提升企业核心竞争力，健全战略规划的…”，属于治理、证券程序或其他非核心事项，不能帮助判断“研发投入能否支持MCU与存储产品持续升级”，故判0级。</x:v>
      </x:c>
      <x:c r="Q158" s="51" t="str">
        <x:v>FIN-R01</x:v>
      </x:c>
      <x:c r="R158" s="202" t="n">
        <x:v>46260.92880688657</x:v>
      </x:c>
    </x:row>
    <x:row r="159" ht="72" customHeight="1">
      <x:c r="A159" s="50" t="str">
        <x:v>V4-R-Q020-C05</x:v>
      </x:c>
      <x:c r="B159" s="50" t="str">
        <x:v>V4-E-Q020-C05</x:v>
      </x:c>
      <x:c r="C159" s="50" t="str">
        <x:v>V4-Q020</x:v>
      </x:c>
      <x:c r="D159" s="49" t="str">
        <x:v>兆易创新</x:v>
      </x:c>
      <x:c r="E159" s="50" t="str">
        <x:v>603986</x:v>
      </x:c>
      <x:c r="F159" s="81" t="n">
        <x:v>46260.75</x:v>
      </x:c>
      <x:c r="G159" s="65" t="str">
        <x:v>研发投入能否支持MCU与存储产品持续升级</x:v>
      </x:c>
      <x:c r="H159" s="50" t="str">
        <x:v>DOC-EVT-603986-00195</x:v>
      </x:c>
      <x:c r="I159" s="65" t="str">
        <x:v>提名人声明与承诺-钱鹤</x:v>
      </x:c>
      <x:c r="J159" s="81" t="n">
        <x:v>45624</x:v>
      </x:c>
      <x:c r="K159" s="87" t="str">
        <x:v>http://static.cninfo.com.cn/finalpage/2024-11-28/1221864792.PDF</x:v>
      </x:c>
      <x:c r="L159" s="49" t="str">
        <x:v>第1页</x:v>
      </x:c>
      <x:c r="M159" s="65" t="str">
        <x:v>兆易创新科技集团股份有限公司 独立董事提名人声明与承诺 提名人兆易创新科技集团股份有限公司董事会， 现提名 钱鹤 为兆易创新科 技集团股份有限公司第五届董事会独立董事候选人，并已充分了解被提名人职 业、学历、职称、详细的工作经历、全部兼职、有无重大失信等不良记录等情况。 被提名人已同意出任兆易创新科技集团 股份有限公司第五届董事会独立董事候 选人（参见该独立董事候选人声明） 。提名人认为，被提名人具备独立董事任职 资格，与兆易创新科技集团股份有限公司之间不存在任何影响其独立性的关系， 具体声明并承诺如下： 一、被提名人具备上市公司运作的基本知识，熟悉相关法律、行政法规、规 章及其他规范性文件，具有5 年以上法律、经济、会计、财务、管理或者其他履 行独立董事职责所必需的工作经验。 被提名人已经参加培训并取得证券交易所认可的相关培训证明材料。 二、被提名人任职资格符合下列法律、行政法规和部门规章的要求： （一） 《中华人民共和国公司法》关于董事任职资格的规定； （二） 《中华人民共和国公务员法》关于公务员兼任职务的规定（如适用） ； （三）中国证监会《上市公司独立董事管理办法》 、上海证券交易所自律监 管规则以及公司章程有关独立董事任职资格和条件的相关规定； （四）中共中央纪委、中共中央组织部《关于规范中管干部辞去公职或者退 （离） 休后担任上市公司、 基金管理公司独立董事、 独立监事的通知》 的规定 （如 适用） ； （五）中共中央组织部《关于进一步规范党政领导干部在企业兼职…</x:v>
      </x:c>
      <x:c r="N159" s="51" t="str">
        <x:v>0-无关</x:v>
      </x:c>
      <x:c r="O159" s="51" t="str">
        <x:v>否</x:v>
      </x:c>
      <x:c r="P159" s="71" t="str">
        <x:v>《提名人声明与承诺-钱鹤》（第1页）内容为“兆易创新科技集团股份有限公司 独立董事提名人声明与承诺 提名人兆易创新科技集团股份有限公司董事会， 现提名 钱鹤 为兆易创新科 技集团股份有限公司第五届董…”，属于治理、证券程序或其他非核心事项，不能帮助判断“研发投入能否支持MCU与存储产品持续升级”，故判0级。</x:v>
      </x:c>
      <x:c r="Q159" s="51" t="str">
        <x:v>FIN-R01</x:v>
      </x:c>
      <x:c r="R159" s="202" t="n">
        <x:v>46260.92880688657</x:v>
      </x:c>
    </x:row>
    <x:row r="160" ht="72" customHeight="1">
      <x:c r="A160" s="50" t="str">
        <x:v>V4-R-Q020-C06</x:v>
      </x:c>
      <x:c r="B160" s="50" t="str">
        <x:v>V4-E-Q020-C06</x:v>
      </x:c>
      <x:c r="C160" s="50" t="str">
        <x:v>V4-Q020</x:v>
      </x:c>
      <x:c r="D160" s="49" t="str">
        <x:v>兆易创新</x:v>
      </x:c>
      <x:c r="E160" s="50" t="str">
        <x:v>603986</x:v>
      </x:c>
      <x:c r="F160" s="81" t="n">
        <x:v>46260.75</x:v>
      </x:c>
      <x:c r="G160" s="65" t="str">
        <x:v>研发投入能否支持MCU与存储产品持续升级</x:v>
      </x:c>
      <x:c r="H160" s="50" t="str">
        <x:v>DOC-EVT-603986-00468</x:v>
      </x:c>
      <x:c r="I160" s="65" t="str">
        <x:v>兆易创新2026年第一季度报告</x:v>
      </x:c>
      <x:c r="J160" s="81" t="n">
        <x:v>46142</x:v>
      </x:c>
      <x:c r="K160" s="87" t="str">
        <x:v>http://static.cninfo.com.cn/finalpage/2026-04-30/1225257883.PDF</x:v>
      </x:c>
      <x:c r="L160" s="49" t="str">
        <x:v>第3页</x:v>
      </x:c>
      <x:c r="M160" s="65" t="str">
        <x:v>兆易创新科技集团股份有限公司2026 年第一季度报告 3 / 12 利润总额 587.93 报告期内，公司营收规模显著攀升，存储 芯片产品盈利能力大幅提升，推动公司整 体经营业绩实现大幅增长。 归属于上市公司股东的净利润 522.79 归属于上市公司股东的扣除非 经常性损益的净利润 529.90 基本每股收益（元/股） 525.71 稀释每股收益（元/股） 522.86 经营活动产生的现金流量净额 430.91 报告期内，公司营业收入显著增长，销售 回款与采购支出净额大幅增长。 归属于上市公司股东的所有者 权益 32.96 报告期内，公司完成 H 股上市募集资金到 位以及归属于上市股东净利润增加导致。 二、股东信息 (一)普通股股东总数和表决权恢复的优先股股东数量及前十名股东持股情况表 单位：股 报告期末普通股股东 总数 243,737 (A 股 243,735 名，H 股 2 名) 报告期末表决权恢复的优先股股东 总数（如有） 0 前 10 名股东持股情况（不含通过转融通出借股份） 股东名称 股东性质 持股数量 持股比 例(%) 持有有限售 条件股份数 量 质押、标 记或冻结 情况 股份 状态 数 量 朱一明 境内自然人 45,758,013 6.53 无 香港中央结算有限公 司 境外法人 41,368,518 5.90 无 HKSCC NOMINEES LIMITED 境外法人 33,253,060 4.74 14,394,300 未知 葛卫东 境外自然人 16,261…</x:v>
      </x:c>
      <x:c r="N160" s="51" t="str">
        <x:v>1-弱相关</x:v>
      </x:c>
      <x:c r="O160" s="51" t="str">
        <x:v>否</x:v>
      </x:c>
      <x:c r="P160" s="71" t="str">
        <x:v>《兆易创新2026年第一季度报告》（第3页）仅披露“兆易创新科技集团股份有限公司2026 年第一季度报告 3 / 12 利润总额 587.93 报告期内，公司营收规模显著攀升，存储 芯片产品盈利能力大幅提升…”，虽与公司经营或相邻主题有关，但不足以验证“研发投入能否支持MCU与存储产品持续升级”的关键路径，故判1级。</x:v>
      </x:c>
      <x:c r="Q160" s="51" t="str">
        <x:v>FIN-R01</x:v>
      </x:c>
      <x:c r="R160" s="202" t="n">
        <x:v>46260.92880688657</x:v>
      </x:c>
    </x:row>
    <x:row r="161" ht="72" customHeight="1">
      <x:c r="A161" s="50" t="str">
        <x:v>V4-R-Q020-C02</x:v>
      </x:c>
      <x:c r="B161" s="50" t="str">
        <x:v>V4-E-Q020-C02</x:v>
      </x:c>
      <x:c r="C161" s="50" t="str">
        <x:v>V4-Q020</x:v>
      </x:c>
      <x:c r="D161" s="49" t="str">
        <x:v>兆易创新</x:v>
      </x:c>
      <x:c r="E161" s="50" t="str">
        <x:v>603986</x:v>
      </x:c>
      <x:c r="F161" s="81" t="n">
        <x:v>46260.75</x:v>
      </x:c>
      <x:c r="G161" s="65" t="str">
        <x:v>研发投入能否支持MCU与存储产品持续升级</x:v>
      </x:c>
      <x:c r="H161" s="50" t="str">
        <x:v>DOC-EVT-603986-00026</x:v>
      </x:c>
      <x:c r="I161" s="65" t="str">
        <x:v>兆易创新关于变更持续督导保荐代表人的公告</x:v>
      </x:c>
      <x:c r="J161" s="81" t="n">
        <x:v>45324</x:v>
      </x:c>
      <x:c r="K161" s="87" t="str">
        <x:v>http://static.cninfo.com.cn/finalpage/2024-02-02/1219063841.PDF</x:v>
      </x:c>
      <x:c r="L161" s="49" t="str">
        <x:v>第1页</x:v>
      </x:c>
      <x:c r="M161" s="65" t="str">
        <x:v>1 证券代码：603986 证券简称： 兆易创新 公告编号：2024-014 兆易创新科技集团股份有限公司 关于变更持续督导保荐代表人的公告 本公司董事会及全体董事保证本公告内容不存在任何虚假记载、误导性陈 述或者重大遗漏，并对其内容的真实性、准确性和完整性承担法律责任。 兆易创新科技集团股份有限公司（以下简称 “公司” ）于1 月 31 日收到中国国 际金融股份有限公司（以下简称“中金公司” ） 《关于更换兆易创新科技集团股份有 限公司持续督导保荐代表人的函》 。 中金公司担任公司 2020 年非公开发行 A 股股票项目（以下简称“本次非公开 发行” ）的保荐机构，原委派王琨女士、姚旭东先生担任保荐代表人。截至目前，本 次非公开发行持续督导期已结束，公司尚有部分募集资金未使用完毕，保荐机构将 就公司募集资金使用情况继续履行持续督导的责任。原保荐代表人姚旭东先生因工 作变动原因，不再继续担任公司持续督导的保荐代表人。为保证持续督导工作的有 序进行，中金公司现委派高圣亮先生（简历附后）接替姚旭东先生继续担任本次非 公开发行的持续督导保荐代表人，继续对募集资金使用等剩余事项履行持续督导职 责。本次变更后，本次非公开发行的持续督导保荐代表人为王琨女士、高圣亮先生。 特此公告。 兆易创新科技集团股份有限公司董事会 2024 年 2 月 2 日</x:v>
      </x:c>
      <x:c r="N161" s="51" t="str">
        <x:v>0-无关</x:v>
      </x:c>
      <x:c r="O161" s="51" t="str">
        <x:v>否</x:v>
      </x:c>
      <x:c r="P161" s="71" t="str">
        <x:v>《兆易创新关于变更持续督导保荐代表人的公告》（第1页）内容为“1 证券代码：603986 证券简称： 兆易创新 公告编号：2024-014 兆易创新科技集团股份有限公司 关于变更持续督导保荐代表人的公告 本公司董事会…”，属于治理、证券程序或其他非核心事项，不能帮助判断“研发投入能否支持MCU与存储产品持续升级”，故判0级。</x:v>
      </x:c>
      <x:c r="Q161" s="51" t="str">
        <x:v>FIN-R01</x:v>
      </x:c>
      <x:c r="R161" s="202" t="n">
        <x:v>46260.92880688657</x:v>
      </x:c>
    </x:row>
    <x:row r="162" ht="72" customHeight="1">
      <x:c r="A162" s="50" t="str">
        <x:v>V4-R-Q021-C06</x:v>
      </x:c>
      <x:c r="B162" s="50" t="str">
        <x:v>V4-E-Q021-C06</x:v>
      </x:c>
      <x:c r="C162" s="50" t="str">
        <x:v>V4-Q021</x:v>
      </x:c>
      <x:c r="D162" s="49" t="str">
        <x:v>恒瑞医药</x:v>
      </x:c>
      <x:c r="E162" s="50" t="str">
        <x:v>600276</x:v>
      </x:c>
      <x:c r="F162" s="81" t="n">
        <x:v>46260.75</x:v>
      </x:c>
      <x:c r="G162" s="65" t="str">
        <x:v>创新药获批数量增长能否转化为销售放量</x:v>
      </x:c>
      <x:c r="H162" s="50" t="str">
        <x:v>DOC-EVT-600276-00619</x:v>
      </x:c>
      <x:c r="I162" s="65" t="str">
        <x:v>恒瑞医药2026年第一季度报告</x:v>
      </x:c>
      <x:c r="J162" s="81" t="n">
        <x:v>46135</x:v>
      </x:c>
      <x:c r="K162" s="87" t="str">
        <x:v>http://static.cninfo.com.cn/finalpage/2026-04-23/1225145521.PDF</x:v>
      </x:c>
      <x:c r="L162" s="49" t="str">
        <x:v>第5页</x:v>
      </x:c>
      <x:c r="M162" s="65" t="str">
        <x:v>江苏恒瑞医药股份有限公司2026 年第一季度报告 5 / 11 销售收入的 73.20%。非肿瘤产品收入 12.13 亿元，同比增长 92.13%，占整体创新药销售收入的 26.80%。随着新产品及新适应症的持续获批，以及已纳入医保的创新药逐步准入进院，公司将力 争全年创新药销售收入实现超过 30%的增长。 （二）对外许可业务收入持续确认 创新药对外许可业务报告期内确认收入 7.87 亿元，主要系 GSK 根据履约义务的完成进度确 认的收入。 （三）仿制药销售收入有所下滑 受国家及地方集采、公司战略性资源投入收缩等因素影响，报告期内公司仿制药销售收入有 所下滑。随着创新药销售收入持续增长，仿制药销售收入在总销售收入的占比将逐步降低，公司 收入结构进一步优化，创新驱动的发展格局更加稳固。 二、报告期内研发进展 （一）新药和新适应症获批方面，3 项创新成果获批，分别为： （1）公司自主研发的 1 类创新药、全球首款获批上市的抗 PD-L1/TGF-βRII 双特异性抗体融 合蛋白瑞拉芙普α注射液获批上市，联合氟尿嘧啶类和铂类药物用于经充分验证的检测评估 PD- L1 阳性（CPS≥1）的局部晚期不可切除、复发或转移性胃及胃食管结合部腺癌的一线治疗。 （2）公司自主研发的 HER2 ADC、1类创新药注射用瑞康曲妥珠单抗新增适应症：本品适用于 治疗既往接受过一种或一种以上抗HER2药物治疗的局部晚期或转移性HER2阳性成人乳腺癌患者。 这是瑞康曲妥珠单抗获批上市的第 2 项适应症…</x:v>
      </x:c>
      <x:c r="N162" s="51" t="str">
        <x:v>3-直接相关</x:v>
      </x:c>
      <x:c r="O162" s="51" t="str">
        <x:v>是</x:v>
      </x:c>
      <x:c r="P162" s="71" t="str">
        <x:v>《恒瑞医药2026年第一季度报告》（第5页）直接披露“江苏恒瑞医药股份有限公司2026 年第一季度报告 5 / 11 销售收入的 73.20%。非肿瘤产品收入 12.13 亿元，同比增长 92.13%，占整体…”，与“创新药获批数量增长能否转化为销售放量”的核心变量或结果同口径，可直接用于判断，故判3级。</x:v>
      </x:c>
      <x:c r="Q162" s="51" t="str">
        <x:v>FIN-R01</x:v>
      </x:c>
      <x:c r="R162" s="202" t="n">
        <x:v>46260.92880688657</x:v>
      </x:c>
    </x:row>
    <x:row r="163" ht="72" customHeight="1">
      <x:c r="A163" s="50" t="str">
        <x:v>V4-R-Q021-C05</x:v>
      </x:c>
      <x:c r="B163" s="50" t="str">
        <x:v>V4-E-Q021-C05</x:v>
      </x:c>
      <x:c r="C163" s="50" t="str">
        <x:v>V4-Q021</x:v>
      </x:c>
      <x:c r="D163" s="49" t="str">
        <x:v>恒瑞医药</x:v>
      </x:c>
      <x:c r="E163" s="50" t="str">
        <x:v>600276</x:v>
      </x:c>
      <x:c r="F163" s="81" t="n">
        <x:v>46260.75</x:v>
      </x:c>
      <x:c r="G163" s="65" t="str">
        <x:v>创新药获批数量增长能否转化为销售放量</x:v>
      </x:c>
      <x:c r="H163" s="50" t="str">
        <x:v>DOC-EVT-600276-00165</x:v>
      </x:c>
      <x:c r="I163" s="65" t="str">
        <x:v>恒瑞医药关于重新提交注射用卡瑞利珠单抗的生物制品许可申请获FDA受理的提示性公告</x:v>
      </x:c>
      <x:c r="J163" s="81" t="n">
        <x:v>45581</x:v>
      </x:c>
      <x:c r="K163" s="87" t="str">
        <x:v>http://static.cninfo.com.cn/finalpage/2024-10-16/1221394810.PDF</x:v>
      </x:c>
      <x:c r="L163" s="49" t="str">
        <x:v>第1页</x:v>
      </x:c>
      <x:c r="M163" s="65" t="str">
        <x:v>证券代码：600276 证券简称：恒瑞医药 公告编号：临 2024-125 江苏恒瑞医药股份有限公司 关于重新提交注射用卡瑞利珠单抗的生物制品 许可申请获 FDA 受理的提示性公告 本公司董事会及全体董事保证本公告内容不存在任何虚假记载、 误导性陈述 或者重大遗漏，并对其内容的真实性、准确性和完整性承担法律责任。 近日，江苏恒瑞医药股份有限公司（以下简称“公司”）收到美国食品药品 监督管理局（以下简称“FDA”）的《确认函》，公司重新提交的注射用卡瑞利 珠单抗联合甲磺酸阿帕替尼片用于不可切除或转移性肝细胞癌患者的一线治疗 的生物制品许可申请（Biologics License Application，以下简称“BLA”）获 得FDA 受理。根据《处方药用户付费法案（PDUFA）》,FDA 对注射用卡瑞利珠单 抗的目标审评日期为 2025 年 3 月 23 日。现将相关情况公告如下： 一、药品的基本情况 药品名称：注射用卡瑞利珠单抗 剂型：注射剂 申请人：江苏恒瑞医药股份有限公司 拟定适应症（或功能主治）：本品联合甲磺酸阿帕替尼片用于不可切除或转 移性肝细胞癌患者的一线治疗。 二、药品的临床试验情况 2018 年 12 月，注射用卡瑞利珠单抗联合甲磺酸阿帕替尼片一线治疗肝细胞 癌的国际多中心Ⅲ期临床试验（研究编号：SHR-1210-Ⅲ-310）获准在美国开展。 2021 年 4 月，注射用卡瑞利珠单抗用于治疗肝细胞癌适应症获得 FDA 授予的孤 儿药资格认定。2022 年二季…</x:v>
      </x:c>
      <x:c r="N163" s="51" t="str">
        <x:v>2-间接相关</x:v>
      </x:c>
      <x:c r="O163" s="51" t="str">
        <x:v>是</x:v>
      </x:c>
      <x:c r="P163" s="71" t="str">
        <x:v>《恒瑞医药关于重新提交注射用卡瑞利珠单抗的生物制品许可申请获FDA受…》（第1页）披露“证券代码：600276 证券简称：恒瑞医药 公告编号：临 2024-125 江苏恒瑞医药股份有限公司 关于重新提交注射用卡瑞利珠单抗的生物制品 许可申请获…”，可建立公告事项到“创新药获批数量增长能否转化为销售放量”的一阶业务传导链；但未直接给出最终结果，故判2级。</x:v>
      </x:c>
      <x:c r="Q163" s="51" t="str">
        <x:v>FIN-R01</x:v>
      </x:c>
      <x:c r="R163" s="202" t="n">
        <x:v>46260.92880688657</x:v>
      </x:c>
    </x:row>
    <x:row r="164" ht="72" customHeight="1">
      <x:c r="A164" s="50" t="str">
        <x:v>V4-R-Q021-C02</x:v>
      </x:c>
      <x:c r="B164" s="50" t="str">
        <x:v>V4-E-Q021-C02</x:v>
      </x:c>
      <x:c r="C164" s="50" t="str">
        <x:v>V4-Q021</x:v>
      </x:c>
      <x:c r="D164" s="49" t="str">
        <x:v>恒瑞医药</x:v>
      </x:c>
      <x:c r="E164" s="50" t="str">
        <x:v>600276</x:v>
      </x:c>
      <x:c r="F164" s="81" t="n">
        <x:v>46260.75</x:v>
      </x:c>
      <x:c r="G164" s="65" t="str">
        <x:v>创新药获批数量增长能否转化为销售放量</x:v>
      </x:c>
      <x:c r="H164" s="50" t="str">
        <x:v>DOC-EVT-600276-00341</x:v>
      </x:c>
      <x:c r="I164" s="65" t="str">
        <x:v>恒瑞医药关于悉数行使超额配售权、稳定价格行动及稳定价格期结束的公告</x:v>
      </x:c>
      <x:c r="J164" s="81" t="n">
        <x:v>45828</x:v>
      </x:c>
      <x:c r="K164" s="87" t="str">
        <x:v>http://static.cninfo.com.cn/finalpage/2025-06-20/1223935483.pdf</x:v>
      </x:c>
      <x:c r="L164" s="49" t="str">
        <x:v>第1页</x:v>
      </x:c>
      <x:c r="M164" s="65" t="str">
        <x:v>证券代码：600276 证券简称：恒瑞医药 公告编号：临 2025-093 江苏恒瑞医药股份有限公司 关于悉数行使超额配售权、稳定价格行动 及稳定价格期结束的公告 本公司董事会及全体董事保证本公告内容不存在任何虚假记载、误导性陈述或 者重大遗漏，并对其内容的真实性、准确性和完整性承担法律责任。 一、悉数行使超额配售权 经香港联合交易所有限公司（以下简称“香港联交所”）批准，江苏恒瑞医药 股份有限公司（以下简称“公司”）发行的 224,519,800 股（行使超额配售权之前） 境外上市外资股（H 股）已于 2025 年 5 月 23 日在香港联交所主板挂牌并上市交易 （以下简称“本次发行”）。公司 H 股股票中文简称为“恒瑞醫藥”，英文简称为 “HENGRUI PHARMA”，股份代号为“1276”，具体详见公司于 2025 年 5 月 24 日在 上海证券交易所网站（www.sse.com.cn）披露的《关于境外上市外资股（H 股）挂 牌并上市交易的公告》（公告编号：临 2025-083）。 根据本次发行方案，公司同意由整体协调人（代表国际承销商）于 2025 年 6 月 19 日悉数行使超额配售权，按发售价每股 H 股股份 44.05 港元发行 33,677,800 股H 股股份。前述超额配售权悉数行使后，本次发行的 H 股由 224,519,800 股增加 至258,197,600 股。香港联交所已批准上述超额配售股份上市及买卖，预计该等超 额配售股份将于 2025 年…</x:v>
      </x:c>
      <x:c r="N164" s="51" t="str">
        <x:v>0-无关</x:v>
      </x:c>
      <x:c r="O164" s="51" t="str">
        <x:v>否</x:v>
      </x:c>
      <x:c r="P164" s="71" t="str">
        <x:v>《恒瑞医药关于悉数行使超额配售权、稳定价格行动及稳定价格期结束的公告》（第1页）内容为“证券代码：600276 证券简称：恒瑞医药 公告编号：临 2025-093 江苏恒瑞医药股份有限公司 关于悉数行使超额配售权、稳定价格行动 及稳定价格期结…”，属于治理、证券程序或其他非核心事项，不能帮助判断“创新药获批数量增长能否转化为销售放量”，故判0级。</x:v>
      </x:c>
      <x:c r="Q164" s="51" t="str">
        <x:v>FIN-R01</x:v>
      </x:c>
      <x:c r="R164" s="202" t="n">
        <x:v>46260.92880688657</x:v>
      </x:c>
    </x:row>
    <x:row r="165" ht="72" customHeight="1">
      <x:c r="A165" s="50" t="str">
        <x:v>V4-R-Q021-C07</x:v>
      </x:c>
      <x:c r="B165" s="50" t="str">
        <x:v>V4-E-Q021-C07</x:v>
      </x:c>
      <x:c r="C165" s="50" t="str">
        <x:v>V4-Q021</x:v>
      </x:c>
      <x:c r="D165" s="49" t="str">
        <x:v>恒瑞医药</x:v>
      </x:c>
      <x:c r="E165" s="50" t="str">
        <x:v>600276</x:v>
      </x:c>
      <x:c r="F165" s="81" t="n">
        <x:v>46260.75</x:v>
      </x:c>
      <x:c r="G165" s="65" t="str">
        <x:v>创新药获批数量增长能否转化为销售放量</x:v>
      </x:c>
      <x:c r="H165" s="50" t="str">
        <x:v>DOC-EVT-600276-00579</x:v>
      </x:c>
      <x:c r="I165" s="65" t="str">
        <x:v>恒瑞医药2025年年度报告摘要</x:v>
      </x:c>
      <x:c r="J165" s="81" t="n">
        <x:v>46107</x:v>
      </x:c>
      <x:c r="K165" s="87" t="str">
        <x:v>http://static.cninfo.com.cn/finalpage/2026-03-26/1225032582.PDF</x:v>
      </x:c>
      <x:c r="L165" s="49" t="str">
        <x:v>第3页</x:v>
      </x:c>
      <x:c r="M165" s="65" t="str">
        <x:v>江苏恒瑞医药股份有限公司2025 年年度报告摘要 性新兴产业，医药行业具有弱周期性、高投入、高风险、高技术壁垒、严监管等特点。随着我国经济 持续增长，人民生活水平不断提高，人口老龄化问题日益突出，医疗保健需求不断增长，加上医疗卫 生体制改革不断深化，医药行业近年来取得了快速发展。与此同时，国内医药产业发展环境和竞争形 势依然错综复杂，医药研发、医疗保障等政策持续调整，药品集中带量采购步入常态化与制度化，市 场竞争同质化现象较为突出，医药行业发展挑战依然严峻。 （二）行业政策情况 2025 年是“十四五”规划收官之年，也是将全面深化改革推向纵深的关键之年。国家从宏观战略 层面强调加快建设现代化产业体系，推动科技创新和产业创新融合发展。作为关系国计民生和国家安 全的战略性新兴产业，生物医药产业受到中央及地方政府的高度重视。继 2024 年国务院常务会议审议 通过《全链条支持创新药发展实施方案》后，国家继续密集出台一系列医药行业支持政策，多维度激 发医药创新活力，以创新与改革引领医药产业高质量发展。2025 年 1 月，国务院办公厅发布《关于全 面深化药品医疗器械监管改革促进医药产业高质量发展的意见》，提出通过完善审评审批机制、加强 知识产权保护、积极支持创新药推广使用等措施，从制度设计上鼓励和激发药品创新，为产业发展提 供透明、稳定、可预期的政策环境，并明确通过多种措施努力缩短审评审批时限，进一步加快创新药 品上市进程。2025 年 3 月，全国两会发布《政府工作报告》明确提出…</x:v>
      </x:c>
      <x:c r="N165" s="51" t="str">
        <x:v>1-弱相关</x:v>
      </x:c>
      <x:c r="O165" s="51" t="str">
        <x:v>否</x:v>
      </x:c>
      <x:c r="P165" s="71" t="str">
        <x:v>《恒瑞医药2025年年度报告摘要》（第3页）仅披露“江苏恒瑞医药股份有限公司2025 年年度报告摘要 性新兴产业，医药行业具有弱周期性、高投入、高风险、高技术壁垒、严监管等特点。随着我国经济 持续增长，人民…”，虽与公司经营或相邻主题有关，但不足以验证“创新药获批数量增长能否转化为销售放量”的关键路径，故判1级。</x:v>
      </x:c>
      <x:c r="Q165" s="51" t="str">
        <x:v>FIN-R01</x:v>
      </x:c>
      <x:c r="R165" s="202" t="n">
        <x:v>46260.92880688657</x:v>
      </x:c>
    </x:row>
    <x:row r="166" ht="72" customHeight="1">
      <x:c r="A166" s="50" t="str">
        <x:v>V4-R-Q021-C01</x:v>
      </x:c>
      <x:c r="B166" s="50" t="str">
        <x:v>V4-E-Q021-C01</x:v>
      </x:c>
      <x:c r="C166" s="50" t="str">
        <x:v>V4-Q021</x:v>
      </x:c>
      <x:c r="D166" s="49" t="str">
        <x:v>恒瑞医药</x:v>
      </x:c>
      <x:c r="E166" s="50" t="str">
        <x:v>600276</x:v>
      </x:c>
      <x:c r="F166" s="81" t="n">
        <x:v>46260.75</x:v>
      </x:c>
      <x:c r="G166" s="65" t="str">
        <x:v>创新药获批数量增长能否转化为销售放量</x:v>
      </x:c>
      <x:c r="H166" s="50" t="str">
        <x:v>DOC-EVT-600276-00535</x:v>
      </x:c>
      <x:c r="I166" s="65" t="str">
        <x:v>恒瑞医药关于重新提交注射用卡瑞利珠单抗的生物制品许可申请获FDA受理的提示性公告</x:v>
      </x:c>
      <x:c r="J166" s="81" t="n">
        <x:v>46056</x:v>
      </x:c>
      <x:c r="K166" s="87" t="str">
        <x:v>http://static.cninfo.com.cn/finalpage/2026-02-03/1224961787.PDF</x:v>
      </x:c>
      <x:c r="L166" s="49" t="str">
        <x:v>第1页</x:v>
      </x:c>
      <x:c r="M166" s="65" t="str">
        <x:v>证券代码：600276 证券简称：恒瑞医药 公告编号：临 2026-018 江苏恒瑞医药股份有限公司 关于重新提交注射用卡瑞利珠单抗的生物制品 许可申请获 FDA 受理的提示性公告 本公司董事会及全体董事保证本公告内容不存在任何虚假记载、误导性陈述 或者重大遗漏，并对其内容的真实性、准确性和完整性承担法律责任。 近日，江苏恒瑞医药股份有限公司（以下简称“公司”）收到美国食品药品 监督管理局（以下简称“FDA”）的《确认函》，公司重新提交的注射用卡瑞利 珠单抗联合甲磺酸阿帕替尼片用于不可切除或转移性肝细胞癌患者的一线治疗 的生物制品许可申请（Biologics License Application，以下简称“BLA”）获 得 FDA 受理。根据《处方药用户付费法案（PDUFA）》，FDA 对注射用卡瑞利珠 单抗的目标审评日期为 2026 年 7 月 23 日。现将相关情况公告如下： 一、药品的基本情况 药品名称：注射用卡瑞利珠单抗 剂型：注射剂 申请人：江苏恒瑞医药股份有限公司 拟定适应症（或功能主治）：本品联合甲磺酸阿帕替尼片用于不可切除或转 移性肝细胞癌患者的一线治疗。 二、药品的临床试验情况 2018 年 12 月，注射用卡瑞利珠单抗联合甲磺酸阿帕替尼片一线治疗肝细胞 癌的国际多中心Ⅲ期临床试验（研究编号：SHR-1210-Ⅲ-310）获准在美国开展。 2021 年 4 月，注射用卡瑞利珠单抗用于治疗肝细胞癌适应症获得 FDA 授予的孤 儿药资格认定。2022 年二季…</x:v>
      </x:c>
      <x:c r="N166" s="51" t="str">
        <x:v>2-间接相关</x:v>
      </x:c>
      <x:c r="O166" s="51" t="str">
        <x:v>是</x:v>
      </x:c>
      <x:c r="P166" s="71" t="str">
        <x:v>《恒瑞医药关于重新提交注射用卡瑞利珠单抗的生物制品许可申请获FDA受…》（第1页）披露“证券代码：600276 证券简称：恒瑞医药 公告编号：临 2026-018 江苏恒瑞医药股份有限公司 关于重新提交注射用卡瑞利珠单抗的生物制品 许可申请获…”，可建立公告事项到“创新药获批数量增长能否转化为销售放量”的一阶业务传导链；但未直接给出最终结果，故判2级。</x:v>
      </x:c>
      <x:c r="Q166" s="51" t="str">
        <x:v>FIN-R01</x:v>
      </x:c>
      <x:c r="R166" s="202" t="n">
        <x:v>46260.92880688657</x:v>
      </x:c>
    </x:row>
    <x:row r="167" ht="72" customHeight="1">
      <x:c r="A167" s="50" t="str">
        <x:v>V4-R-Q021-C03</x:v>
      </x:c>
      <x:c r="B167" s="50" t="str">
        <x:v>V4-E-Q021-C03</x:v>
      </x:c>
      <x:c r="C167" s="50" t="str">
        <x:v>V4-Q021</x:v>
      </x:c>
      <x:c r="D167" s="49" t="str">
        <x:v>恒瑞医药</x:v>
      </x:c>
      <x:c r="E167" s="50" t="str">
        <x:v>600276</x:v>
      </x:c>
      <x:c r="F167" s="81" t="n">
        <x:v>46260.75</x:v>
      </x:c>
      <x:c r="G167" s="65" t="str">
        <x:v>创新药获批数量增长能否转化为销售放量</x:v>
      </x:c>
      <x:c r="H167" s="50" t="str">
        <x:v>DOC-EVT-600276-00010</x:v>
      </x:c>
      <x:c r="I167" s="65" t="str">
        <x:v>恒瑞医药关于关于子公司产品他克莫司缓释胶囊获得美国FDA批准的公告</x:v>
      </x:c>
      <x:c r="J167" s="81" t="n">
        <x:v>45321</x:v>
      </x:c>
      <x:c r="K167" s="87" t="str">
        <x:v>http://static.cninfo.com.cn/finalpage/2024-01-30/1219026480.PDF</x:v>
      </x:c>
      <x:c r="L167" s="49" t="str">
        <x:v>第1页</x:v>
      </x:c>
      <x:c r="M167" s="65" t="str">
        <x:v>1. 娄月芬 , 刘皋林 . 他克莫司缓释胶囊药物动力学特征及其临床意义 [J]. 世界临床药物 , 2015(11):5 2. 张逸凡 , 陈笑艳 ,等. 比较他克莫司缓释制剂与普通制剂在中国肾移植患者的药代动力学 [J]. 中国临床药 理学杂志 , 2011, 27(009): 696 -700 证券代码：600276 证券简称：恒瑞医药 公告编号：临 2024-010 江苏恒瑞医药股份有限公司 关于子公司产品他克莫司缓释胶囊 获得美国 FDA 批准的公告 本公司董事会及全体董事保证本公告内容不存在任何虚假记载、 误导性陈述 或者重大遗漏，并对其内容的真实性、准确性和完整性承担法律责任。 近日，江苏恒瑞医药股份有限公司（以下简称“公司”）子公司成都盛迪医 药有限公司收到美国食品药品监督管理局（以下简称“FDA”）通知，公司向美 国FDA 申报的他克莫司缓释胶囊简略新药申请（ANDA，即美国仿制药申请）已获 得批准，该品种是美国 FDA 批准上市的首仿药，也是国内首仿产品。现将相关情 况公告如下： 一、药品的基本情况 药品名称：他克莫司缓释胶囊 剂 型：胶囊剂 规 格：0.5mg、1mg、5mg 申请 人：成都盛迪医药有限公司 ANDA 号：215012 二、药品的其他情况 经体内和体外实验证实，他克莫司是一种强效的免疫抑制剂，能够抑制造成 移植排斥反应之细胞毒淋巴细胞的生成、T 细胞活化及 T 辅助细胞依赖型 B 细胞 的增殖、淋巴因子的生成（如白细胞介素2、白细胞介素…</x:v>
      </x:c>
      <x:c r="N167" s="51" t="str">
        <x:v>1-弱相关</x:v>
      </x:c>
      <x:c r="O167" s="51" t="str">
        <x:v>否</x:v>
      </x:c>
      <x:c r="P167" s="71" t="str">
        <x:v>《恒瑞医药关于关于子公司产品他克莫司缓释胶囊获得美国FDA批准的公告》（第1页）仅披露“1. 娄月芬 , 刘皋林 . 他克莫司缓释胶囊药物动力学特征及其临床意义 [J]. 世界临床药物 , 2015(11):5 2. 张逸凡 , 陈笑艳 ,等…”，虽与公司经营或相邻主题有关，但不足以验证“创新药获批数量增长能否转化为销售放量”的关键路径，故判1级。</x:v>
      </x:c>
      <x:c r="Q167" s="51" t="str">
        <x:v>FIN-R01</x:v>
      </x:c>
      <x:c r="R167" s="202" t="n">
        <x:v>46260.92880688657</x:v>
      </x:c>
    </x:row>
    <x:row r="168" ht="72" customHeight="1">
      <x:c r="A168" s="50" t="str">
        <x:v>V4-R-Q021-C08</x:v>
      </x:c>
      <x:c r="B168" s="50" t="str">
        <x:v>V4-E-Q021-C08</x:v>
      </x:c>
      <x:c r="C168" s="50" t="str">
        <x:v>V4-Q021</x:v>
      </x:c>
      <x:c r="D168" s="49" t="str">
        <x:v>恒瑞医药</x:v>
      </x:c>
      <x:c r="E168" s="50" t="str">
        <x:v>600276</x:v>
      </x:c>
      <x:c r="F168" s="81" t="n">
        <x:v>46260.75</x:v>
      </x:c>
      <x:c r="G168" s="65" t="str">
        <x:v>创新药获批数量增长能否转化为销售放量</x:v>
      </x:c>
      <x:c r="H168" s="50" t="str">
        <x:v>DOC-EVT-600276-00694</x:v>
      </x:c>
      <x:c r="I168" s="65" t="str">
        <x:v>H股公告-董事会会议通告</x:v>
      </x:c>
      <x:c r="J168" s="81" t="n">
        <x:v>46241</x:v>
      </x:c>
      <x:c r="K168" s="87" t="str">
        <x:v>http://static.cninfo.com.cn/finalpage/2026-08-07/1225461691.PDF</x:v>
      </x:c>
      <x:c r="L168" s="49" t="str">
        <x:v>第1页</x:v>
      </x:c>
      <x:c r="M168" s="65" t="str">
        <x:v>׌ ΪԱ፠ ዄ΂Оப΂f Jiangsu Hengrui Pharmaceuticals Co., Ltd. ʮ̡ ʮ̡ ΅˾໮j1276 ໨ԫึึᙄஷѓ ʮ̡  ͉ʮ̡໨ ԫ ึ໨ԫึбd໨ԫึึ ׵2026 ϋ8˜19ڝ ᙮ʮ̡࿚Ї 2026 ϋ6˜30ࢹٰ νϞ f ໨ԫึն ʮ̡ ڗ ᙗ౮΋͛ ʕ਷ɪऎ 2026 ϋ8˜6˚ ܼi)΋͛eඹ᣻ɾ ̻΋͛i(ii)ੂБ໨ԫெᓉ๫ɾɻiʿ (iii) ΋͛f</x:v>
      </x:c>
      <x:c r="N168" s="51" t="str">
        <x:v>0-无关</x:v>
      </x:c>
      <x:c r="O168" s="51" t="str">
        <x:v>否</x:v>
      </x:c>
      <x:c r="P168" s="71" t="str">
        <x:v>《H股公告-董事会会议通告》（第1页）内容为“׌ ΪԱ፠ ዄ΂Оப΂f Jiangsu Hengrui Pharmaceuticals Co., Ltd. ʮ̡ ʮ̡ ΅˾໮j1276 ໨ԫึึᙄ…”，属于治理、证券程序或其他非核心事项，不能帮助判断“创新药获批数量增长能否转化为销售放量”，故判0级。</x:v>
      </x:c>
      <x:c r="Q168" s="51" t="str">
        <x:v>FIN-R01</x:v>
      </x:c>
      <x:c r="R168" s="202" t="n">
        <x:v>46260.92880688657</x:v>
      </x:c>
    </x:row>
    <x:row r="169" ht="72" customHeight="1">
      <x:c r="A169" s="50" t="str">
        <x:v>V4-R-Q021-C04</x:v>
      </x:c>
      <x:c r="B169" s="50" t="str">
        <x:v>V4-E-Q021-C04</x:v>
      </x:c>
      <x:c r="C169" s="50" t="str">
        <x:v>V4-Q021</x:v>
      </x:c>
      <x:c r="D169" s="49" t="str">
        <x:v>恒瑞医药</x:v>
      </x:c>
      <x:c r="E169" s="50" t="str">
        <x:v>600276</x:v>
      </x:c>
      <x:c r="F169" s="81" t="n">
        <x:v>46260.75</x:v>
      </x:c>
      <x:c r="G169" s="65" t="str">
        <x:v>创新药获批数量增长能否转化为销售放量</x:v>
      </x:c>
      <x:c r="H169" s="50" t="str">
        <x:v>DOC-EVT-600276-00185</x:v>
      </x:c>
      <x:c r="I169" s="65" t="str">
        <x:v>恒瑞医药关于聘请H股发行并上市的审计机构的公告</x:v>
      </x:c>
      <x:c r="J169" s="81" t="n">
        <x:v>45636</x:v>
      </x:c>
      <x:c r="K169" s="87" t="str">
        <x:v>http://static.cninfo.com.cn/finalpage/2024-12-10/1221966302.PDF</x:v>
      </x:c>
      <x:c r="L169" s="49" t="str">
        <x:v>第1页</x:v>
      </x:c>
      <x:c r="M169" s="65" t="str">
        <x:v>证券代码：600276 证券简称：恒瑞医药 公告编号：临 2024-146 江苏恒瑞医药股份有限公司 关于聘请 H 股发行并上市的审计机构的公告 本公司董事会及全体董事保证本公告内容不存在任何虚假记载、 误导性陈述 或者重大遗漏，并对其内容的真实性、准确性和完整性承担法律责任。 2024 年 12 月 9 日，江苏恒瑞医药股份有限公司（以下简称“公司”）召开 第九届董事会第十二次会议及第九届监事会第九次会议，分别审议通过了《关于 公司聘请 H 股发行并上市的审计机构的议案》，同意公司聘请安永会计师事务所 为公司发行H 股股票并在香港联合交易所有限公司主板上市（以下简称“本次发 行并上市”）的审计机构。 一、拟聘会计师事务所事项的情况说明 鉴于公司已启动本次发行并上市事宜， 考虑到安永会计师事务所在 H 股发行 并上市项目方面拥有较为丰富的财务审计经验，经过综合考量和审慎评估，公司 董事会决定聘请安永会计师事务所为本次发行并上市的审计机构。 该事项尚需提 交公司股东会审议。 二、拟聘会计师事务所的基本信息 1、基本信息 安永会计师事务所为一家根据香港法律设立的合伙制事务所， 由其合伙人全 资拥有，自 1976 年起在香港提供审计、税务和咨询等专业服务，为众多香港上 市公司提供审计服务，包括银行、保险、证券等金融机构。安永会计师事务所自 成立之日起即为安永全球网络的成员， 与安永华明会计师事务所 （特殊普通合伙） 一样是独立的法律实体。 2、投资者保护能力 自 2019 年 1…</x:v>
      </x:c>
      <x:c r="N169" s="51" t="str">
        <x:v>0-无关</x:v>
      </x:c>
      <x:c r="O169" s="51" t="str">
        <x:v>否</x:v>
      </x:c>
      <x:c r="P169" s="71" t="str">
        <x:v>《恒瑞医药关于聘请H股发行并上市的审计机构的公告》（第1页）内容为“证券代码：600276 证券简称：恒瑞医药 公告编号：临 2024-146 江苏恒瑞医药股份有限公司 关于聘请 H 股发行并上市的审计机构的公告 本公司董…”，属于治理、证券程序或其他非核心事项，不能帮助判断“创新药获批数量增长能否转化为销售放量”，故判0级。</x:v>
      </x:c>
      <x:c r="Q169" s="51" t="str">
        <x:v>FIN-R01</x:v>
      </x:c>
      <x:c r="R169" s="202" t="n">
        <x:v>46260.92880688657</x:v>
      </x:c>
    </x:row>
    <x:row r="170" ht="72" customHeight="1">
      <x:c r="A170" s="50" t="str">
        <x:v>V4-R-Q022-C04</x:v>
      </x:c>
      <x:c r="B170" s="50" t="str">
        <x:v>V4-E-Q022-C04</x:v>
      </x:c>
      <x:c r="C170" s="50" t="str">
        <x:v>V4-Q022</x:v>
      </x:c>
      <x:c r="D170" s="49" t="str">
        <x:v>恒瑞医药</x:v>
      </x:c>
      <x:c r="E170" s="50" t="str">
        <x:v>600276</x:v>
      </x:c>
      <x:c r="F170" s="81" t="n">
        <x:v>46260.75</x:v>
      </x:c>
      <x:c r="G170" s="65" t="str">
        <x:v>对外许可交易收入是否具备持续性</x:v>
      </x:c>
      <x:c r="H170" s="50" t="str">
        <x:v>DOC-EVT-600276-00330</x:v>
      </x:c>
      <x:c r="I170" s="65" t="str">
        <x:v>恒瑞医药关于境外上市外资股（H股）挂牌并上市交易的公告</x:v>
      </x:c>
      <x:c r="J170" s="81" t="n">
        <x:v>45801</x:v>
      </x:c>
      <x:c r="K170" s="87" t="str">
        <x:v>http://static.cninfo.com.cn/finalpage/2025-05-24/1223644390.PDF</x:v>
      </x:c>
      <x:c r="L170" s="49" t="str">
        <x:v>第1页</x:v>
      </x:c>
      <x:c r="M170" s="65" t="str">
        <x:v>证券代码：600276 证券简称：恒瑞医药 公告编号：临2025-083 江苏恒瑞医药股份有限公司 关于境外上市外资股（H股）挂牌并上市交易的公告 本公司董事会及全体董事保证本公告内容不存在任何虚假记载、误导性陈述 或者重大遗漏，并对其内容的真实性、准确性和完整性承担法律责任。 江苏恒瑞医药股份有限公司（以下简称“公司”）正在进行发行境外上市外 资股（“H股”）股票并在香港联合交易所有限公司（以下简称“香港联交所”） 主板挂牌上市（以下简称“本次发行上市”）的相关工作。 公司本次全球发售H股总数为224,519,800股（行使超额配售权之前），其中， 香港公开发售48,271,800股，约占全球发售总数的21.5%（行使超额配售权之前）； 国际发售176,248,000股，约占全球发售总数的78.5%（行使超额配售权之前）。 根据每股H股发售价44.05港元计算，经扣除全球发售相关承销佣金及其他估计费 用后，并假设超额配售权未获行使，公司将收取的全球发售所得款项净额估计约 为97.47亿港元。 经香港联交所批准，公司本次发行的224,519,800股H股股票（行使超额配售 权之前）于2025年5月23日在香港联交所主板挂牌并上市交易。公司H股股票中文 简称为“恒瑞醫藥”，英文简称为“HENGRUI PHARMA”，股份代号为“1276”。 本次发行上市完成后，公司的股份变动情况如下： 股东类别 本次发行上市前 1 本次发行上市后 假设超额配售权未获行使 假设超额配售权悉数行…</x:v>
      </x:c>
      <x:c r="N170" s="51" t="str">
        <x:v>0-无关</x:v>
      </x:c>
      <x:c r="O170" s="51" t="str">
        <x:v>否</x:v>
      </x:c>
      <x:c r="P170" s="71" t="str">
        <x:v>《恒瑞医药关于境外上市外资股（H股）挂牌并上市交易的公告》（第1页）内容为“证券代码：600276 证券简称：恒瑞医药 公告编号：临2025-083 江苏恒瑞医药股份有限公司 关于境外上市外资股（H股）挂牌并上市交易的公告 本公司…”，属于治理、证券程序或其他非核心事项，不能帮助判断“对外许可交易收入是否具备持续性”，故判0级。</x:v>
      </x:c>
      <x:c r="Q170" s="51" t="str">
        <x:v>FIN-R01</x:v>
      </x:c>
      <x:c r="R170" s="202" t="n">
        <x:v>46260.92880688657</x:v>
      </x:c>
    </x:row>
    <x:row r="171" ht="72" customHeight="1">
      <x:c r="A171" s="50" t="str">
        <x:v>V4-R-Q022-C03</x:v>
      </x:c>
      <x:c r="B171" s="50" t="str">
        <x:v>V4-E-Q022-C03</x:v>
      </x:c>
      <x:c r="C171" s="50" t="str">
        <x:v>V4-Q022</x:v>
      </x:c>
      <x:c r="D171" s="49" t="str">
        <x:v>恒瑞医药</x:v>
      </x:c>
      <x:c r="E171" s="50" t="str">
        <x:v>600276</x:v>
      </x:c>
      <x:c r="F171" s="81" t="n">
        <x:v>46260.75</x:v>
      </x:c>
      <x:c r="G171" s="65" t="str">
        <x:v>对外许可交易收入是否具备持续性</x:v>
      </x:c>
      <x:c r="H171" s="50" t="str">
        <x:v>DOC-EVT-600276-00625</x:v>
      </x:c>
      <x:c r="I171" s="65" t="str">
        <x:v>关联（连）交易管理办法（2026年4月修订）</x:v>
      </x:c>
      <x:c r="J171" s="81" t="n">
        <x:v>46142</x:v>
      </x:c>
      <x:c r="K171" s="87" t="str">
        <x:v>http://static.cninfo.com.cn/finalpage/2026-04-30/1225259886.PDF</x:v>
      </x:c>
      <x:c r="L171" s="49" t="str">
        <x:v>第1页</x:v>
      </x:c>
      <x:c r="M171" s="65" t="str">
        <x:v>江苏恒瑞医药股份有限公司 关联（连）交易管理办法 第一章 总则 第一条 为进一步加强江苏恒瑞医药股份有限公司(以下简称“公司”或“本公 司”)关联（连）交易管理,明确管理职责和分工,维护公司股东和债权人的合法 利益,特别是中小投资者的合法利益,保证公司与关联（连）方之间订立的关联（连） 交易合同符合公平、公正、公开的原则,根据《中华人民共和国公司法》、中国证 监会《上市公司信息披露管理办法》《上海证券交易所股票上市规则》《香港联合 交易所有限公司证券上市规则》（以下简称“《香港联交所上市规则》”）等规 范性文件以及《公司章程》等规定，特制定本办法。 第二条 公司的关联（连）交易应当定价公允、决策程序合规、信息披露规范。 公司应当积极通过资产重组、整体上市等方式减少关联（连）交易。 第三条 公司股东会、董事会应当根据监管机构的规定以及《公司章程》的有关 要求对关联（连）交易实施管理。 第二章 关联（连）人与关联（连）交易的认定 第四条 公司的关联（连）人包括（1）根据中国证监会相关规定及《上海证券交 易所股票上市规则》定义的关联（连）法人（或者其他组织）和关联（连）自然 人；和（2）根据《香港联交所上市规则》第 14A 章定义的关连人士（“关联（连） 人”）。 根据《上海证券交易所股票上市规则》，具有以下情形之一的法人（或者其 他组织），为公司的关联（连）法人（或者其他组织）： （一）直接或者间接控制上市公司的法人（或者其他组织）； （二）由前项所述法人（或者其他组织）直接或…</x:v>
      </x:c>
      <x:c r="N171" s="51" t="str">
        <x:v>0-无关</x:v>
      </x:c>
      <x:c r="O171" s="51" t="str">
        <x:v>否</x:v>
      </x:c>
      <x:c r="P171" s="71" t="str">
        <x:v>《关联（连）交易管理办法（2026年4月修订）》（第1页）内容为“江苏恒瑞医药股份有限公司 关联（连）交易管理办法 第一章 总则 第一条 为进一步加强江苏恒瑞医药股份有限公司(以下简称“公司”或“本公 司”)关联（连）交…”，属于治理、证券程序或其他非核心事项，不能帮助判断“对外许可交易收入是否具备持续性”，故判0级。</x:v>
      </x:c>
      <x:c r="Q171" s="51" t="str">
        <x:v>FIN-R01</x:v>
      </x:c>
      <x:c r="R171" s="202" t="n">
        <x:v>46260.92880688657</x:v>
      </x:c>
    </x:row>
    <x:row r="172" ht="72" customHeight="1">
      <x:c r="A172" s="50" t="str">
        <x:v>V4-R-Q022-C01</x:v>
      </x:c>
      <x:c r="B172" s="50" t="str">
        <x:v>V4-E-Q022-C01</x:v>
      </x:c>
      <x:c r="C172" s="50" t="str">
        <x:v>V4-Q022</x:v>
      </x:c>
      <x:c r="D172" s="49" t="str">
        <x:v>恒瑞医药</x:v>
      </x:c>
      <x:c r="E172" s="50" t="str">
        <x:v>600276</x:v>
      </x:c>
      <x:c r="F172" s="81" t="n">
        <x:v>46260.75</x:v>
      </x:c>
      <x:c r="G172" s="65" t="str">
        <x:v>对外许可交易收入是否具备持续性</x:v>
      </x:c>
      <x:c r="H172" s="50" t="str">
        <x:v>DOC-EVT-600276-00080</x:v>
      </x:c>
      <x:c r="I172" s="65" t="str">
        <x:v>恒瑞医药关于签署授权许可协议暨对外投资的公告</x:v>
      </x:c>
      <x:c r="J172" s="81" t="n">
        <x:v>45429</x:v>
      </x:c>
      <x:c r="K172" s="87" t="str">
        <x:v>http://static.cninfo.com.cn/finalpage/2024-05-17/1220076199.PDF</x:v>
      </x:c>
      <x:c r="L172" s="49" t="str">
        <x:v>第1页</x:v>
      </x:c>
      <x:c r="M172" s="65" t="str">
        <x:v>证券代码：600276 证券简称：恒瑞医药 公告编号：临 2024-060 江苏恒瑞医药股份有限公司 关于签署授权许可协议暨对外投资的公告 本公司董事会及全体董事保证本公告内容不存在任何虚假记载、 误导性陈述 或者重大遗漏，并对其内容的真实性、准确性和完整性承担法律责任。 重要内容提示： 1、江苏恒瑞医药股份有限公司（以下简称“恒瑞”或“公司”）将具有自主 知识产权的 GLP-1 产品组合有偿许可给 Hercules CM Newco,Inc.（以下简称 “美国 Hercules 公司”），美国 Hercules 公司将获得在除大中华区以外的 全球范围内开发、生产和商业化GLP-1 产品组合的独家权利。作为对外许可 交易对价一部分，恒瑞将取得美国 Hercules 公司 19.9%的股权，且将从美国 Hercules 公司获得 GLP-1 产品组合授权许可费。 2、根据《公司章程》有关规定，公司本次交易事项无须提交公司董事会及股 东大会审议。 3、风险提示：药品从研制、临床试验报批到投产的周期长、环节多，药品研 发及至上市容易受到一些不确定性因素的影响，最终GLP-1 产品组合能否成 功在海外获批上市存在一定风险。此外，协议中所约定的里程碑款需要满足 一定的条件，最终里程碑付款金额尚存在不确定性。敬请广大投资者谨慎决 策，注意防范投资风险。公司将按国家有关规定及时对项目后续进展情况履 行信息披露义务。 一、交易事项概述 公司将具有自主知识产权的GLP-1产品组合有偿许可给美…</x:v>
      </x:c>
      <x:c r="N172" s="51" t="str">
        <x:v>3-直接相关</x:v>
      </x:c>
      <x:c r="O172" s="51" t="str">
        <x:v>是</x:v>
      </x:c>
      <x:c r="P172" s="71" t="str">
        <x:v>《恒瑞医药关于签署授权许可协议暨对外投资的公告》（第1页）直接披露“证券代码：600276 证券简称：恒瑞医药 公告编号：临 2024-060 江苏恒瑞医药股份有限公司 关于签署授权许可协议暨对外投资的公告 本公司董事会及…”，与“对外许可交易收入是否具备持续性”的核心变量或结果同口径，可直接用于判断，故判3级。</x:v>
      </x:c>
      <x:c r="Q172" s="51" t="str">
        <x:v>FIN-R01</x:v>
      </x:c>
      <x:c r="R172" s="202" t="n">
        <x:v>46260.92880688657</x:v>
      </x:c>
    </x:row>
    <x:row r="173" ht="72" customHeight="1">
      <x:c r="A173" s="50" t="str">
        <x:v>V4-R-Q022-C06</x:v>
      </x:c>
      <x:c r="B173" s="50" t="str">
        <x:v>V4-E-Q022-C06</x:v>
      </x:c>
      <x:c r="C173" s="50" t="str">
        <x:v>V4-Q022</x:v>
      </x:c>
      <x:c r="D173" s="49" t="str">
        <x:v>恒瑞医药</x:v>
      </x:c>
      <x:c r="E173" s="50" t="str">
        <x:v>600276</x:v>
      </x:c>
      <x:c r="F173" s="81" t="n">
        <x:v>46260.75</x:v>
      </x:c>
      <x:c r="G173" s="65" t="str">
        <x:v>对外许可交易收入是否具备持续性</x:v>
      </x:c>
      <x:c r="H173" s="50" t="str">
        <x:v>DOC-EVT-600276-00619</x:v>
      </x:c>
      <x:c r="I173" s="65" t="str">
        <x:v>恒瑞医药2026年第一季度报告</x:v>
      </x:c>
      <x:c r="J173" s="81" t="n">
        <x:v>46135</x:v>
      </x:c>
      <x:c r="K173" s="87" t="str">
        <x:v>http://static.cninfo.com.cn/finalpage/2026-04-23/1225145521.PDF</x:v>
      </x:c>
      <x:c r="L173" s="49" t="str">
        <x:v>第5页</x:v>
      </x:c>
      <x:c r="M173" s="65" t="str">
        <x:v>江苏恒瑞医药股份有限公司2026 年第一季度报告 5 / 11 销售收入的 73.20%。非肿瘤产品收入 12.13 亿元，同比增长 92.13%，占整体创新药销售收入的 26.80%。随着新产品及新适应症的持续获批，以及已纳入医保的创新药逐步准入进院，公司将力 争全年创新药销售收入实现超过 30%的增长。 （二）对外许可业务收入持续确认 创新药对外许可业务报告期内确认收入 7.87 亿元，主要系 GSK 根据履约义务的完成进度确 认的收入。 （三）仿制药销售收入有所下滑 受国家及地方集采、公司战略性资源投入收缩等因素影响，报告期内公司仿制药销售收入有 所下滑。随着创新药销售收入持续增长，仿制药销售收入在总销售收入的占比将逐步降低，公司 收入结构进一步优化，创新驱动的发展格局更加稳固。 二、报告期内研发进展 （一）新药和新适应症获批方面，3 项创新成果获批，分别为： （1）公司自主研发的 1 类创新药、全球首款获批上市的抗 PD-L1/TGF-βRII 双特异性抗体融 合蛋白瑞拉芙普α注射液获批上市，联合氟尿嘧啶类和铂类药物用于经充分验证的检测评估 PD- L1 阳性（CPS≥1）的局部晚期不可切除、复发或转移性胃及胃食管结合部腺癌的一线治疗。 （2）公司自主研发的 HER2 ADC、1类创新药注射用瑞康曲妥珠单抗新增适应症：本品适用于 治疗既往接受过一种或一种以上抗HER2药物治疗的局部晚期或转移性HER2阳性成人乳腺癌患者。 这是瑞康曲妥珠单抗获批上市的第 2 项适应症…</x:v>
      </x:c>
      <x:c r="N173" s="51" t="str">
        <x:v>3-直接相关</x:v>
      </x:c>
      <x:c r="O173" s="51" t="str">
        <x:v>是</x:v>
      </x:c>
      <x:c r="P173" s="71" t="str">
        <x:v>《恒瑞医药2026年第一季度报告》（第5页）直接披露“江苏恒瑞医药股份有限公司2026 年第一季度报告 5 / 11 销售收入的 73.20%。非肿瘤产品收入 12.13 亿元，同比增长 92.13%，占整体…”，与“对外许可交易收入是否具备持续性”的核心变量或结果同口径，可直接用于判断，故判3级。</x:v>
      </x:c>
      <x:c r="Q173" s="51" t="str">
        <x:v>FIN-R01</x:v>
      </x:c>
      <x:c r="R173" s="202" t="n">
        <x:v>46260.92880688657</x:v>
      </x:c>
    </x:row>
    <x:row r="174" ht="72" customHeight="1">
      <x:c r="A174" s="50" t="str">
        <x:v>V4-R-Q022-C08</x:v>
      </x:c>
      <x:c r="B174" s="50" t="str">
        <x:v>V4-E-Q022-C08</x:v>
      </x:c>
      <x:c r="C174" s="50" t="str">
        <x:v>V4-Q022</x:v>
      </x:c>
      <x:c r="D174" s="49" t="str">
        <x:v>恒瑞医药</x:v>
      </x:c>
      <x:c r="E174" s="50" t="str">
        <x:v>600276</x:v>
      </x:c>
      <x:c r="F174" s="81" t="n">
        <x:v>46260.75</x:v>
      </x:c>
      <x:c r="G174" s="65" t="str">
        <x:v>对外许可交易收入是否具备持续性</x:v>
      </x:c>
      <x:c r="H174" s="50" t="str">
        <x:v>DOC-EVT-600276-00505</x:v>
      </x:c>
      <x:c r="I174" s="65" t="str">
        <x:v>恒瑞医药关于关联交易的公告</x:v>
      </x:c>
      <x:c r="J174" s="81" t="n">
        <x:v>46020</x:v>
      </x:c>
      <x:c r="K174" s="87" t="str">
        <x:v>http://static.cninfo.com.cn/finalpage/2025-12-29/1224902749.PDF</x:v>
      </x:c>
      <x:c r="L174" s="49" t="str">
        <x:v>第1页</x:v>
      </x:c>
      <x:c r="M174" s="65" t="str">
        <x:v>证券代码：600276 证券简称：恒瑞医药 公告编号：临 2025-210 江苏恒瑞医药股份有限公司 关于关联交易的公告 本公司董事会及全体董事保证本公告内容不存在任何虚假记载、误导性陈述 或者重大遗漏，并对其内容的真实性、准确性和完整性承担法律责任。 重要内容提示： 1、江苏恒瑞医药股份有限公司（以下简称“公司”）与翰森制药集团有限公 司（以下简称“翰森制药”）签署《独家许可协议》，将公司 SHR6508 项目有偿 许可给翰森制药；公司子公司成都盛迪医药有限公司（以下简称“成都盛迪”） 与翰森制药子公司江苏豪森药业集团有限公司（以下简称“豪森药业”）签署《商 业化服务框架协议》，委托豪森药业为公司帕立骨化醇软胶囊产品提供非独家商 业化服务。 2、上述两项交易已经公司独立董事专门会议、第九届董事会第二十二次会 议及第九届监事会第十五次会议审议通过，无须提交公司股东会审议。 3、过去 12 个月内，除已提交公司董事会审议通过的日常关联交易外，公司 未与翰森制药及其子公司发生其他关联交易。 4、公司不会因上述关联交易对关联方形成依赖。 公司及子公司分别与翰森制药及其子公司签署《独家许可协议》及《商业化 服务框架协议》，现将相关情况说明如下： 一、关联交易概述 （一）独家许可协议 SHR6508 是一种新型钙敏感受体变构调节剂，拟用于治疗需接受血液透析 的慢性肾脏病成年患者的继发性甲状旁腺功能亢进症，目前正在进行Ⅲ期临床试 验研究。钙敏感受体通过释放控制血液钙水平的甲状旁腺激素（…</x:v>
      </x:c>
      <x:c r="N174" s="51" t="str">
        <x:v>3-直接相关</x:v>
      </x:c>
      <x:c r="O174" s="51" t="str">
        <x:v>是</x:v>
      </x:c>
      <x:c r="P174" s="71" t="str">
        <x:v>《恒瑞医药关于关联交易的公告》（第1页）直接披露“证券代码：600276 证券简称：恒瑞医药 公告编号：临 2025-210 江苏恒瑞医药股份有限公司 关于关联交易的公告 本公司董事会及全体董事保证本公告…”，与“对外许可交易收入是否具备持续性”的核心变量或结果同口径，可直接用于判断，故判3级。</x:v>
      </x:c>
      <x:c r="Q174" s="51" t="str">
        <x:v>FIN-R01</x:v>
      </x:c>
      <x:c r="R174" s="202" t="n">
        <x:v>46260.92880688657</x:v>
      </x:c>
    </x:row>
    <x:row r="175" ht="72" customHeight="1">
      <x:c r="A175" s="50" t="str">
        <x:v>V4-R-Q022-C05</x:v>
      </x:c>
      <x:c r="B175" s="50" t="str">
        <x:v>V4-E-Q022-C05</x:v>
      </x:c>
      <x:c r="C175" s="50" t="str">
        <x:v>V4-Q022</x:v>
      </x:c>
      <x:c r="D175" s="49" t="str">
        <x:v>恒瑞医药</x:v>
      </x:c>
      <x:c r="E175" s="50" t="str">
        <x:v>600276</x:v>
      </x:c>
      <x:c r="F175" s="81" t="n">
        <x:v>46260.75</x:v>
      </x:c>
      <x:c r="G175" s="65" t="str">
        <x:v>对外许可交易收入是否具备持续性</x:v>
      </x:c>
      <x:c r="H175" s="50" t="str">
        <x:v>DOC-EVT-600276-00085</x:v>
      </x:c>
      <x:c r="I175" s="65" t="str">
        <x:v>恒瑞医药关于以集中竞价交易方式回购股份的回购报告书</x:v>
      </x:c>
      <x:c r="J175" s="81" t="n">
        <x:v>45434</x:v>
      </x:c>
      <x:c r="K175" s="87" t="str">
        <x:v>http://static.cninfo.com.cn/finalpage/2024-05-22/1220121914.PDF</x:v>
      </x:c>
      <x:c r="L175" s="49" t="str">
        <x:v>第1页</x:v>
      </x:c>
      <x:c r="M175" s="65" t="str">
        <x:v>证券代码：600276 证券简称：恒瑞医药 公告编号：临 2024-063 江苏恒瑞医药股份有限公司 关于以集中竞价交易方式回购股份的回购报告书 本公司董事会及全体董事保证本公告内容不存在任何虚假记载、误导性陈述 或者重大遗漏，并对其内容的真实性、准确性和完整性依法承担法律责任。 重要内容提示： ● 回购股份金额：本次回购拟使用资金总额为不低于人民币 6 亿元，不超过人民 币12 亿元； ● 回购股份资金来源：江苏恒瑞医药股份有限公司（以下简称“公司” ）自有资 金； ● 回购股份用途：本次回购的股份拟用于员工持股计划； ● 回购股份价格：回购价格不超过人民币 67.38 元/股； ● 回购股份方式：采用集中竞价交易的方式从二级市场回购公司股份； ● 回购股份期限：自公司董事会审议通过回购方案之日起不超过 12 个月； ● 相关股东是否存在减持计划：根据公司对控股股东、 实际控制人、 董事、 监事、 高级管理人员的问询及其回复，截至董事会审议通过本次回购方案之日，公司控 股股东、实际控制人、董事、监事、高级管理人员在未来 3 个月、未来 6 个月暂 无减持公司股份计划。如上述主体未来拟实施股份减持计划，公司将按照法律法 规及规范性文件要求及时履行信息披露义务。 ● 相关风险提示： 1、若本次回购期限内，公司股票价格持续超出回购方案披露的价格区间，可 能存在本次回购方案无法实施的风险； 2、公司在实施回购股份期间，受宏观经济调控、临时经营需要等因素影响， 致使回购股份所需资金…</x:v>
      </x:c>
      <x:c r="N175" s="51" t="str">
        <x:v>0-无关</x:v>
      </x:c>
      <x:c r="O175" s="51" t="str">
        <x:v>否</x:v>
      </x:c>
      <x:c r="P175" s="71" t="str">
        <x:v>《恒瑞医药关于以集中竞价交易方式回购股份的回购报告书》（第1页）内容为“证券代码：600276 证券简称：恒瑞医药 公告编号：临 2024-063 江苏恒瑞医药股份有限公司 关于以集中竞价交易方式回购股份的回购报告书 本公司董…”，属于治理、证券程序或其他非核心事项，不能帮助判断“对外许可交易收入是否具备持续性”，故判0级。</x:v>
      </x:c>
      <x:c r="Q175" s="51" t="str">
        <x:v>FIN-R01</x:v>
      </x:c>
      <x:c r="R175" s="202" t="n">
        <x:v>46260.92880688657</x:v>
      </x:c>
    </x:row>
    <x:row r="176" ht="72" customHeight="1">
      <x:c r="A176" s="50" t="str">
        <x:v>V4-R-Q022-C02</x:v>
      </x:c>
      <x:c r="B176" s="50" t="str">
        <x:v>V4-E-Q022-C02</x:v>
      </x:c>
      <x:c r="C176" s="50" t="str">
        <x:v>V4-Q022</x:v>
      </x:c>
      <x:c r="D176" s="49" t="str">
        <x:v>恒瑞医药</x:v>
      </x:c>
      <x:c r="E176" s="50" t="str">
        <x:v>600276</x:v>
      </x:c>
      <x:c r="F176" s="81" t="n">
        <x:v>46260.75</x:v>
      </x:c>
      <x:c r="G176" s="65" t="str">
        <x:v>对外许可交易收入是否具备持续性</x:v>
      </x:c>
      <x:c r="H176" s="50" t="str">
        <x:v>DOC-EVT-600276-00195</x:v>
      </x:c>
      <x:c r="I176" s="65" t="str">
        <x:v>关联（连）交易管理办法（草案）</x:v>
      </x:c>
      <x:c r="J176" s="81" t="n">
        <x:v>45636</x:v>
      </x:c>
      <x:c r="K176" s="87" t="str">
        <x:v>http://static.cninfo.com.cn/finalpage/2024-12-10/1221966290.PDF</x:v>
      </x:c>
      <x:c r="L176" s="49" t="str">
        <x:v>第1页</x:v>
      </x:c>
      <x:c r="M176" s="65" t="str">
        <x:v>江苏恒瑞医药股份有限公司 关联（连）交易管理办法 （草案） （H 股发行上市后适用） 第一章 总则 第一条 为进一步加强江苏恒瑞医药股份有限公司 (以下简称“公司”或“本公 司”)关联（连）交易管理,明确管理职责和分工,维护公司股东和债权人的合法 利益,特别是中小投资者的合法利益,保证公司与关联 （连）方之间订立的关联 （连） 交易合同符合公平、公正、公开的原则,根据《中华人民共和国公司法》 、中国证 监会《上市公司信息披露管理办法》 《上海证券交易所股票上市规则》 《香港联合 交易所有限公司证券上市规则》 （以下简称“《香港联交所上市规则》”）等规 范性文件以及《公司章程》等规定，特制定本办法。 第二条 公司的关联（连）交易应当定价公允、决策程序合规、信息披露规范。 公司应当积极通过资产重组、整体上市等方式减少关联（连）交易。 第三条 公司股东会、董事会应当根据监管机构的规定以及《公司章程》的有关 要求对关联（连）交易实施管理。 第二章 关联（连）人与关联（连）交易的认定 第四条 公司的关联（连）人包括（1）根据中国证监会相关规定及《上海证券交 易所股票上市规则》定义的关联（连）法人（或者其他组织）和关联（连）自然 人；和（2） 根据 《香港联交所上市规则》第 14A 章定义的关连人士 （“关联 （连） 人”）。 根据《上海证券交易所股票上市规则》，具有以下情形之一的法人（或者其 他组织），为公司的关联（连）法人（或者其他组织）： （一）直接或者间接控制上市公司的法人（或…</x:v>
      </x:c>
      <x:c r="N176" s="51" t="str">
        <x:v>0-无关</x:v>
      </x:c>
      <x:c r="O176" s="51" t="str">
        <x:v>否</x:v>
      </x:c>
      <x:c r="P176" s="71" t="str">
        <x:v>《关联（连）交易管理办法（草案）》（第1页）内容为“江苏恒瑞医药股份有限公司 关联（连）交易管理办法 （草案） （H 股发行上市后适用） 第一章 总则 第一条 为进一步加强江苏恒瑞医药股份有限公司 (以下简…”，属于治理、证券程序或其他非核心事项，不能帮助判断“对外许可交易收入是否具备持续性”，故判0级。</x:v>
      </x:c>
      <x:c r="Q176" s="51" t="str">
        <x:v>FIN-R01</x:v>
      </x:c>
      <x:c r="R176" s="202" t="n">
        <x:v>46260.92880688657</x:v>
      </x:c>
    </x:row>
    <x:row r="177" ht="72" customHeight="1">
      <x:c r="A177" s="50" t="str">
        <x:v>V4-R-Q022-C07</x:v>
      </x:c>
      <x:c r="B177" s="50" t="str">
        <x:v>V4-E-Q022-C07</x:v>
      </x:c>
      <x:c r="C177" s="50" t="str">
        <x:v>V4-Q022</x:v>
      </x:c>
      <x:c r="D177" s="49" t="str">
        <x:v>恒瑞医药</x:v>
      </x:c>
      <x:c r="E177" s="50" t="str">
        <x:v>600276</x:v>
      </x:c>
      <x:c r="F177" s="81" t="n">
        <x:v>46260.75</x:v>
      </x:c>
      <x:c r="G177" s="65" t="str">
        <x:v>对外许可交易收入是否具备持续性</x:v>
      </x:c>
      <x:c r="H177" s="50" t="str">
        <x:v>DOC-EVT-600276-00579</x:v>
      </x:c>
      <x:c r="I177" s="65" t="str">
        <x:v>恒瑞医药2025年年度报告摘要</x:v>
      </x:c>
      <x:c r="J177" s="81" t="n">
        <x:v>46107</x:v>
      </x:c>
      <x:c r="K177" s="87" t="str">
        <x:v>http://static.cninfo.com.cn/finalpage/2026-03-26/1225032582.PDF</x:v>
      </x:c>
      <x:c r="L177" s="49" t="str">
        <x:v>第7页</x:v>
      </x:c>
      <x:c r="M177" s="65" t="str">
        <x:v>江苏恒瑞医药股份有限公司2025 年年度报告摘要 临床试验。一旦获得 IND 批准，公司将通过有资质的医疗机构开展临床试验。公司的职责包括设 计临床方案、确保临床试验的资金以及监督和管理试验，以确保数据质量和程序合规，并遵守 GCP 标 准。公司还在整个试验过程中监控研究产品的安全性和有效性，确保符合所有监管规定。 新药上市申请(NDA/BLA)。在成功完成临床试验并收集到足够的数据以证明药物的安全性和有效性 后，公司会向适用的监管机构（如国家药监局）提交 NDA 或 BLA。提交的材料包括临床前研究、临床 试验以及 CMC 的综合数据材料。之后，监管机构通常会对申请材料进行全面审查，其中可能包括对临 床试验场所和生产设施进行现场检查，以验证数据的完整性以及是否符合适用的 GMP 要求。 2.生产模式 为进一步提高生产系统竞争力，公司不断提升生产运营效率，加强智能化建设，持续完善并严格 执行生产管理制度及流程。 公司持续完善研、销、产、采多方沟通协调机制，提升供应链上下游协同效率，加强供应保障能 力。建立科学的计划管理体系，以研发和市场预期为导向，评估产线产能并合理规划。根据需求变化， 结合产线能力、物料及产品库存情况实时调整供应方案，提高响应速度，确保供应的及时性和高效性。 公司从认可的供应商采购原材料，从多方面制定了供应商准入政策、绩效政策及在制品供应商管 理政策，并已建立涵盖原辅包等物料接收、检验、评估、放行及分发等各个环节的全面质量管理政策， 采用数字化供应商关系管…</x:v>
      </x:c>
      <x:c r="N177" s="51" t="str">
        <x:v>1-弱相关</x:v>
      </x:c>
      <x:c r="O177" s="51" t="str">
        <x:v>否</x:v>
      </x:c>
      <x:c r="P177" s="71" t="str">
        <x:v>《恒瑞医药2025年年度报告摘要》（第7页）仅披露“江苏恒瑞医药股份有限公司2025 年年度报告摘要 临床试验。一旦获得 IND 批准，公司将通过有资质的医疗机构开展临床试验。公司的职责包括设 计临床方案、…”，虽与公司经营或相邻主题有关，但不足以验证“对外许可交易收入是否具备持续性”的关键路径，故判1级。</x:v>
      </x:c>
      <x:c r="Q177" s="51" t="str">
        <x:v>FIN-R01</x:v>
      </x:c>
      <x:c r="R177" s="202" t="n">
        <x:v>46260.92880688657</x:v>
      </x:c>
    </x:row>
    <x:row r="178" ht="72" customHeight="1">
      <x:c r="A178" s="50" t="str">
        <x:v>V4-R-Q023-C08</x:v>
      </x:c>
      <x:c r="B178" s="50" t="str">
        <x:v>V4-E-Q023-C08</x:v>
      </x:c>
      <x:c r="C178" s="50" t="str">
        <x:v>V4-Q023</x:v>
      </x:c>
      <x:c r="D178" s="49" t="str">
        <x:v>恒瑞医药</x:v>
      </x:c>
      <x:c r="E178" s="50" t="str">
        <x:v>600276</x:v>
      </x:c>
      <x:c r="F178" s="81" t="n">
        <x:v>46260.75</x:v>
      </x:c>
      <x:c r="G178" s="65" t="str">
        <x:v>创新药纳入医保后的降价与放量能否改善收入结构</x:v>
      </x:c>
      <x:c r="H178" s="50" t="str">
        <x:v>DOC-EVT-600276-00393</x:v>
      </x:c>
      <x:c r="I178" s="65" t="str">
        <x:v>恒瑞医药关于回购公司A股股份事项前十大股东及前十大无限售条件股东持股情况的公告</x:v>
      </x:c>
      <x:c r="J178" s="81" t="n">
        <x:v>45896</x:v>
      </x:c>
      <x:c r="K178" s="87" t="str">
        <x:v>http://static.cninfo.com.cn/finalpage/2025-08-27/1224581925.PDF</x:v>
      </x:c>
      <x:c r="L178" s="49" t="str">
        <x:v>第1页</x:v>
      </x:c>
      <x:c r="M178" s="65" t="str">
        <x:v>证券代码：600276 证券简称：恒瑞医药 公告编号：临 2025-131 江苏恒瑞医药股份有限公司 关于回购公司 A 股股份事项前十大股东及 前十大无限售条件股东持股情况的公告 本公司董事会及全体董事保证本公告内容不存在任何虚假记载、误导性陈 述或者重大遗漏，并对其内容的真实性、准确性和完整性承担法律责任。 江苏瑞医药股份有限公司（以下简称“公司”）于 2025 年 8 月 20 日召开 第九届董事会第十八次会议审议通过了《关于以集中竞价交易方式回购公司 A 股股份方案的议案》，同意公司使用自有资金，以集中竞价交易方式回购公司 股份用于实施 A 股员工持股计划。回购价格不超过人民币 90.85 元/股（含）， 回购资金总额不低于人民币 10 亿元且不超过 20 亿元。回购期限为自董事会审 议通过回购股份方案之日起 12 个月以内。具体内容详见公司披露于上海证券交 易所网站（www.sse.com.cn）的《关于以集中竞价交易方式回购公司 A 股股份 的回购报告书》（公告编号：临 2025-130）。 根据《上市公司股份回购规则》及《上海证券交易所上市公司自律监管指 引第 7 号——回购股份》的相关规定，现将公司董事会公告回购股份决议的前 一个交易日（2025 年 8 月 20 日）登记在册的前十大股东和前十大无限售条件 股东的名称、持股数量及持股比例情况公告如下： 1、2025 年 8 月 20 日前十大股东持股情况 序号 股东名称 持股数量（股） 占总股本比例 （%）…</x:v>
      </x:c>
      <x:c r="N178" s="51" t="str">
        <x:v>0-无关</x:v>
      </x:c>
      <x:c r="O178" s="51" t="str">
        <x:v>否</x:v>
      </x:c>
      <x:c r="P178" s="71" t="str">
        <x:v>《恒瑞医药关于回购公司A股股份事项前十大股东及前十大无限售条件股东持…》（第1页）内容为“证券代码：600276 证券简称：恒瑞医药 公告编号：临 2025-131 江苏恒瑞医药股份有限公司 关于回购公司 A 股股份事项前十大股东及 前十大无限…”，属于治理、证券程序或其他非核心事项，不能帮助判断“创新药纳入医保后的降价与放量能否改善收入结构”，故判0级。</x:v>
      </x:c>
      <x:c r="Q178" s="51" t="str">
        <x:v>FIN-R01</x:v>
      </x:c>
      <x:c r="R178" s="202" t="n">
        <x:v>46260.92880688657</x:v>
      </x:c>
    </x:row>
    <x:row r="179" ht="72" customHeight="1">
      <x:c r="A179" s="50" t="str">
        <x:v>V4-R-Q023-C01</x:v>
      </x:c>
      <x:c r="B179" s="50" t="str">
        <x:v>V4-E-Q023-C01</x:v>
      </x:c>
      <x:c r="C179" s="50" t="str">
        <x:v>V4-Q023</x:v>
      </x:c>
      <x:c r="D179" s="49" t="str">
        <x:v>恒瑞医药</x:v>
      </x:c>
      <x:c r="E179" s="50" t="str">
        <x:v>600276</x:v>
      </x:c>
      <x:c r="F179" s="81" t="n">
        <x:v>46260.75</x:v>
      </x:c>
      <x:c r="G179" s="65" t="str">
        <x:v>创新药纳入医保后的降价与放量能否改善收入结构</x:v>
      </x:c>
      <x:c r="H179" s="50" t="str">
        <x:v>DOC-EVT-600276-00178</x:v>
      </x:c>
      <x:c r="I179" s="65" t="str">
        <x:v>恒瑞医药关于公司药品纳入国家医保目录的公告</x:v>
      </x:c>
      <x:c r="J179" s="81" t="n">
        <x:v>45625</x:v>
      </x:c>
      <x:c r="K179" s="87" t="str">
        <x:v>http://static.cninfo.com.cn/finalpage/2024-11-29/1221877845.PDF</x:v>
      </x:c>
      <x:c r="L179" s="49" t="str">
        <x:v>第1页</x:v>
      </x:c>
      <x:c r="M179" s="65" t="str">
        <x:v>证券代码：600276 证券简称：恒瑞医药 公告编号：临 2024-139 江苏恒瑞医药股份有限公司 关于公司药品纳入国家医保目录的公告 本公司董事会及全体董事保证本公告内容不存在任何虚假记载、 误导性陈述 或者重大遗漏，并对其内容的真实性、准确性和完整性承担法律责任。 根据国家医保局、人力资源社会保障部关于印发《国家基本医疗保险、工伤 保险和生育保险药品目录（2024 年）》的通知（“《国家基本医疗保险、工伤保 险和生育保险药品目录》”以下简称“国家医保目录”），江苏恒瑞医药股份有 限公司（以下简称“恒瑞医药”或“公司”）部分产品纳入国家医保目录。 通过医保谈判，富马酸泰吉利定注射液、奥特康唑胶囊、恒格列净二甲双胍 缓释片(Ⅰ)(Ⅱ)首次纳入国家医保目录；氟唑帕利胶囊通过简易续约规则新增适 应症纳入国家医保目录；注射用卡瑞利珠单抗通过简易续约规则续约成功并新增 适应症纳入国家医保目录；羟乙磺酸达尔西利片、瑞维鲁胺片、普瑞巴林缓释片 通过简易续约规则续约成功保留在国家医保目录；脯氨酸恒格列净片续约成功并 新增适应症保留在国家医保目录； 昂丹司琼口溶膜续约成功保留在国家医保目录； 盐酸艾司氯胺酮注射液、盐酸右美托咪定鼻喷雾剂调整至常规目录管理。具体情 况如下： 一、 药品情况 （一）富马酸泰吉利定注射液 1.药品的基本情况 药品名称 剂型 适应症 富马酸泰吉利定注射液 注射剂 适用于治疗腹部手术后中重度疼痛。 注：富马酸泰吉利定注射液本次为首次纳入国家医保目录。 2.药品的其…</x:v>
      </x:c>
      <x:c r="N179" s="51" t="str">
        <x:v>2-间接相关</x:v>
      </x:c>
      <x:c r="O179" s="51" t="str">
        <x:v>是</x:v>
      </x:c>
      <x:c r="P179" s="71" t="str">
        <x:v>《恒瑞医药关于公司药品纳入国家医保目录的公告》（第1页）披露“证券代码：600276 证券简称：恒瑞医药 公告编号：临 2024-139 江苏恒瑞医药股份有限公司 关于公司药品纳入国家医保目录的公告 本公司董事会及全…”，可建立公告事项到“创新药纳入医保后的降价与放量能否改善收入结构”的一阶业务传导链；但未直接给出最终结果，故判2级。</x:v>
      </x:c>
      <x:c r="Q179" s="51" t="str">
        <x:v>FIN-R01</x:v>
      </x:c>
      <x:c r="R179" s="202" t="n">
        <x:v>46260.92880688657</x:v>
      </x:c>
    </x:row>
    <x:row r="180" ht="72" customHeight="1">
      <x:c r="A180" s="50" t="str">
        <x:v>V4-R-Q023-C05</x:v>
      </x:c>
      <x:c r="B180" s="50" t="str">
        <x:v>V4-E-Q023-C05</x:v>
      </x:c>
      <x:c r="C180" s="50" t="str">
        <x:v>V4-Q023</x:v>
      </x:c>
      <x:c r="D180" s="49" t="str">
        <x:v>恒瑞医药</x:v>
      </x:c>
      <x:c r="E180" s="50" t="str">
        <x:v>600276</x:v>
      </x:c>
      <x:c r="F180" s="81" t="n">
        <x:v>46260.75</x:v>
      </x:c>
      <x:c r="G180" s="65" t="str">
        <x:v>创新药纳入医保后的降价与放量能否改善收入结构</x:v>
      </x:c>
      <x:c r="H180" s="50" t="str">
        <x:v>DOC-EVT-600276-00672</x:v>
      </x:c>
      <x:c r="I180" s="65" t="str">
        <x:v>恒瑞医药关于公司主要药品纳入国家基本药物目录的公告</x:v>
      </x:c>
      <x:c r="J180" s="81" t="n">
        <x:v>46214</x:v>
      </x:c>
      <x:c r="K180" s="87" t="str">
        <x:v>http://static.cninfo.com.cn/finalpage/2026-07-11/1225418806.PDF</x:v>
      </x:c>
      <x:c r="L180" s="49" t="str">
        <x:v>第1页</x:v>
      </x:c>
      <x:c r="M180" s="65" t="str">
        <x:v>证券代码：600276 证券简称：恒瑞医药 公告编号：临 2026-098 江苏恒瑞医药股份有限公司 关于主要药品纳入国家基本药物目录的公告 本公司董事会及全体董事保证本公告内容不存在任何虚假记载、误导性陈述 或者重大遗漏，并对其内容的真实性、准确性和完整性承担法律责任。 根据国家卫生健康委员会、国家中医药管理局、国家疾病预防控制局近日 联合发布的《关于印发国家基本药物目录（2026年版）的通知》（国卫药政发 ﹝2026﹞17号），江苏恒瑞医药股份有限公司（以下简称“恒瑞医药”或“公 司”）主要药品碘佛醇注射液新增进入《国家基本药物目录（2026年版）》， 该目录自2026年9月1日起施行。具体情况如下： 一、药品基本情况 药品名称 剂型 规格 适应症 碘佛醇注射液 注射剂 100ml：32g（I） 20ml：6.4g（I） 100ml：35g（I） 1.成人整个心血管系统的血管造影， 使用范围包括脑动脉、冠状动脉、外 周动脉、内脏和肾脏动脉造影、主动 脉造影和左心室造影； 2.头部和体部 CT 增强扫描及排泄性 尿路造影； 3.一岁或以上儿童心血管造影、头部 和体部 CT 增强扫描及排泄性尿路造 影。 二、对公司的影响 公司主要药品碘佛醇注射液新增进入《国家基本药物目录(2026 年版)》，有 利于公司产品进一步覆盖各级医疗机构，更好地服务人民群众疾病防治用药需求， 但影响药品市场拓展和最终销售的因素较多，预计短期不会对公司的业绩产生重 大影响。敬请广大投资者谨慎投资，注…</x:v>
      </x:c>
      <x:c r="N180" s="51" t="str">
        <x:v>1-弱相关</x:v>
      </x:c>
      <x:c r="O180" s="51" t="str">
        <x:v>否</x:v>
      </x:c>
      <x:c r="P180" s="71" t="str">
        <x:v>《恒瑞医药关于公司主要药品纳入国家基本药物目录的公告》（第1页）仅披露“证券代码：600276 证券简称：恒瑞医药 公告编号：临 2026-098 江苏恒瑞医药股份有限公司 关于主要药品纳入国家基本药物目录的公告 本公司董事会…”，虽与公司经营或相邻主题有关，但不足以验证“创新药纳入医保后的降价与放量能否改善收入结构”的关键路径，故判1级。</x:v>
      </x:c>
      <x:c r="Q180" s="51" t="str">
        <x:v>FIN-R01</x:v>
      </x:c>
      <x:c r="R180" s="202" t="n">
        <x:v>46260.92880688657</x:v>
      </x:c>
    </x:row>
    <x:row r="181" ht="72" customHeight="1">
      <x:c r="A181" s="50" t="str">
        <x:v>V4-R-Q023-C06</x:v>
      </x:c>
      <x:c r="B181" s="50" t="str">
        <x:v>V4-E-Q023-C06</x:v>
      </x:c>
      <x:c r="C181" s="50" t="str">
        <x:v>V4-Q023</x:v>
      </x:c>
      <x:c r="D181" s="49" t="str">
        <x:v>恒瑞医药</x:v>
      </x:c>
      <x:c r="E181" s="50" t="str">
        <x:v>600276</x:v>
      </x:c>
      <x:c r="F181" s="81" t="n">
        <x:v>46260.75</x:v>
      </x:c>
      <x:c r="G181" s="65" t="str">
        <x:v>创新药纳入医保后的降价与放量能否改善收入结构</x:v>
      </x:c>
      <x:c r="H181" s="50" t="str">
        <x:v>DOC-EVT-600276-00619</x:v>
      </x:c>
      <x:c r="I181" s="65" t="str">
        <x:v>恒瑞医药2026年第一季度报告</x:v>
      </x:c>
      <x:c r="J181" s="81" t="n">
        <x:v>46135</x:v>
      </x:c>
      <x:c r="K181" s="87" t="str">
        <x:v>http://static.cninfo.com.cn/finalpage/2026-04-23/1225145521.PDF</x:v>
      </x:c>
      <x:c r="L181" s="49" t="str">
        <x:v>第5页</x:v>
      </x:c>
      <x:c r="M181" s="65" t="str">
        <x:v>江苏恒瑞医药股份有限公司2026 年第一季度报告 5 / 11 销售收入的 73.20%。非肿瘤产品收入 12.13 亿元，同比增长 92.13%，占整体创新药销售收入的 26.80%。随着新产品及新适应症的持续获批，以及已纳入医保的创新药逐步准入进院，公司将力 争全年创新药销售收入实现超过 30%的增长。 （二）对外许可业务收入持续确认 创新药对外许可业务报告期内确认收入 7.87 亿元，主要系 GSK 根据履约义务的完成进度确 认的收入。 （三）仿制药销售收入有所下滑 受国家及地方集采、公司战略性资源投入收缩等因素影响，报告期内公司仿制药销售收入有 所下滑。随着创新药销售收入持续增长，仿制药销售收入在总销售收入的占比将逐步降低，公司 收入结构进一步优化，创新驱动的发展格局更加稳固。 二、报告期内研发进展 （一）新药和新适应症获批方面，3 项创新成果获批，分别为： （1）公司自主研发的 1 类创新药、全球首款获批上市的抗 PD-L1/TGF-βRII 双特异性抗体融 合蛋白瑞拉芙普α注射液获批上市，联合氟尿嘧啶类和铂类药物用于经充分验证的检测评估 PD- L1 阳性（CPS≥1）的局部晚期不可切除、复发或转移性胃及胃食管结合部腺癌的一线治疗。 （2）公司自主研发的 HER2 ADC、1类创新药注射用瑞康曲妥珠单抗新增适应症：本品适用于 治疗既往接受过一种或一种以上抗HER2药物治疗的局部晚期或转移性HER2阳性成人乳腺癌患者。 这是瑞康曲妥珠单抗获批上市的第 2 项适应症…</x:v>
      </x:c>
      <x:c r="N181" s="51" t="str">
        <x:v>3-直接相关</x:v>
      </x:c>
      <x:c r="O181" s="51" t="str">
        <x:v>是</x:v>
      </x:c>
      <x:c r="P181" s="71" t="str">
        <x:v>《恒瑞医药2026年第一季度报告》（第5页）直接披露“江苏恒瑞医药股份有限公司2026 年第一季度报告 5 / 11 销售收入的 73.20%。非肿瘤产品收入 12.13 亿元，同比增长 92.13%，占整体…”，与“创新药纳入医保后的降价与放量能否改善收入结构”的核心变量或结果同口径，可直接用于判断，故判3级。</x:v>
      </x:c>
      <x:c r="Q181" s="51" t="str">
        <x:v>FIN-R01</x:v>
      </x:c>
      <x:c r="R181" s="202" t="n">
        <x:v>46260.92880688657</x:v>
      </x:c>
    </x:row>
    <x:row r="182" ht="72" customHeight="1">
      <x:c r="A182" s="50" t="str">
        <x:v>V4-R-Q023-C04</x:v>
      </x:c>
      <x:c r="B182" s="50" t="str">
        <x:v>V4-E-Q023-C04</x:v>
      </x:c>
      <x:c r="C182" s="50" t="str">
        <x:v>V4-Q023</x:v>
      </x:c>
      <x:c r="D182" s="49" t="str">
        <x:v>恒瑞医药</x:v>
      </x:c>
      <x:c r="E182" s="50" t="str">
        <x:v>600276</x:v>
      </x:c>
      <x:c r="F182" s="81" t="n">
        <x:v>46260.75</x:v>
      </x:c>
      <x:c r="G182" s="65" t="str">
        <x:v>创新药纳入医保后的降价与放量能否改善收入结构</x:v>
      </x:c>
      <x:c r="H182" s="50" t="str">
        <x:v>DOC-EVT-600276-00414</x:v>
      </x:c>
      <x:c r="I182" s="65" t="str">
        <x:v>恒瑞医药关于药物纳入拟突破性治疗品种公示名单的公告</x:v>
      </x:c>
      <x:c r="J182" s="81" t="n">
        <x:v>45919</x:v>
      </x:c>
      <x:c r="K182" s="87" t="str">
        <x:v>http://static.cninfo.com.cn/finalpage/2025-09-19/1224668008.PDF</x:v>
      </x:c>
      <x:c r="L182" s="49" t="str">
        <x:v>第1页</x:v>
      </x:c>
      <x:c r="M182" s="65" t="str">
        <x:v>证券代码：600276 证券简称：恒瑞医药 公告编号：临2025-149 江苏恒瑞医药股份有限公司 关于药物纳入拟突破性治疗品种公示名单的公告 本公司董事会及全体董事保证本公告内容不存在任何虚假记载、误导性陈述 或者重大遗漏，并对其内容的真实性、准确性和完整性承担法律责任。 近日,江苏恒瑞医药股份有限公司（以下简称“公司”）子公司上海恒瑞医药 有限公司的注射用SHR-1501被国家药品监督管理局药品审评中心（以下简称“药 审中心”）纳入拟突破性治疗品种公示名单，公示期7日。现将相关情况公告如下： 一、药物的基本情况 药物名称：注射用SHR-1501 受理号：CXSL2101496 药物类型：治疗用生物制品 注册分类：1类 申请日期：2025年7月23日 拟定适应症（或功能主治）：注射用SHR-1501联合卡介苗（BCG）用于BCG无 应答的非肌层浸润性原位癌（CIS）患者。 理由及依据：经审核，本申请符合《药品注册管理办法》和《国家药监局关 于发布＜突破性治疗药物审评工作程序（试行）＞等三个文件的公告》（2020年 第82号）有关要求，同意纳入突破性治疗药物程序。 二、药物的其他相关情况 SHR-1501为公司自主研发并具有知识产权的白细胞介素-15（IL-15）融合蛋 白，可以刺激体内T细胞、B细胞和NK细胞增殖，发挥调动机体免疫系统清除体内 异物（如肿瘤）的作用，其与BCG联用可明显增强膀胱内的免疫反应，达到协同抗 肿瘤的效果。与IL-2相比，IL-15不会刺激调节性T…</x:v>
      </x:c>
      <x:c r="N182" s="51" t="str">
        <x:v>1-弱相关</x:v>
      </x:c>
      <x:c r="O182" s="51" t="str">
        <x:v>否</x:v>
      </x:c>
      <x:c r="P182" s="71" t="str">
        <x:v>《恒瑞医药关于药物纳入拟突破性治疗品种公示名单的公告》（第1页）仅披露“证券代码：600276 证券简称：恒瑞医药 公告编号：临2025-149 江苏恒瑞医药股份有限公司 关于药物纳入拟突破性治疗品种公示名单的公告 本公司董事…”，虽与公司经营或相邻主题有关，但不足以验证“创新药纳入医保后的降价与放量能否改善收入结构”的关键路径，故判1级。</x:v>
      </x:c>
      <x:c r="Q182" s="51" t="str">
        <x:v>FIN-R01</x:v>
      </x:c>
      <x:c r="R182" s="202" t="n">
        <x:v>46260.92880688657</x:v>
      </x:c>
    </x:row>
    <x:row r="183" ht="72" customHeight="1">
      <x:c r="A183" s="50" t="str">
        <x:v>V4-R-Q023-C02</x:v>
      </x:c>
      <x:c r="B183" s="50" t="str">
        <x:v>V4-E-Q023-C02</x:v>
      </x:c>
      <x:c r="C183" s="50" t="str">
        <x:v>V4-Q023</x:v>
      </x:c>
      <x:c r="D183" s="49" t="str">
        <x:v>恒瑞医药</x:v>
      </x:c>
      <x:c r="E183" s="50" t="str">
        <x:v>600276</x:v>
      </x:c>
      <x:c r="F183" s="81" t="n">
        <x:v>46260.75</x:v>
      </x:c>
      <x:c r="G183" s="65" t="str">
        <x:v>创新药纳入医保后的降价与放量能否改善收入结构</x:v>
      </x:c>
      <x:c r="H183" s="50" t="str">
        <x:v>DOC-EVT-600276-00456</x:v>
      </x:c>
      <x:c r="I183" s="65" t="str">
        <x:v>恒瑞医药关于药物拟纳入优先审评程序的公告</x:v>
      </x:c>
      <x:c r="J183" s="81" t="n">
        <x:v>45965</x:v>
      </x:c>
      <x:c r="K183" s="87" t="str">
        <x:v>http://static.cninfo.com.cn/finalpage/2025-11-04/1224783321.PDF</x:v>
      </x:c>
      <x:c r="L183" s="49" t="str">
        <x:v>第1页</x:v>
      </x:c>
      <x:c r="M183" s="65" t="str">
        <x:v>证券代码：600276 证券简称：恒瑞医药 公告编号：临 2025-169 江苏恒瑞医药股份有限公司 关于药物拟纳入优先审评程序的公告 本公司董事会及全体董事保证本公告内容不存在任何虚假记载、误导性陈述 或者重大遗漏，并对其内容的真实性、准确性和完整性承担法律责任。 近日，江苏恒瑞医药股份有限公司（以下简称“公司”）子公司成都盛迪医 药有限公司的 HRS-5965 胶囊被国家药品监督管理局药品审评中心（以下简称“药 审中心”）拟纳入优先审评品种公示名单，公示期 7 日。现将相关情况公告如下： 一、药物的基本情况 药物名称：HRS-5965 胶囊 剂型：胶囊剂 申请人：成都盛迪医药有限公司 拟定适应症（或功能主治）：治疗既往未接受过补体抑制剂治疗的阵发性睡 眠性血红蛋白尿症成人患者。 拟优先审评理由：经审核，本申请符合《药品注册管理办法》和《国家药监 局关于发布&lt;突破性治疗药物审评工作程序（试行）&gt;等三个文件的公告》（2020 年第 82 号）有关要求，同意按优先审评范围“(一)临床急需的短缺药品、防治 重大传染病和罕见病等疾病的创新药和改良型新药”纳入优先审评审批程序。 二、药物的其他情况 阵发性睡眠性血红蛋白尿症（PNH）是一种后天获得性溶血性疾病，其特征 为 CD55（衰变加速因子，DAF）和 CD59（反应性溶解膜抑制物，MIRL）缺乏导致 补体介导的血管内溶血，主要临床表现为血管内溶血、潜在造血功能衰竭及血栓 形成倾向 [1] 。因其发病率/患病率低，PNH 已被纳…</x:v>
      </x:c>
      <x:c r="N183" s="51" t="str">
        <x:v>1-弱相关</x:v>
      </x:c>
      <x:c r="O183" s="51" t="str">
        <x:v>否</x:v>
      </x:c>
      <x:c r="P183" s="71" t="str">
        <x:v>《恒瑞医药关于药物拟纳入优先审评程序的公告》（第1页）仅披露“证券代码：600276 证券简称：恒瑞医药 公告编号：临 2025-169 江苏恒瑞医药股份有限公司 关于药物拟纳入优先审评程序的公告 本公司董事会及全体…”，虽与公司经营或相邻主题有关，但不足以验证“创新药纳入医保后的降价与放量能否改善收入结构”的关键路径，故判1级。</x:v>
      </x:c>
      <x:c r="Q183" s="51" t="str">
        <x:v>FIN-R01</x:v>
      </x:c>
      <x:c r="R183" s="202" t="n">
        <x:v>46260.92880688657</x:v>
      </x:c>
    </x:row>
    <x:row r="184" ht="72" customHeight="1">
      <x:c r="A184" s="50" t="str">
        <x:v>V4-R-Q023-C03</x:v>
      </x:c>
      <x:c r="B184" s="50" t="str">
        <x:v>V4-E-Q023-C03</x:v>
      </x:c>
      <x:c r="C184" s="50" t="str">
        <x:v>V4-Q023</x:v>
      </x:c>
      <x:c r="D184" s="49" t="str">
        <x:v>恒瑞医药</x:v>
      </x:c>
      <x:c r="E184" s="50" t="str">
        <x:v>600276</x:v>
      </x:c>
      <x:c r="F184" s="81" t="n">
        <x:v>46260.75</x:v>
      </x:c>
      <x:c r="G184" s="65" t="str">
        <x:v>创新药纳入医保后的降价与放量能否改善收入结构</x:v>
      </x:c>
      <x:c r="H184" s="50" t="str">
        <x:v>DOC-EVT-600276-00029</x:v>
      </x:c>
      <x:c r="I184" s="65" t="str">
        <x:v>恒瑞医药关于药品纳入突破性治疗品种的公告</x:v>
      </x:c>
      <x:c r="J184" s="81" t="n">
        <x:v>45385</x:v>
      </x:c>
      <x:c r="K184" s="87" t="str">
        <x:v>http://static.cninfo.com.cn/finalpage/2024-04-03/1219502425.PDF</x:v>
      </x:c>
      <x:c r="L184" s="49" t="str">
        <x:v>第1页</x:v>
      </x:c>
      <x:c r="M184" s="65" t="str">
        <x:v>证券代码：600276 证券简称：恒瑞医药 公告编号：临2024-029 江苏恒瑞医药股份有限公司 关于药品纳入突破性治疗品种的公告 本公司董事会及全体董事保证本公告内容不存在任何虚假记载、误导性陈述 或者重大遗漏，并对其内容的真实性、准确性和完整性承担法律责任。 近日,江苏恒瑞医药股份有限公司（以下简称“公司”） 的氟唑帕利胶囊、甲 磺酸阿帕替尼片被国家药品监督管理局药品审评中心（以下简称“药审中心”） 纳入突破性治疗品种名单。现将相关情况公告如下： 一、药品的基本情况 药品名称 氟唑帕利胶囊 甲磺酸阿帕替尼片 受理号 CXHL1900407 CXHL1900408、CXHL1900409 注册分类 化学药品1类 化学药品2.4类 申请日期 2024年2月5日 拟定适应症 （或功能主治） 氟唑帕利单药或联合阿帕替尼治疗gBRCA突变的HER2 阴性乳腺癌。 理由及依据 经审核，本申请符合《药品注册管理办法》和《国 家药监局关于发布＜突破性治疗药物审评工作程序（试 行）＞等三个文件的公告》（ 2020年第82号）有关要 求，同意纳入突破性治疗药物程序。 二、药品的已获批适应症情况 氟唑帕利胶囊已获批两个适应症，分别为： 2020年12月获批用于既往经过二 线及以上化疗的伴 有胚系BRCA突变(gBRCAm)的铂敏感复发性卵巢癌、输卵管癌或 原发性腹膜癌患者的治疗；2021年6月获批用于铂敏感的复发性上皮性卵巢癌、输 卵管癌或原发性腹膜癌成人患者在含铂化疗达到完全缓解或部分缓…</x:v>
      </x:c>
      <x:c r="N184" s="51" t="str">
        <x:v>1-弱相关</x:v>
      </x:c>
      <x:c r="O184" s="51" t="str">
        <x:v>否</x:v>
      </x:c>
      <x:c r="P184" s="71" t="str">
        <x:v>《恒瑞医药关于药品纳入突破性治疗品种的公告》（第1页）仅披露“证券代码：600276 证券简称：恒瑞医药 公告编号：临2024-029 江苏恒瑞医药股份有限公司 关于药品纳入突破性治疗品种的公告 本公司董事会及全体董…”，虽与公司经营或相邻主题有关，但不足以验证“创新药纳入医保后的降价与放量能否改善收入结构”的关键路径，故判1级。</x:v>
      </x:c>
      <x:c r="Q184" s="51" t="str">
        <x:v>FIN-R01</x:v>
      </x:c>
      <x:c r="R184" s="202" t="n">
        <x:v>46260.92880688657</x:v>
      </x:c>
    </x:row>
    <x:row r="185" ht="72" customHeight="1">
      <x:c r="A185" s="50" t="str">
        <x:v>V4-R-Q023-C07</x:v>
      </x:c>
      <x:c r="B185" s="50" t="str">
        <x:v>V4-E-Q023-C07</x:v>
      </x:c>
      <x:c r="C185" s="50" t="str">
        <x:v>V4-Q023</x:v>
      </x:c>
      <x:c r="D185" s="49" t="str">
        <x:v>恒瑞医药</x:v>
      </x:c>
      <x:c r="E185" s="50" t="str">
        <x:v>600276</x:v>
      </x:c>
      <x:c r="F185" s="81" t="n">
        <x:v>46260.75</x:v>
      </x:c>
      <x:c r="G185" s="65" t="str">
        <x:v>创新药纳入医保后的降价与放量能否改善收入结构</x:v>
      </x:c>
      <x:c r="H185" s="50" t="str">
        <x:v>DOC-EVT-600276-00579</x:v>
      </x:c>
      <x:c r="I185" s="65" t="str">
        <x:v>恒瑞医药2025年年度报告摘要</x:v>
      </x:c>
      <x:c r="J185" s="81" t="n">
        <x:v>46107</x:v>
      </x:c>
      <x:c r="K185" s="87" t="str">
        <x:v>http://static.cninfo.com.cn/finalpage/2026-03-26/1225032582.PDF</x:v>
      </x:c>
      <x:c r="L185" s="49" t="str">
        <x:v>第4页</x:v>
      </x:c>
      <x:c r="M185" s="65" t="str">
        <x:v>江苏恒瑞医药股份有限公司2025 年年度报告摘要 中 10 款产品首次进入医保，5 款产品新增适应症进入医保，5 款产品完成目录内续约，覆盖肿瘤、代 谢、心血管、自身免疫、眼科等多个疾病领域，有助于不断提升优质药物的可及性与可负担性。国家 医保局同步发布《商业健康保险创新药品目录（2025 年）》，纳入 19 种创新程度高、临床价值大、 患者获益显著且超出基本医保范围的创新药，该目录与基本医保形成互补衔接，共同建立多层次医疗 保障体系。 行业监管方面，国家卫健委等 14 部门联合印发《2025 年纠正医药购销领域和医疗服务中不正之 风工作要点》，强调通过巩固治理成效、压实主体责任、加强穿透监管和强化行业自律等持续深化医 药购销领域治理。国家市场监督管理总局发布《医药企业防范商业贿赂风险合规指引》，进一步规范 市场秩序，为企业建立健全合规体系提供具体、明晰、可操作的指导和参考。医药领域合规监管工作 的持续推进，有助于行业健康化、规范化、高质量发展，合规管理严格、产品质量过硬的企业有望在 更加良好的市场环境中稳步发展。公司将一如既往严守合规底线，加强组织建设，完善制度流程，高 标准、严要求、全方位打造合规文化，促进可持续发展。 （一）主要业务 公司的主要业务涉及药品的研发、生产和销售。公司始终坚持“以患者为中心”的初心，致力于 新药研发和推广，以解决未被满足的临床需求。 公司具有行业领先的制药全面集成平台，已前瞻性地广泛布局多个治疗领域，并向纵深发展。公 司在肿瘤领域有丰富的研…</x:v>
      </x:c>
      <x:c r="N185" s="51" t="str">
        <x:v>2-间接相关</x:v>
      </x:c>
      <x:c r="O185" s="51" t="str">
        <x:v>是</x:v>
      </x:c>
      <x:c r="P185" s="71" t="str">
        <x:v>《恒瑞医药2025年年度报告摘要》（第4页）披露“江苏恒瑞医药股份有限公司2025 年年度报告摘要 中 10 款产品首次进入医保，5 款产品新增适应症进入医保，5 款产品完成目录内续约，覆盖肿瘤、代 谢、…”，可建立公告事项到“创新药纳入医保后的降价与放量能否改善收入结构”的一阶业务传导链；但未直接给出最终结果，故判2级。</x:v>
      </x:c>
      <x:c r="Q185" s="51" t="str">
        <x:v>FIN-R01</x:v>
      </x:c>
      <x:c r="R185" s="202" t="n">
        <x:v>46260.92880688657</x:v>
      </x:c>
    </x:row>
    <x:row r="186" ht="72" customHeight="1">
      <x:c r="A186" s="50" t="str">
        <x:v>V4-R-Q024-C07</x:v>
      </x:c>
      <x:c r="B186" s="50" t="str">
        <x:v>V4-E-Q024-C07</x:v>
      </x:c>
      <x:c r="C186" s="50" t="str">
        <x:v>V4-Q024</x:v>
      </x:c>
      <x:c r="D186" s="49" t="str">
        <x:v>恒瑞医药</x:v>
      </x:c>
      <x:c r="E186" s="50" t="str">
        <x:v>600276</x:v>
      </x:c>
      <x:c r="F186" s="81" t="n">
        <x:v>46260.75</x:v>
      </x:c>
      <x:c r="G186" s="65" t="str">
        <x:v>研发投入强度能否被经营现金流稳定覆盖</x:v>
      </x:c>
      <x:c r="H186" s="50" t="str">
        <x:v>DOC-EVT-600276-00264</x:v>
      </x:c>
      <x:c r="I186" s="65" t="str">
        <x:v>恒瑞医药2024年年度报告摘要</x:v>
      </x:c>
      <x:c r="J186" s="81" t="n">
        <x:v>45747</x:v>
      </x:c>
      <x:c r="K186" s="87" t="str">
        <x:v>http://static.cninfo.com.cn/finalpage/2025-03-31/1222961969.PDF</x:v>
      </x:c>
      <x:c r="L186" s="49" t="str">
        <x:v>第7页</x:v>
      </x:c>
      <x:c r="M186" s="65" t="str">
        <x:v>江苏恒瑞医药股份有限公司 2024 年年度报告摘要 （二）经营模式 1. 研发模式 公司坚定不移地以创新为动力，坚持差异化研发策略，以临床需求为导向，历经二十多年在 新药研发领域深耕，不断优化已有研发管理体系，公司通过涵盖早研、CMC、临床前开发、转化医 学、注册、临床团队的全新电子化研发项目管理平台，覆盖药物靶点发现、分子筛选、临床产品 开发、注册以及真实世界数据呈现的研发全周期全场景智能化运筹管理，建立统一、标准化的项 目管理数字化信息平台，实行项目全流程管理。 附图 2-公司关键研发步骤图 以下为研发项目关键步骤的概述： 靶点识别和验证。在最早阶段，公司通过深入研究疾病的发病机理和靶点的作用机制，并关 注国际会议上发表的最新研究成果，探索公司认为可能为同类首创或同类最佳的靶点。公司还可 能应用先进技术来简化药物发现、分子设计、药物性质预测和优化工作。 分子发现和修饰。选定靶点后，公司在技术平台上对化合物进行测试和筛选，以选出苗头化 合物－对药物靶点显示出理想的生物活性并在再次测试时再现这种活性的化合物；先导化合物－ 在确定的化学系列中对特定治疗靶点显示出强大的药理和生物活性的化合物；以及最终的临床前 候选化合物。 临床前研究。在确定临床候选化合物后，公司会对其进行临床前研究。相关研究包括药效学 研究、药代动力学研究、药理毒理研究以及CMC研究。 IND 申请。在临床前候选化合物经过充分、全面的临床前验证并达到预定的疗效和安全性指 标后，公司将向适用的监管机构（如国家药…</x:v>
      </x:c>
      <x:c r="N186" s="51" t="str">
        <x:v>1-弱相关</x:v>
      </x:c>
      <x:c r="O186" s="51" t="str">
        <x:v>否</x:v>
      </x:c>
      <x:c r="P186" s="71" t="str">
        <x:v>《恒瑞医药2024年年度报告摘要》（第7页）仅披露“江苏恒瑞医药股份有限公司 2024 年年度报告摘要 （二）经营模式 1. 研发模式 公司坚定不移地以创新为动力，坚持差异化研发策略，以临床需求为导向，历经…”，虽与公司经营或相邻主题有关，但不足以验证“研发投入强度能否被经营现金流稳定覆盖”的关键路径，故判1级。</x:v>
      </x:c>
      <x:c r="Q186" s="51" t="str">
        <x:v>FIN-R01</x:v>
      </x:c>
      <x:c r="R186" s="202" t="n">
        <x:v>46260.92880688657</x:v>
      </x:c>
    </x:row>
    <x:row r="187" ht="72" customHeight="1">
      <x:c r="A187" s="50" t="str">
        <x:v>V4-R-Q024-C01</x:v>
      </x:c>
      <x:c r="B187" s="50" t="str">
        <x:v>V4-E-Q024-C01</x:v>
      </x:c>
      <x:c r="C187" s="50" t="str">
        <x:v>V4-Q024</x:v>
      </x:c>
      <x:c r="D187" s="49" t="str">
        <x:v>恒瑞医药</x:v>
      </x:c>
      <x:c r="E187" s="50" t="str">
        <x:v>600276</x:v>
      </x:c>
      <x:c r="F187" s="81" t="n">
        <x:v>46260.75</x:v>
      </x:c>
      <x:c r="G187" s="65" t="str">
        <x:v>研发投入强度能否被经营现金流稳定覆盖</x:v>
      </x:c>
      <x:c r="H187" s="50" t="str">
        <x:v>DOC-EVT-600276-00341</x:v>
      </x:c>
      <x:c r="I187" s="65" t="str">
        <x:v>恒瑞医药关于悉数行使超额配售权、稳定价格行动及稳定价格期结束的公告</x:v>
      </x:c>
      <x:c r="J187" s="81" t="n">
        <x:v>45828</x:v>
      </x:c>
      <x:c r="K187" s="87" t="str">
        <x:v>http://static.cninfo.com.cn/finalpage/2025-06-20/1223935483.pdf</x:v>
      </x:c>
      <x:c r="L187" s="49" t="str">
        <x:v>第1页</x:v>
      </x:c>
      <x:c r="M187" s="65" t="str">
        <x:v>证券代码：600276 证券简称：恒瑞医药 公告编号：临 2025-093 江苏恒瑞医药股份有限公司 关于悉数行使超额配售权、稳定价格行动 及稳定价格期结束的公告 本公司董事会及全体董事保证本公告内容不存在任何虚假记载、误导性陈述或 者重大遗漏，并对其内容的真实性、准确性和完整性承担法律责任。 一、悉数行使超额配售权 经香港联合交易所有限公司（以下简称“香港联交所”）批准，江苏恒瑞医药 股份有限公司（以下简称“公司”）发行的 224,519,800 股（行使超额配售权之前） 境外上市外资股（H 股）已于 2025 年 5 月 23 日在香港联交所主板挂牌并上市交易 （以下简称“本次发行”）。公司 H 股股票中文简称为“恒瑞醫藥”，英文简称为 “HENGRUI PHARMA”，股份代号为“1276”，具体详见公司于 2025 年 5 月 24 日在 上海证券交易所网站（www.sse.com.cn）披露的《关于境外上市外资股（H 股）挂 牌并上市交易的公告》（公告编号：临 2025-083）。 根据本次发行方案，公司同意由整体协调人（代表国际承销商）于 2025 年 6 月 19 日悉数行使超额配售权，按发售价每股 H 股股份 44.05 港元发行 33,677,800 股H 股股份。前述超额配售权悉数行使后，本次发行的 H 股由 224,519,800 股增加 至258,197,600 股。香港联交所已批准上述超额配售股份上市及买卖，预计该等超 额配售股份将于 2025 年…</x:v>
      </x:c>
      <x:c r="N187" s="51" t="str">
        <x:v>0-无关</x:v>
      </x:c>
      <x:c r="O187" s="51" t="str">
        <x:v>否</x:v>
      </x:c>
      <x:c r="P187" s="71" t="str">
        <x:v>《恒瑞医药关于悉数行使超额配售权、稳定价格行动及稳定价格期结束的公告》（第1页）内容为“证券代码：600276 证券简称：恒瑞医药 公告编号：临 2025-093 江苏恒瑞医药股份有限公司 关于悉数行使超额配售权、稳定价格行动 及稳定价格期结…”，属于治理、证券程序或其他非核心事项，不能帮助判断“研发投入强度能否被经营现金流稳定覆盖”，故判0级。</x:v>
      </x:c>
      <x:c r="Q187" s="51" t="str">
        <x:v>FIN-R01</x:v>
      </x:c>
      <x:c r="R187" s="202" t="n">
        <x:v>46260.92880688657</x:v>
      </x:c>
    </x:row>
    <x:row r="188" ht="72" customHeight="1">
      <x:c r="A188" s="50" t="str">
        <x:v>V4-R-Q024-C03</x:v>
      </x:c>
      <x:c r="B188" s="50" t="str">
        <x:v>V4-E-Q024-C03</x:v>
      </x:c>
      <x:c r="C188" s="50" t="str">
        <x:v>V4-Q024</x:v>
      </x:c>
      <x:c r="D188" s="49" t="str">
        <x:v>恒瑞医药</x:v>
      </x:c>
      <x:c r="E188" s="50" t="str">
        <x:v>600276</x:v>
      </x:c>
      <x:c r="F188" s="81" t="n">
        <x:v>46260.75</x:v>
      </x:c>
      <x:c r="G188" s="65" t="str">
        <x:v>研发投入强度能否被经营现金流稳定覆盖</x:v>
      </x:c>
      <x:c r="H188" s="50" t="str">
        <x:v>DOC-EVT-600276-00603</x:v>
      </x:c>
      <x:c r="I188" s="65" t="str">
        <x:v>恒瑞医药关于召开2025年年度业绩暨现金分红说明会的公告</x:v>
      </x:c>
      <x:c r="J188" s="81" t="n">
        <x:v>46109</x:v>
      </x:c>
      <x:c r="K188" s="87" t="str">
        <x:v>http://static.cninfo.com.cn/finalpage/2026-03-28/1225040177.PDF</x:v>
      </x:c>
      <x:c r="L188" s="49" t="str">
        <x:v>第1页</x:v>
      </x:c>
      <x:c r="M188" s="65" t="str">
        <x:v>证券代码：600276 证券简称：恒瑞医药 公告编号：临 2026-055 江苏恒瑞医药股份有限公司 关于召开2025 年年度业绩暨现金分红说明会的公告 本公司董事会及全体董事保证本公告内容不存在任何虚假记载、误导性陈述 或者重大遗漏，并对其内容的真实性、准确性和完整性承担法律责任。 重要内容提示  会议内容：恒瑞医药 2025 年年度业绩暨现金分红说明会  会议时间：2026 年 4 月 7 日（星期二）下午 15:00-16:00  会 议 召 开 地 点 ： 上 海 证 券 交 易 所 上 证 路 演 中 心 （ 网 址 ： https://roadshow.sseinfo.com/）  会议形式：上证路演中心视频录播和网络互动 问题征集方式：投资者可于 2026 年 4 月 3 日(星期五)16:00 前登录上证路演中 心网站首页点击“提问预征集”栏目或通过公司邮箱ir@hengrui.com进行提问。 公司将在说明会上对投资者普遍关注的问题进行回答。 江苏恒瑞医药股份有限公司（以下简称“公司”）已于2026 年 3 月 26 日发 布公司 2025 年年度报告，为便于广大投资者更全面深入地了解公司 2025 年度经 营成果、财务状况，公司计划于 2026 年 4 月 7 日下午 15:00-16:00 举行 2025 年年度业绩暨现金分红说明会，就投资者关心的问题进行交流。 一、说明会类型 本次投资者说明会以视频录播结合网络互动形式召开，公司将针对 202…</x:v>
      </x:c>
      <x:c r="N188" s="51" t="str">
        <x:v>0-无关</x:v>
      </x:c>
      <x:c r="O188" s="51" t="str">
        <x:v>否</x:v>
      </x:c>
      <x:c r="P188" s="71" t="str">
        <x:v>《恒瑞医药关于召开2025年年度业绩暨现金分红说明会的公告》（第1页）内容为“证券代码：600276 证券简称：恒瑞医药 公告编号：临 2026-055 江苏恒瑞医药股份有限公司 关于召开2025 年年度业绩暨现金分红说明会的公告 …”，属于治理、证券程序或其他非核心事项，不能帮助判断“研发投入强度能否被经营现金流稳定覆盖”，故判0级。</x:v>
      </x:c>
      <x:c r="Q188" s="51" t="str">
        <x:v>FIN-R01</x:v>
      </x:c>
      <x:c r="R188" s="202" t="n">
        <x:v>46260.92880688657</x:v>
      </x:c>
    </x:row>
    <x:row r="189" ht="72" customHeight="1">
      <x:c r="A189" s="50" t="str">
        <x:v>V4-R-Q024-C02</x:v>
      </x:c>
      <x:c r="B189" s="50" t="str">
        <x:v>V4-E-Q024-C02</x:v>
      </x:c>
      <x:c r="C189" s="50" t="str">
        <x:v>V4-Q024</x:v>
      </x:c>
      <x:c r="D189" s="49" t="str">
        <x:v>恒瑞医药</x:v>
      </x:c>
      <x:c r="E189" s="50" t="str">
        <x:v>600276</x:v>
      </x:c>
      <x:c r="F189" s="81" t="n">
        <x:v>46260.75</x:v>
      </x:c>
      <x:c r="G189" s="65" t="str">
        <x:v>研发投入强度能否被经营现金流稳定覆盖</x:v>
      </x:c>
      <x:c r="H189" s="50" t="str">
        <x:v>DOC-EVT-600276-00298</x:v>
      </x:c>
      <x:c r="I189" s="65" t="str">
        <x:v>恒瑞医药关于召开2024年度业绩暨现金分红说明会的公告</x:v>
      </x:c>
      <x:c r="J189" s="81" t="n">
        <x:v>45757</x:v>
      </x:c>
      <x:c r="K189" s="87" t="str">
        <x:v>http://static.cninfo.com.cn/finalpage/2025-04-10/1223043623.PDF</x:v>
      </x:c>
      <x:c r="L189" s="49" t="str">
        <x:v>第1页</x:v>
      </x:c>
      <x:c r="M189" s="65" t="str">
        <x:v>证券代码：600276 证券简称：恒瑞医药 公告编号：临 2025-054 江苏恒瑞医药股份有限公司 关于召开 2024 年度业绩暨现金分红说明会的公告 本公司董事会及全体董事保证本公告内容不存在任何虚假记载、 误导性陈述 或者重大遗漏，并对其内容的真实性、准确性和完整性承担法律责任。 重要内容提示  会议内容：恒瑞医药 2024 年度业绩暨现金分红说明会  会议时间：2025 年 4 月 16 日（星期三）下午 15:00-16:00  会 议 召 开 地 点 ： 上 海 证 券 交 易 所 上 证 路 演 中 心 （ 网 址 ： http://roadshow.sseinfo.com/）  会议形式：上证路演中心视频录播和网络互动  问题征集方式：投资者可于 2025 年 4 月 15 日(星期二)16:00 前登录上证路 演中心网站首页点击“提问预征集”栏目或通过公司邮箱 ir@hengrui.com 进行提问。公司将在说明会上对投资者普遍关注的问题进行回答。 江苏恒瑞医药股份有限公司（以下简称“公司” ）于2025 年 3 月 31 日发布 公司2024 年年度报告， 为便于广大投资者更全面深入地了解公司2024 年度经营 成果、财务状况，公司计划于 2025 年 4 月 16 日下午 15:00-16:00 举行 2024 年 度业绩暨现金分红说明会，就投资者关心的问题进行交流。 一、说明会类型 本次投资者说明会以视频录播结合网络互动形式召开，公司将针对…</x:v>
      </x:c>
      <x:c r="N189" s="51" t="str">
        <x:v>0-无关</x:v>
      </x:c>
      <x:c r="O189" s="51" t="str">
        <x:v>否</x:v>
      </x:c>
      <x:c r="P189" s="71" t="str">
        <x:v>《恒瑞医药关于召开2024年度业绩暨现金分红说明会的公告》（第1页）内容为“证券代码：600276 证券简称：恒瑞医药 公告编号：临 2025-054 江苏恒瑞医药股份有限公司 关于召开 2024 年度业绩暨现金分红说明会的公告 …”，属于治理、证券程序或其他非核心事项，不能帮助判断“研发投入强度能否被经营现金流稳定覆盖”，故判0级。</x:v>
      </x:c>
      <x:c r="Q189" s="51" t="str">
        <x:v>FIN-R01</x:v>
      </x:c>
      <x:c r="R189" s="202" t="n">
        <x:v>46260.92880688657</x:v>
      </x:c>
    </x:row>
    <x:row r="190" ht="72" customHeight="1">
      <x:c r="A190" s="50" t="str">
        <x:v>V4-R-Q024-C05</x:v>
      </x:c>
      <x:c r="B190" s="50" t="str">
        <x:v>V4-E-Q024-C05</x:v>
      </x:c>
      <x:c r="C190" s="50" t="str">
        <x:v>V4-Q024</x:v>
      </x:c>
      <x:c r="D190" s="49" t="str">
        <x:v>恒瑞医药</x:v>
      </x:c>
      <x:c r="E190" s="50" t="str">
        <x:v>600276</x:v>
      </x:c>
      <x:c r="F190" s="81" t="n">
        <x:v>46260.75</x:v>
      </x:c>
      <x:c r="G190" s="65" t="str">
        <x:v>研发投入强度能否被经营现金流稳定覆盖</x:v>
      </x:c>
      <x:c r="H190" s="50" t="str">
        <x:v>DOC-EVT-600276-00578</x:v>
      </x:c>
      <x:c r="I190" s="65" t="str">
        <x:v>关于江苏恒瑞医药股份有限公司2025年度非经营性资金占用及其他关联资金往来情况的专项审计报告</x:v>
      </x:c>
      <x:c r="J190" s="81" t="n">
        <x:v>46107</x:v>
      </x:c>
      <x:c r="K190" s="87" t="str">
        <x:v>http://static.cninfo.com.cn/finalpage/2026-03-26/1225032570.PDF</x:v>
      </x:c>
      <x:c r="L190" s="49" t="str">
        <x:v>第2页</x:v>
      </x:c>
      <x:c r="M190" s="65" t="str">
        <x:v>1 关于江苏恒瑞医药股份有限公司 2025年度非经营性资金占用及其他关联资金往来情况的专项说明 安永华明（2026）专字第70043287_B02号 江苏恒瑞医药股份有限公司 江苏恒瑞医药股份有限公司董事会： 我们审计了江苏恒瑞医药股份有限公司的2025年度财务报表，包括2025年12月31 日的合并及公司资产负债表，2025年度的合并及公司利润表、股东权益变动表和现金 流量表以及相关财务报表附注，并于2026年3月25日出具了编号为安永华明（2026） 审字第70043287_B01号的无保留意见审计报告。 按照《上市公司监管指引第8号——上市公司资金往来、对外担保的监管要求》的 要求，江苏恒瑞医药股份有限公司编制了后附的2025年度非经营性资金占用及其他关 联资金往来情况汇总表（以下简称“汇总表”）。 如实编制和对外披露汇总表，并确保其真实性、合法性、完整性是江苏恒瑞医药 股份有限公司的责任。我们对汇总表所载资料与我们审计 江苏恒瑞医药股份有限公司 2025年度财务报表时所复核的会计资料和经审计的财务报表的相关内容进行了核对， 在所有重大方面没有发现不一致之处。除了对江苏恒瑞医药股份有限公司2025年度财 务报表出具审计报告而执行的审计程序外，我们并未对汇总表所载资料执行额外的审 计程序。 为了更好地理解江苏恒瑞医药股份有限公司2025年度非经营性资金占用及其他关 联资金往来情况，汇总表应当与经审计的财务报表一并阅读。 本专项说明仅供江苏恒瑞医药股份有限公司为2025年…</x:v>
      </x:c>
      <x:c r="N190" s="51" t="str">
        <x:v>1-弱相关</x:v>
      </x:c>
      <x:c r="O190" s="51" t="str">
        <x:v>否</x:v>
      </x:c>
      <x:c r="P190" s="71" t="str">
        <x:v>《关于江苏恒瑞医药股份有限公司2025年度非经营性资金占用及其他关联…》（第2页）仅披露“1 关于江苏恒瑞医药股份有限公司 2025年度非经营性资金占用及其他关联资金往来情况的专项说明 安永华明（2026）专字第70043287_B02号 江苏…”，虽与公司经营或相邻主题有关，但不足以验证“研发投入强度能否被经营现金流稳定覆盖”的关键路径，故判1级。</x:v>
      </x:c>
      <x:c r="Q190" s="51" t="str">
        <x:v>FIN-R01</x:v>
      </x:c>
      <x:c r="R190" s="202" t="n">
        <x:v>46260.92880688657</x:v>
      </x:c>
    </x:row>
    <x:row r="191" ht="72" customHeight="1">
      <x:c r="A191" s="50" t="str">
        <x:v>V4-R-Q024-C08</x:v>
      </x:c>
      <x:c r="B191" s="50" t="str">
        <x:v>V4-E-Q024-C08</x:v>
      </x:c>
      <x:c r="C191" s="50" t="str">
        <x:v>V4-Q024</x:v>
      </x:c>
      <x:c r="D191" s="49" t="str">
        <x:v>恒瑞医药</x:v>
      </x:c>
      <x:c r="E191" s="50" t="str">
        <x:v>600276</x:v>
      </x:c>
      <x:c r="F191" s="81" t="n">
        <x:v>46260.75</x:v>
      </x:c>
      <x:c r="G191" s="65" t="str">
        <x:v>研发投入强度能否被经营现金流稳定覆盖</x:v>
      </x:c>
      <x:c r="H191" s="50" t="str">
        <x:v>DOC-EVT-600276-00316</x:v>
      </x:c>
      <x:c r="I191" s="65" t="str">
        <x:v>恒瑞医药2024年年度股东会法律意见书</x:v>
      </x:c>
      <x:c r="J191" s="81" t="n">
        <x:v>45776</x:v>
      </x:c>
      <x:c r="K191" s="87" t="str">
        <x:v>http://static.cninfo.com.cn/finalpage/2025-04-29/1223368179.PDF</x:v>
      </x:c>
      <x:c r="L191" s="49" t="str">
        <x:v>第1页</x:v>
      </x:c>
      <x:c r="M191" s="65" t="str">
        <x:v>1 www.grandall.com.cn 中国江苏省南京市汉中门大街309 号B 座5 层、7-8 层（210036） 5F, 7-8F/Block B, 309# Hanzhongmen Street, Nanjing, China Tel: 86-25-89660900 Fax: 86-25-89660966 国浩律师（南京）事务所 关于 江苏恒瑞医药股份有限公司 2024 年年度股东会的 法律意见书 致：江苏恒瑞医药股份有限公司 根据《中华人民共和国公司法》（以下简称“《公司法》”）、《中华人民共和国 证券法》（以下简称“《证券法》”）、《上市公司股东会规则》（以下简称“《股东会 规则》”）、《上海证券交易所上市公司自律监管指引第 1 号——规范运作》(以下简 称“《监管指引第 1 号》”)及《江苏恒瑞医药股份有限公司章程》（以下简称“《公 司章程》”）的规定，国浩律师（南京）事务所（以下简称“本所”）接受江苏恒瑞 医药股份有限公司（以下简称“公司”）的委托，指派张秋子律师、祝静律师（以 下简称“本所律师”）出席公司 2024 年年度股东会（以下简称“本次股东会”或 “本次会议”），对本次股东会的召集和召开程序、出席会议人员的资格、召集人 资格以及会议表决程序和表决结果进行见证并出具法律意见书。 在本法律意见书中，本所律师仅对本次股东会的召集和召开程序、出席会议</x:v>
      </x:c>
      <x:c r="N191" s="51" t="str">
        <x:v>0-无关</x:v>
      </x:c>
      <x:c r="O191" s="51" t="str">
        <x:v>否</x:v>
      </x:c>
      <x:c r="P191" s="71" t="str">
        <x:v>《恒瑞医药2024年年度股东会法律意见书》（第1页）内容为“1 www.grandall.com.cn 中国江苏省南京市汉中门大街309 号B 座5 层、7-8 层（210036） 5F, 7-8F/Block B…”，属于治理、证券程序或其他非核心事项，不能帮助判断“研发投入强度能否被经营现金流稳定覆盖”，故判0级。</x:v>
      </x:c>
      <x:c r="Q191" s="51" t="str">
        <x:v>FIN-R01</x:v>
      </x:c>
      <x:c r="R191" s="202" t="n">
        <x:v>46260.92880688657</x:v>
      </x:c>
    </x:row>
    <x:row r="192" ht="72" customHeight="1">
      <x:c r="A192" s="50" t="str">
        <x:v>V4-R-Q024-C04</x:v>
      </x:c>
      <x:c r="B192" s="50" t="str">
        <x:v>V4-E-Q024-C04</x:v>
      </x:c>
      <x:c r="C192" s="50" t="str">
        <x:v>V4-Q024</x:v>
      </x:c>
      <x:c r="D192" s="49" t="str">
        <x:v>恒瑞医药</x:v>
      </x:c>
      <x:c r="E192" s="50" t="str">
        <x:v>600276</x:v>
      </x:c>
      <x:c r="F192" s="81" t="n">
        <x:v>46260.75</x:v>
      </x:c>
      <x:c r="G192" s="65" t="str">
        <x:v>研发投入强度能否被经营现金流稳定覆盖</x:v>
      </x:c>
      <x:c r="H192" s="50" t="str">
        <x:v>DOC-EVT-600276-00050</x:v>
      </x:c>
      <x:c r="I192" s="65" t="str">
        <x:v>关于江苏恒瑞医药股份有限公司2023年度非经营性资金占用及其他关联资金往来情况的专项说明</x:v>
      </x:c>
      <x:c r="J192" s="81" t="n">
        <x:v>45400</x:v>
      </x:c>
      <x:c r="K192" s="87" t="str">
        <x:v>http://static.cninfo.com.cn/finalpage/2024-04-18/1219650097.PDF</x:v>
      </x:c>
      <x:c r="L192" s="49" t="str">
        <x:v>第2页</x:v>
      </x:c>
      <x:c r="M192" s="65" t="str">
        <x:v>关于对江苏恒瑞医药股份有限公司 2023年度非经营性资金占用及其他关联资金 往来情况的专项说明 江苏恒瑞医药股份有限公司全体股东： 我们接受委托，审计了江苏恒瑞医药股份有限公司（以下简称“恒瑞医 药” ）2023 年 12 月 31 日的合并资产负债表及资产负债表、2023 年度的合并 利润表及利润表、合并现金流量表及现金流量表、合并所有者权益变动表及所 有者权益变动表以及财务报表附注，并于2024年4月16日出具了苏亚审〔2024〕 616 号无保留意见审计报告。 根据中国证券监督管理委员会《上市公司监管指引第 8 号——上市公司资 金往来、对外担保的监管要求》〔证监会公告[2022]26 号〕和上海证券交易所 相关披露的要求，恒瑞医药编制了后附的 2023 年度非经营性资金占用及其他关 联资金往来情况汇总表（以下简称汇总表） 。如实编制和对外披露汇总表并确保 其真实、合法及完整是恒瑞医药管理层的责任。我们的责任是对汇总表进行核 对，并出具专项说明。 我们将汇总表所载资料与恒瑞医药有关的会计资料以及已审计的财务报表 相关内容进行了核对,在所有重大方面未发现不一致的情形。 为了更好地理解恒瑞医药非经营性资金占用及其他关联资金往来情况,后附 汇总表应当与已审计的财务报表一并阅读。</x:v>
      </x:c>
      <x:c r="N192" s="51" t="str">
        <x:v>1-弱相关</x:v>
      </x:c>
      <x:c r="O192" s="51" t="str">
        <x:v>否</x:v>
      </x:c>
      <x:c r="P192" s="71" t="str">
        <x:v>《关于江苏恒瑞医药股份有限公司2023年度非经营性资金占用及其他关联…》（第2页）仅披露“关于对江苏恒瑞医药股份有限公司 2023年度非经营性资金占用及其他关联资金 往来情况的专项说明 江苏恒瑞医药股份有限公司全体股东： 我们接受委托，审计了江…”，虽与公司经营或相邻主题有关，但不足以验证“研发投入强度能否被经营现金流稳定覆盖”的关键路径，故判1级。</x:v>
      </x:c>
      <x:c r="Q192" s="51" t="str">
        <x:v>FIN-R01</x:v>
      </x:c>
      <x:c r="R192" s="202" t="n">
        <x:v>46260.92880688657</x:v>
      </x:c>
    </x:row>
    <x:row r="193" ht="72" customHeight="1">
      <x:c r="A193" s="50" t="str">
        <x:v>V4-R-Q024-C06</x:v>
      </x:c>
      <x:c r="B193" s="50" t="str">
        <x:v>V4-E-Q024-C06</x:v>
      </x:c>
      <x:c r="C193" s="50" t="str">
        <x:v>V4-Q024</x:v>
      </x:c>
      <x:c r="D193" s="49" t="str">
        <x:v>恒瑞医药</x:v>
      </x:c>
      <x:c r="E193" s="50" t="str">
        <x:v>600276</x:v>
      </x:c>
      <x:c r="F193" s="81" t="n">
        <x:v>46260.75</x:v>
      </x:c>
      <x:c r="G193" s="65" t="str">
        <x:v>研发投入强度能否被经营现金流稳定覆盖</x:v>
      </x:c>
      <x:c r="H193" s="50" t="str">
        <x:v>DOC-EVT-600276-00166</x:v>
      </x:c>
      <x:c r="I193" s="65" t="str">
        <x:v>恒瑞医药2024年第三季度报告</x:v>
      </x:c>
      <x:c r="J193" s="81" t="n">
        <x:v>45590</x:v>
      </x:c>
      <x:c r="K193" s="87" t="str">
        <x:v>http://static.cninfo.com.cn/finalpage/2024-10-25/1221505210.PDF</x:v>
      </x:c>
      <x:c r="L193" s="49" t="str">
        <x:v>第9页</x:v>
      </x:c>
      <x:c r="M193" s="65" t="str">
        <x:v>江苏恒瑞医药股份有限公司 2024 年第三季度报告 9 / 10 合并现金流量表 2024年1—9月 编制单位：江苏恒瑞医药股份有限公司 单位：元 币种：人民币 审计类型：未经审计 项目 2024 年前三季度 （1-9 月） 2023 年前三季度 （1-9 月） 一、经营活动产生的现金流量： 销售商品、提供劳务收到的现金 20,000,144,131.46 15,683,728,234.13 收到的税费返还 — 43,742,611.75 收到其他与经营活动有关的现金 546,652,931.24 728,799,087.31 经营活动现金流入小计 20,546,797,062.70 16,456,269,933.19 购买商品、接受劳务支付的现金 1,130,472,262.16 837,496,649.53 支付给职工及为职工支付的现金 4,610,758,220.71 4,411,153,993.32 支付的各项税费 1,652,291,637.65 1,071,284,318.49 支付其他与经营活动有关的现金 8,567,828,933.06 5,827,463,790.93 经营活动现金流出小计 15,961,351,053.58 12,147,398,752.27 经营活动产生的现金流量净额 4,585,446,009.12 4,308,871,180.92 二、投资活动产生的现金流量： 收回投资收到的现金 200,000,000.00 2,507,501,9…</x:v>
      </x:c>
      <x:c r="N193" s="51" t="str">
        <x:v>2-间接相关</x:v>
      </x:c>
      <x:c r="O193" s="51" t="str">
        <x:v>是</x:v>
      </x:c>
      <x:c r="P193" s="71" t="str">
        <x:v>《恒瑞医药2024年第三季度报告》（第9页）披露“江苏恒瑞医药股份有限公司 2024 年第三季度报告 9 / 10 合并现金流量表 2024年1—9月 编制单位：江苏恒瑞医药股份有限公司 单位：元 币种：…”，可建立公告事项到“研发投入强度能否被经营现金流稳定覆盖”的一阶业务传导链；但未直接给出最终结果，故判2级。</x:v>
      </x:c>
      <x:c r="Q193" s="51" t="str">
        <x:v>FIN-R01</x:v>
      </x:c>
      <x:c r="R193" s="202" t="n">
        <x:v>46260.92880688657</x:v>
      </x:c>
    </x:row>
    <x:row r="194" ht="72" customHeight="1">
      <x:c r="A194" s="50" t="str">
        <x:v>V4-R-Q025-C06</x:v>
      </x:c>
      <x:c r="B194" s="50" t="str">
        <x:v>V4-E-Q025-C06</x:v>
      </x:c>
      <x:c r="C194" s="50" t="str">
        <x:v>V4-Q025</x:v>
      </x:c>
      <x:c r="D194" s="49" t="str">
        <x:v>药明康德</x:v>
      </x:c>
      <x:c r="E194" s="50" t="str">
        <x:v>603259</x:v>
      </x:c>
      <x:c r="F194" s="81" t="n">
        <x:v>46260.75</x:v>
      </x:c>
      <x:c r="G194" s="65" t="str">
        <x:v>海外客户需求与在手订单恢复能否支撑收入增长</x:v>
      </x:c>
      <x:c r="H194" s="50" t="str">
        <x:v>DOC-EVT-603259-00073</x:v>
      </x:c>
      <x:c r="I194" s="65" t="str">
        <x:v>2023年年度报告</x:v>
      </x:c>
      <x:c r="J194" s="81" t="n">
        <x:v>45370</x:v>
      </x:c>
      <x:c r="K194" s="87" t="str">
        <x:v>http://static.cninfo.com.cn/finalpage/2024-03-19/1219331349.PDF</x:v>
      </x:c>
      <x:c r="L194" s="49" t="str">
        <x:v>第12页</x:v>
      </x:c>
      <x:c r="M194" s="65" t="str">
        <x:v>2023 年年度报告 12 / 299 第三节 管理层讨论与分析 一、经营情况讨论与分析 公司通过全球 32 个营运基地和分支机构，为来自全球30 多个国家和地区的客户提供服务。 作为行业创新赋能者，公司一直与客户共同成长。2023 年，公司新增客户超过1,200 家，过去12 个月服务的活跃客户超过 6,000 家，全球各地客户对公司服务的需求持续增长。截至 2023 年末， 剔除特定商业化生产项目，公司在手订单同比增长18%。报告期内，公司来自美国客户收入人民 币 261.3 亿元，剔除特定商业化生产项目后同比增长42%；来自欧洲客户收入人民币 47.0 亿元， 同比增长 12%；来自中国客户收入人民币73.7 亿元，同比增长 1%；来自其他地区客户收入人民 币 21.4 亿元，同比增长 8%。公司拥有庞大且不断扩大的客户群，客户粘性极强。报告期内，公 司 98%的收入来自原有客户，达人民币396.3 亿元，剔除特定商业化生产项目后同比增长30%； 来自新增客户收入人民币 7.1 亿元，新增客户不但为公司带来额外的收入，也为公司不断追随新 技术、新分子提供了更广阔的机会。公司持续实施“长尾”战略并不断提高大药企份额。报告期 内，来自于全球前20 大制药企业收入持续保持高速增长达到人民币161.1 亿元，剔除特定商业化 生产项目后同比增长44%；来自于全球其他客户收入保持增长态势，同比增长18%，达到人民币 242.3 亿元。公司横跨药物开发价值链的独特定位，使得公司能够…</x:v>
      </x:c>
      <x:c r="N194" s="51" t="str">
        <x:v>3-直接相关</x:v>
      </x:c>
      <x:c r="O194" s="51" t="str">
        <x:v>是</x:v>
      </x:c>
      <x:c r="P194" s="71" t="str">
        <x:v>《2023年年度报告》（第12页）直接披露“2023 年年度报告 12 / 299 第三节 管理层讨论与分析 一、经营情况讨论与分析 公司通过全球 32 个营运基地和分支机构，为来自全球30 多个国…”，与“海外客户需求与在手订单恢复能否支撑收入增长”的核心变量或结果同口径，可直接用于判断，故判3级。</x:v>
      </x:c>
      <x:c r="Q194" s="51" t="str">
        <x:v>FIN-R01</x:v>
      </x:c>
      <x:c r="R194" s="202" t="n">
        <x:v>46260.92880688657</x:v>
      </x:c>
    </x:row>
    <x:row r="195" ht="72" customHeight="1">
      <x:c r="A195" s="50" t="str">
        <x:v>V4-R-Q025-C05</x:v>
      </x:c>
      <x:c r="B195" s="50" t="str">
        <x:v>V4-E-Q025-C05</x:v>
      </x:c>
      <x:c r="C195" s="50" t="str">
        <x:v>V4-Q025</x:v>
      </x:c>
      <x:c r="D195" s="49" t="str">
        <x:v>药明康德</x:v>
      </x:c>
      <x:c r="E195" s="50" t="str">
        <x:v>603259</x:v>
      </x:c>
      <x:c r="F195" s="81" t="n">
        <x:v>46260.75</x:v>
      </x:c>
      <x:c r="G195" s="65" t="str">
        <x:v>海外客户需求与在手订单恢复能否支撑收入增长</x:v>
      </x:c>
      <x:c r="H195" s="50" t="str">
        <x:v>DOC-EVT-603259-00240</x:v>
      </x:c>
      <x:c r="I195" s="65" t="str">
        <x:v>2025年度提质增效重回报行动方案</x:v>
      </x:c>
      <x:c r="J195" s="81" t="n">
        <x:v>45734</x:v>
      </x:c>
      <x:c r="K195" s="87" t="str">
        <x:v>http://static.cninfo.com.cn/finalpage/2025-03-18/1222822829.PDF</x:v>
      </x:c>
      <x:c r="L195" s="49" t="str">
        <x:v>第1页</x:v>
      </x:c>
      <x:c r="M195" s="65" t="str">
        <x:v>1 证券代码：603259 证券简称：药明康德 公告编号：临 2025-015 无锡药明康德新药开发股份有限公司 2025 年度提质增效重回报行动方案 本公司董事会及全体董事保证本公告内容不存在任何虚假记载、 误导性陈述 或者重大遗漏，并对其内容的真实性、准确性和完整性承担法律责任。 无锡药明康德新药开发股份有限公司（以下简称“公司”或“药明康德”） 为践行“以投资者为本”的发展理念，提升上市公司经营质量、规范治理运作水 平，促进上市公司长期可持续发展、增强投资者回报，维护公司全体股东利益， 公司结合自身发展愿景与战略、经营情况及财务状况，在总结 2024 年度行动方 案的基础上制定了 2025 年度提质增效重回报行动方案。具体举措如下： 一、 聚焦主营业务，保持公司持续盈利能力 公司为全球医药及生命科学行业提供一体化、 端到端的新药研发和生产服务， 在亚洲、欧洲、北美等地均设有运营基地。药明康德通过独特的“CRDMO”业 务模式，不断降低研发门槛，助力客户提升研发效率，为患者带来更多突破性的 治疗方案，服务范围涵盖化学药研发和生产、生物学研究、临床前测试和临床试 验研发等领域。目前，公司的赋能平台正承载着来自全球30 多个国家的约 6,000 家合作伙伴的研发创新项目，致力于将更多新药、好药带给全球病患，早日实现 “让天下没有难做的药，难治的病”的愿景。 过去 20 年，尽管外部环境不断变化，公司始终保持了良好的经营业绩。2024 年，面对复杂的全球局势与经济环境，公司的…</x:v>
      </x:c>
      <x:c r="N195" s="51" t="str">
        <x:v>1-弱相关</x:v>
      </x:c>
      <x:c r="O195" s="51" t="str">
        <x:v>否</x:v>
      </x:c>
      <x:c r="P195" s="71" t="str">
        <x:v>《2025年度提质增效重回报行动方案》（第1页）仅披露“1 证券代码：603259 证券简称：药明康德 公告编号：临 2025-015 无锡药明康德新药开发股份有限公司 2025 年度提质增效重回报行动方案 本…”，虽与公司经营或相邻主题有关，但不足以验证“海外客户需求与在手订单恢复能否支撑收入增长”的关键路径，故判1级。</x:v>
      </x:c>
      <x:c r="Q195" s="51" t="str">
        <x:v>FIN-R01</x:v>
      </x:c>
      <x:c r="R195" s="202" t="n">
        <x:v>46260.92880688657</x:v>
      </x:c>
    </x:row>
    <x:row r="196" ht="72" customHeight="1">
      <x:c r="A196" s="50" t="str">
        <x:v>V4-R-Q025-C04</x:v>
      </x:c>
      <x:c r="B196" s="50" t="str">
        <x:v>V4-E-Q025-C04</x:v>
      </x:c>
      <x:c r="C196" s="50" t="str">
        <x:v>V4-Q025</x:v>
      </x:c>
      <x:c r="D196" s="49" t="str">
        <x:v>药明康德</x:v>
      </x:c>
      <x:c r="E196" s="50" t="str">
        <x:v>603259</x:v>
      </x:c>
      <x:c r="F196" s="81" t="n">
        <x:v>46260.75</x:v>
      </x:c>
      <x:c r="G196" s="65" t="str">
        <x:v>海外客户需求与在手订单恢复能否支撑收入增长</x:v>
      </x:c>
      <x:c r="H196" s="50" t="str">
        <x:v>DOC-EVT-603259-00083</x:v>
      </x:c>
      <x:c r="I196" s="65" t="str">
        <x:v>关于召开2023年度业绩说明会的公告</x:v>
      </x:c>
      <x:c r="J196" s="81" t="n">
        <x:v>45378</x:v>
      </x:c>
      <x:c r="K196" s="87" t="str">
        <x:v>http://static.cninfo.com.cn/finalpage/2024-03-27/1219409171.PDF</x:v>
      </x:c>
      <x:c r="L196" s="49" t="str">
        <x:v>第1页</x:v>
      </x:c>
      <x:c r="M196" s="65" t="str">
        <x:v>证券代码：603259 证券简称：药明康德 公告编号：临 2024-037 无锡药明康德新药开发股份有限公司 关于召开 2023 年度业绩说明会的公告 本公司董事会及全体董事保证本公告内容不存在任何虚假记载、 误导性陈述 或者重大遗漏，并对其内容的真实性、准确性和完整性承担法律责任。 重要内容提示：  会议召开时间：2024 年 4 月 2 日（星期二）上午 10:00-11:00  会议召开地点： 上海证券交易所上证路演中心 （http://roadshow.sseinfo.com/）  会议召开方式：上证路演中心视频直播和网络互动  投资者可于 2024 年 3 月 27 日（星期三）至 2024 年 4 月 1 日（星期一）16:00 前登录上证路演中心网站首页，点击“提问预征集”栏目或将相关问题通过 电子邮件的形式发送至本公司投资者关系邮箱：ir@wuxiapptec.com。本公司 将于 2023 年度业绩说明会（以下简称“业绩说明会” ）上对投资者普遍关注 的问题进行回答。 无锡药明康德新药开发股份有限公司（以下简称“本公司”）已于 2024 年 3 月19 日在上海证券交易所网站（www.sse.com.cn）及指定媒体披露《无锡药明康 德新药开发股份有限公司 2023 年年度报告》。 为了便于广大投资者更全面深入地 了解本公司 2023 年度业绩和经营情况，本公司拟于 2024 年 4 月 2 日（星期二） 上午10:00-11:00召开业绩说明会，…</x:v>
      </x:c>
      <x:c r="N196" s="51" t="str">
        <x:v>0-无关</x:v>
      </x:c>
      <x:c r="O196" s="51" t="str">
        <x:v>否</x:v>
      </x:c>
      <x:c r="P196" s="71" t="str">
        <x:v>《关于召开2023年度业绩说明会的公告》（第1页）内容为“证券代码：603259 证券简称：药明康德 公告编号：临 2024-037 无锡药明康德新药开发股份有限公司 关于召开 2023 年度业绩说明会的公告 本…”，属于治理、证券程序或其他非核心事项，不能帮助判断“海外客户需求与在手订单恢复能否支撑收入增长”，故判0级。</x:v>
      </x:c>
      <x:c r="Q196" s="51" t="str">
        <x:v>FIN-R01</x:v>
      </x:c>
      <x:c r="R196" s="202" t="n">
        <x:v>46260.92880688657</x:v>
      </x:c>
    </x:row>
    <x:row r="197" ht="72" customHeight="1">
      <x:c r="A197" s="50" t="str">
        <x:v>V4-R-Q025-C07</x:v>
      </x:c>
      <x:c r="B197" s="50" t="str">
        <x:v>V4-E-Q025-C07</x:v>
      </x:c>
      <x:c r="C197" s="50" t="str">
        <x:v>V4-Q025</x:v>
      </x:c>
      <x:c r="D197" s="49" t="str">
        <x:v>药明康德</x:v>
      </x:c>
      <x:c r="E197" s="50" t="str">
        <x:v>603259</x:v>
      </x:c>
      <x:c r="F197" s="81" t="n">
        <x:v>46260.75</x:v>
      </x:c>
      <x:c r="G197" s="65" t="str">
        <x:v>海外客户需求与在手订单恢复能否支撑收入增长</x:v>
      </x:c>
      <x:c r="H197" s="50" t="str">
        <x:v>DOC-EVT-603259-00520</x:v>
      </x:c>
      <x:c r="I197" s="65" t="str">
        <x:v>2026年半年度报告</x:v>
      </x:c>
      <x:c r="J197" s="81" t="n">
        <x:v>46238</x:v>
      </x:c>
      <x:c r="K197" s="87" t="str">
        <x:v>http://static.cninfo.com.cn/finalpage/2026-08-04/1225455027.PDF</x:v>
      </x:c>
      <x:c r="L197" s="49" t="str">
        <x:v>第11页</x:v>
      </x:c>
      <x:c r="M197" s="65" t="str">
        <x:v>无锡药明康德新药开发股份有限公司2026 年半年度报告 11 / 199 二、经营情况的讨论与分析 报告期内，公司发挥全球布局、全产业链覆盖的优势，各个地区联动，并抓住新的业务机 遇，持续为客户赋能。公司各业务板块营业收入情况如下： 单位：万元 币种：人民币 报告分部 本期数 上年同期数 变动比例（%） 化学业务 （WuXiChemistry） 2,498,595.32 1,630,137.04 53.28 测试业务 （WuXiTesting） 248,059.82 188,590.14 31.53 生物学业务 （WuXiBiology） 139,188.05 125,160.49 11.21 其他业务 （Others） 3,904.68 8,662.95 -54.93 持续经营业务小计 2,889,747.87 1,952,550.62 48.00 终止经营业务 - 127,377.57 -100.00 合计 2,889,747.87 2,079,928.19 38.93 注 1：依据企业会计准则规定，公司将本报告期或可比期间已签署股权出售协议、已完成出 售或处于终止阶段的相关业务，划分为终止经营业务，相应重述了可比期间的数据。 注 2：上表中单项之和与合计不等为四舍五入造成。 公司 2026年上半年实现营业收入人民币 289.0亿元，同比增长 38.9%，持续经营业务收入同 比增长 48.0%。截至 2026 年 6月末，公司持续经营业务在手订单人民币 664.3 亿元…</x:v>
      </x:c>
      <x:c r="N197" s="51" t="str">
        <x:v>3-直接相关</x:v>
      </x:c>
      <x:c r="O197" s="51" t="str">
        <x:v>是</x:v>
      </x:c>
      <x:c r="P197" s="71" t="str">
        <x:v>《2026年半年度报告》（第11页）直接披露“无锡药明康德新药开发股份有限公司2026 年半年度报告 11 / 199 二、经营情况的讨论与分析 报告期内，公司发挥全球布局、全产业链覆盖的优势，各个地…”，与“海外客户需求与在手订单恢复能否支撑收入增长”的核心变量或结果同口径，可直接用于判断，故判3级。</x:v>
      </x:c>
      <x:c r="Q197" s="51" t="str">
        <x:v>FIN-R01</x:v>
      </x:c>
      <x:c r="R197" s="202" t="n">
        <x:v>46260.92880688657</x:v>
      </x:c>
    </x:row>
    <x:row r="198" ht="72" customHeight="1">
      <x:c r="A198" s="50" t="str">
        <x:v>V4-R-Q025-C03</x:v>
      </x:c>
      <x:c r="B198" s="50" t="str">
        <x:v>V4-E-Q025-C03</x:v>
      </x:c>
      <x:c r="C198" s="50" t="str">
        <x:v>V4-Q025</x:v>
      </x:c>
      <x:c r="D198" s="49" t="str">
        <x:v>药明康德</x:v>
      </x:c>
      <x:c r="E198" s="50" t="str">
        <x:v>603259</x:v>
      </x:c>
      <x:c r="F198" s="81" t="n">
        <x:v>46260.75</x:v>
      </x:c>
      <x:c r="G198" s="65" t="str">
        <x:v>海外客户需求与在手订单恢复能否支撑收入增长</x:v>
      </x:c>
      <x:c r="H198" s="50" t="str">
        <x:v>DOC-EVT-603259-00448</x:v>
      </x:c>
      <x:c r="I198" s="65" t="str">
        <x:v>2025年度可持续发展报告</x:v>
      </x:c>
      <x:c r="J198" s="81" t="n">
        <x:v>46105</x:v>
      </x:c>
      <x:c r="K198" s="87" t="str">
        <x:v>http://static.cninfo.com.cn/finalpage/2026-03-24/1225025195.PDF</x:v>
      </x:c>
      <x:c r="L198" s="49" t="str">
        <x:v>第3页</x:v>
      </x:c>
      <x:c r="M198" s="65" t="str">
        <x:v>01关于药明康德 可持续发展战略 责任公民 赋能客户 守护地球 以人为本 绩效表 关于本报告 概览 本报告是无锡药明康德新药开发股份有限公司（以下简称“药明康 德”“本公司”“公司”“我们”）发布的第八份可持续发展报告（前 称环境、社会及管治报告），反映本公司及附属公司在可持续发展方面 的表现。本报告为年度报告，涵盖2025年1月1日至2025年12月31 日财务年度（以下简称“报告期”）的工作，部分关联信息可能溯及报 告期外。 编制依据 本报告依据香港联合交易所有限公司 ( 以下简称“香港联交所”)《主板 上市规则》附录 C2《环境、社会及管治报告守则》以及上海证券交易所 《上海证券交易所上市公司自律监管指引第14号——可持续发展报告 （试 行）》进行编制。 同时，本报告符合《GRI可持续发展报告标准》（GRI标准） 编制要求， 亦参考与回应了联合国可持续发展目标（UN SDGs）、可持续会计准则 委员会（SASB）标准、全球契约十项原则及《国际财务报告可持续披露 准则 S2 号——气候相关披露》 的相关披露要求，结合本公司重要性议 题分析结果进行编写。 报告范围及边界 本报告中提供的政策及数据涵盖本公司及附属公司，报告范围与年报一致。 本报告的信息和数据主要来源于本公司的统计报告和相关文件。 报告语言 本报告的中英文版本如有歧义，概以英文版为准。 报告鉴证 药明康德委托南德认证检测 ( 中国 ) 有限公司对本报告提供独立鉴证声明， 详细信息请见附录四。 确认及批准 本报…</x:v>
      </x:c>
      <x:c r="N198" s="51" t="str">
        <x:v>0-无关</x:v>
      </x:c>
      <x:c r="O198" s="51" t="str">
        <x:v>否</x:v>
      </x:c>
      <x:c r="P198" s="71" t="str">
        <x:v>《2025年度可持续发展报告》（第3页）内容为“01关于药明康德 可持续发展战略 责任公民 赋能客户 守护地球 以人为本 绩效表 关于本报告 概览 本报告是无锡药明康德新药开发股份有限公司（以下简称“药…”，属于治理、证券程序或其他非核心事项，不能帮助判断“海外客户需求与在手订单恢复能否支撑收入增长”，故判0级。</x:v>
      </x:c>
      <x:c r="Q198" s="51" t="str">
        <x:v>FIN-R01</x:v>
      </x:c>
      <x:c r="R198" s="202" t="n">
        <x:v>46260.92880688657</x:v>
      </x:c>
    </x:row>
    <x:row r="199" ht="72" customHeight="1">
      <x:c r="A199" s="50" t="str">
        <x:v>V4-R-Q025-C02</x:v>
      </x:c>
      <x:c r="B199" s="50" t="str">
        <x:v>V4-E-Q025-C02</x:v>
      </x:c>
      <x:c r="C199" s="50" t="str">
        <x:v>V4-Q025</x:v>
      </x:c>
      <x:c r="D199" s="49" t="str">
        <x:v>药明康德</x:v>
      </x:c>
      <x:c r="E199" s="50" t="str">
        <x:v>603259</x:v>
      </x:c>
      <x:c r="F199" s="81" t="n">
        <x:v>46260.75</x:v>
      </x:c>
      <x:c r="G199" s="65" t="str">
        <x:v>海外客户需求与在手订单恢复能否支撑收入增长</x:v>
      </x:c>
      <x:c r="H199" s="50" t="str">
        <x:v>DOC-EVT-603259-00424</x:v>
      </x:c>
      <x:c r="I199" s="65" t="str">
        <x:v>股东减持股份结果公告</x:v>
      </x:c>
      <x:c r="J199" s="81" t="n">
        <x:v>46029</x:v>
      </x:c>
      <x:c r="K199" s="87" t="str">
        <x:v>http://static.cninfo.com.cn/finalpage/2026-01-07/1224921343.PDF</x:v>
      </x:c>
      <x:c r="L199" s="49" t="str">
        <x:v>第1页</x:v>
      </x:c>
      <x:c r="M199" s="65" t="str">
        <x:v>1 证券代码：603259 证券简称：药明康德 公告编号：临 2026-001 无锡药明康德新药开发股份有限公司 股东减持股份结果公告 相关股东保证向公司提供的信息真实、准确、完整，没有虚假记载、误导性 陈述或重大遗漏。 公司董事会及全体董事保证公告内容与相关股东提供的信息一致。 重要内容提示：  股东持股的基本情况 根据无锡药明康德新药开发股份有限公司（以下简称“公司”）于 2025 年 10 月 30 日披露的《股东减持股份计划公告》（公告编号：临 2025-070），本次 减持计划实施前公司实际控制人控制的股东合计持有公司 A 股股份 543,364,675 股，占公司总股本的 18.211%。该等股份均为公司首次公开发行 A 股股票并上市 前所取得的股份及上市后权益分派资本公积转增股本方式取得的股份，均为无限 售条件流通股。  减持计划的实施结果情况 公司于 2026 年 1 月 5 日收到实际控制人控制的股东发出的《告知函》，截 至 2026 年 1 月 5 日，实际控制人控制的股东通过集中竞价和大宗交易方式累计 减持公司股份 59,675,143 股，占公司总股本的 2%。本次减持计划已实施完毕。 一、减持主体减持前基本情况 股东名称 G&amp;C IV Hong Kong Limited 股东身份 控股股东、实控人及一致行动人 √是 □否 直接持股 5%以上股东 □是 □否 董事、监事和高级管理人员 □是 □否 其他：无 持股数量 104,626,051股</x:v>
      </x:c>
      <x:c r="N199" s="51" t="str">
        <x:v>0-无关</x:v>
      </x:c>
      <x:c r="O199" s="51" t="str">
        <x:v>否</x:v>
      </x:c>
      <x:c r="P199" s="71" t="str">
        <x:v>《股东减持股份结果公告》（第1页）内容为“1 证券代码：603259 证券简称：药明康德 公告编号：临 2026-001 无锡药明康德新药开发股份有限公司 股东减持股份结果公告 相关股东保证向公司…”，属于治理、证券程序或其他非核心事项，不能帮助判断“海外客户需求与在手订单恢复能否支撑收入增长”，故判0级。</x:v>
      </x:c>
      <x:c r="Q199" s="51" t="str">
        <x:v>FIN-R01</x:v>
      </x:c>
      <x:c r="R199" s="202" t="n">
        <x:v>46260.92880688657</x:v>
      </x:c>
    </x:row>
    <x:row r="200" ht="72" customHeight="1">
      <x:c r="A200" s="50" t="str">
        <x:v>V4-R-Q025-C08</x:v>
      </x:c>
      <x:c r="B200" s="50" t="str">
        <x:v>V4-E-Q025-C08</x:v>
      </x:c>
      <x:c r="C200" s="50" t="str">
        <x:v>V4-Q025</x:v>
      </x:c>
      <x:c r="D200" s="49" t="str">
        <x:v>药明康德</x:v>
      </x:c>
      <x:c r="E200" s="50" t="str">
        <x:v>603259</x:v>
      </x:c>
      <x:c r="F200" s="81" t="n">
        <x:v>46260.75</x:v>
      </x:c>
      <x:c r="G200" s="65" t="str">
        <x:v>海外客户需求与在手订单恢复能否支撑收入增长</x:v>
      </x:c>
      <x:c r="H200" s="50" t="str">
        <x:v>DOC-EVT-603259-00466</x:v>
      </x:c>
      <x:c r="I200" s="65" t="str">
        <x:v>2025年年度股东会、2026年第一次A股类别股东会及2026年第一次H股类别股东会会议材料</x:v>
      </x:c>
      <x:c r="J200" s="81" t="n">
        <x:v>46106</x:v>
      </x:c>
      <x:c r="K200" s="87" t="str">
        <x:v>http://static.cninfo.com.cn/finalpage/2026-03-25/1225028422.PDF</x:v>
      </x:c>
      <x:c r="L200" s="49" t="str">
        <x:v>第1页</x:v>
      </x:c>
      <x:c r="M200" s="65" t="str">
        <x:v>1 无锡药明康德新药开发股份有限公司 2025 年年度股东会、2026 年第一次 A 股类别股东会及 2026 年第一次 H 股类 别股东会 会议材料 二〇二六年四月</x:v>
      </x:c>
      <x:c r="N200" s="51" t="str">
        <x:v>0-无关</x:v>
      </x:c>
      <x:c r="O200" s="51" t="str">
        <x:v>否</x:v>
      </x:c>
      <x:c r="P200" s="71" t="str">
        <x:v>《2025年年度股东会、2026年第一次A股类别股东会及2026年第…》（第1页）内容为“1 无锡药明康德新药开发股份有限公司 2025 年年度股东会、2026 年第一次 A 股类别股东会及 2026 年第一次 H 股类 别股东会 会议材料 二…”，属于治理、证券程序或其他非核心事项，不能帮助判断“海外客户需求与在手订单恢复能否支撑收入增长”，故判0级。</x:v>
      </x:c>
      <x:c r="Q200" s="51" t="str">
        <x:v>FIN-R01</x:v>
      </x:c>
      <x:c r="R200" s="202" t="n">
        <x:v>46260.92880688657</x:v>
      </x:c>
    </x:row>
    <x:row r="201" ht="72" customHeight="1">
      <x:c r="A201" s="50" t="str">
        <x:v>V4-R-Q025-C01</x:v>
      </x:c>
      <x:c r="B201" s="50" t="str">
        <x:v>V4-E-Q025-C01</x:v>
      </x:c>
      <x:c r="C201" s="50" t="str">
        <x:v>V4-Q025</x:v>
      </x:c>
      <x:c r="D201" s="49" t="str">
        <x:v>药明康德</x:v>
      </x:c>
      <x:c r="E201" s="50" t="str">
        <x:v>603259</x:v>
      </x:c>
      <x:c r="F201" s="81" t="n">
        <x:v>46260.75</x:v>
      </x:c>
      <x:c r="G201" s="65" t="str">
        <x:v>海外客户需求与在手订单恢复能否支撑收入增长</x:v>
      </x:c>
      <x:c r="H201" s="50" t="str">
        <x:v>DOC-EVT-603259-00446</x:v>
      </x:c>
      <x:c r="I201" s="65" t="str">
        <x:v>2026年度提质增效重回报行动方案</x:v>
      </x:c>
      <x:c r="J201" s="81" t="n">
        <x:v>46105</x:v>
      </x:c>
      <x:c r="K201" s="87" t="str">
        <x:v>http://static.cninfo.com.cn/finalpage/2026-03-24/1225025224.PDF</x:v>
      </x:c>
      <x:c r="L201" s="49" t="str">
        <x:v>第1页</x:v>
      </x:c>
      <x:c r="M201" s="65" t="str">
        <x:v>1 证券代码：603259 证券简称：药明康德 公告编号：临 2026-005 无锡药明康德新药开发股份有限公司 2026 年度提质增效重回报行动方案 本公司董事会及全体董事保证本公告内容不存在任何虚假记载、误导性陈述 或者重大遗漏，并对其内容的真实性、准确性和完整性承担法律责任。 无锡药明康德新药开发股份有限公司（以下简称“公司”或“药明康德”） 为践行“以投资者为本”的发展理念，提升上市公司经营质量、规范治理运作水 平，促进上市公司长期可持续发展、增强投资者回报，维护全体股东利益，公司 结合自身发展愿景与战略、经营情况及财务状况，在总结 2025 年度行动方案的 基础上制定了 2026 年度提质增效重回报行动方案。具体举措如下： 一、 聚焦主营业务，保持公司持续盈利能力 公司为全球医药及生命科学行业提供一体化、端到端的新药研发和生产服务， 在亚洲、欧洲、北美等地均设有运营基地。药明康德通过独特的“CRDMO”业 务模式，不断降低研发门槛，助力客户提升研发效率，为患者带来更多突破性的 治疗方案，服务范围涵盖化学药研发和生产、生物学研究、临床前测试和临床研 发等领域。 尽管外部环境不断变化，公司始终保持了良好的经营业绩。2025 年，面对 复杂的全球局势与经济环境，公司的运营管理、商业模式等各个方面持续保持迭 代，公司 2025 年实现营业收入人民币454.6 亿元，同比增长 15.8%，其中持续经 营业务收入同比增长21.4%；归属于上市公司股东的净利润人民币 191.5…</x:v>
      </x:c>
      <x:c r="N201" s="51" t="str">
        <x:v>2-间接相关</x:v>
      </x:c>
      <x:c r="O201" s="51" t="str">
        <x:v>是</x:v>
      </x:c>
      <x:c r="P201" s="71" t="str">
        <x:v>《2026年度提质增效重回报行动方案》（第1页）披露“1 证券代码：603259 证券简称：药明康德 公告编号：临 2026-005 无锡药明康德新药开发股份有限公司 2026 年度提质增效重回报行动方案 本…”，可建立公告事项到“海外客户需求与在手订单恢复能否支撑收入增长”的一阶业务传导链；但未直接给出最终结果，故判2级。</x:v>
      </x:c>
      <x:c r="Q201" s="51" t="str">
        <x:v>FIN-R01</x:v>
      </x:c>
      <x:c r="R201" s="202" t="n">
        <x:v>46260.92880688657</x:v>
      </x:c>
    </x:row>
    <x:row r="202" ht="72" customHeight="1">
      <x:c r="A202" s="50" t="str">
        <x:v>V4-R-Q026-C05</x:v>
      </x:c>
      <x:c r="B202" s="50" t="str">
        <x:v>V4-E-Q026-C05</x:v>
      </x:c>
      <x:c r="C202" s="50" t="str">
        <x:v>V4-Q026</x:v>
      </x:c>
      <x:c r="D202" s="49" t="str">
        <x:v>药明康德</x:v>
      </x:c>
      <x:c r="E202" s="50" t="str">
        <x:v>603259</x:v>
      </x:c>
      <x:c r="F202" s="81" t="n">
        <x:v>46260.75</x:v>
      </x:c>
      <x:c r="G202" s="65" t="str">
        <x:v>地缘政治与监管变化是否影响客户留存和产能利用</x:v>
      </x:c>
      <x:c r="H202" s="50" t="str">
        <x:v>DOC-EVT-603259-00218</x:v>
      </x:c>
      <x:c r="I202" s="65" t="str">
        <x:v>关于下属子公司之间提供担保的公告</x:v>
      </x:c>
      <x:c r="J202" s="81" t="n">
        <x:v>45727</x:v>
      </x:c>
      <x:c r="K202" s="87" t="str">
        <x:v>http://static.cninfo.com.cn/finalpage/2025-03-11/1222759684.PDF</x:v>
      </x:c>
      <x:c r="L202" s="49" t="str">
        <x:v>第1页</x:v>
      </x:c>
      <x:c r="M202" s="65" t="str">
        <x:v>1 证券代码：603259 证券简称：药明康德 公告编号：临 2025-004 无锡药明康德新药开发股份有限公司 关于下属子公司之间提供担保的公告 本公司董事会及全体董事保证本公告内容不存在任何虚假记载、 误导性陈述 或者重大遗漏，并对其内容的真实性、准确性和完整性承担法律责任。 重要内容提示： 被担保人名称：WuXi ATU (Ireland) Holding Limited （以下简 称“ ATU Ireland”）和 WuXi ATU (Hong Kong) Limited（以下简称“ATU HK”，与 ATU Ireland 合称 “被 担保人” ），为无锡药明康德新药开发股份有限公司（以下简称 “公司”）全资子公司。  担保人名称：WuXi AppTec International Holdings Limited （以下简称“担保 人”），为公司设立于英属维京群岛的全资子公司。  本次担保金额及已实际为被担保人提供的担保余额：最高不超过 1.5 亿美元。 截至本公告披露日，不包括本次担保（定义请见下文）在内，担保人未对被担保 人提供担保。 本次担保系公司合并报表范围内的下属子公司之间提供担保，无设置反担保。 公司无逾期担保事项。 一、担保情况概述 为确保所有迫切需要 WuXi ATU 细胞治疗服务的客户和患者得到不受中断 的服务和及时救治，同时WuXi ATU 美国和英国业务的相关科学家、技术人员和 其他员工可继续为实现“让天下没有难做的药，难治…</x:v>
      </x:c>
      <x:c r="N202" s="51" t="str">
        <x:v>2-间接相关</x:v>
      </x:c>
      <x:c r="O202" s="51" t="str">
        <x:v>是</x:v>
      </x:c>
      <x:c r="P202" s="71" t="str">
        <x:v>《关于下属子公司之间提供担保的公告》（第1页）披露“1 证券代码：603259 证券简称：药明康德 公告编号：临 2025-004 无锡药明康德新药开发股份有限公司 关于下属子公司之间提供担保的公告 本公司…”，可建立公告事项到“地缘政治与监管变化是否影响客户留存和产能利用”的一阶业务传导链；但未直接给出最终结果，故判2级。</x:v>
      </x:c>
      <x:c r="Q202" s="51" t="str">
        <x:v>FIN-R01</x:v>
      </x:c>
      <x:c r="R202" s="202" t="n">
        <x:v>46260.92880688657</x:v>
      </x:c>
    </x:row>
    <x:row r="203" ht="72" customHeight="1">
      <x:c r="A203" s="50" t="str">
        <x:v>V4-R-Q026-C03</x:v>
      </x:c>
      <x:c r="B203" s="50" t="str">
        <x:v>V4-E-Q026-C03</x:v>
      </x:c>
      <x:c r="C203" s="50" t="str">
        <x:v>V4-Q026</x:v>
      </x:c>
      <x:c r="D203" s="49" t="str">
        <x:v>药明康德</x:v>
      </x:c>
      <x:c r="E203" s="50" t="str">
        <x:v>603259</x:v>
      </x:c>
      <x:c r="F203" s="81" t="n">
        <x:v>46260.75</x:v>
      </x:c>
      <x:c r="G203" s="65" t="str">
        <x:v>地缘政治与监管变化是否影响客户留存和产能利用</x:v>
      </x:c>
      <x:c r="H203" s="50" t="str">
        <x:v>DOC-EVT-603259-00412</x:v>
      </x:c>
      <x:c r="I203" s="65" t="str">
        <x:v>简式权益变动报告书</x:v>
      </x:c>
      <x:c r="J203" s="81" t="n">
        <x:v>45941</x:v>
      </x:c>
      <x:c r="K203" s="87" t="str">
        <x:v>http://static.cninfo.com.cn/finalpage/2025-10-11/1224705551.PDF</x:v>
      </x:c>
      <x:c r="L203" s="49" t="str">
        <x:v>第1页</x:v>
      </x:c>
      <x:c r="M203" s="65" t="str">
        <x:v>1 无锡药明康德新药开发股份有限公司 简式权益变动报告书 上市公司名称：无锡药明康德新药开发股份有限公司 股票上市地点：上海证券交易所、香港联合交易所有限公司 股票简称：药明康德 股票代码：603259.SH、02359.HK 信息披露义务人 住所 通讯地址 实际控制 人控制的 股东（信 息披露义 务人组别 1） G&amp;C IV Hong Kong Limited Unit 826, 8/F, Ocean Centre, Harbour City, 5 Canton Road, Tst, Kowloon, Hong Kong 中国上海外高 桥 富 特 中 路 288 号G&amp;C V Limited PO Box 309, Ugland House, Grand Cayman, KY1-1104, Cayman Islands G&amp;C VI Limited G&amp;C VII Limited 嘉兴厚锦投资合伙 企业（有限合伙） 浙江省嘉兴市南湖区 广益路 883 号联创大 厦 2 号楼 5 层 577 室- 13 北京市西城区 庄胜广场南翼 1646 号 嘉兴厚毅投资合伙 企业（有限合伙） 浙江省嘉兴市南湖区 广益路 883 号联创大 厦 2 号楼 5 层 577 室- 12 嘉兴厚毓投资合伙 企业（有限合伙） 浙江省嘉兴市南湖区 广益路 883 号联创大 厦 2 号楼 5 层 577 室- 11 嘉兴厚咨投资合伙 企业（有限合伙） 浙江省嘉兴市南湖区 广益路 883 号联创大 厦…</x:v>
      </x:c>
      <x:c r="N203" s="51" t="str">
        <x:v>0-无关</x:v>
      </x:c>
      <x:c r="O203" s="51" t="str">
        <x:v>否</x:v>
      </x:c>
      <x:c r="P203" s="71" t="str">
        <x:v>《简式权益变动报告书》（第1页）内容为“1 无锡药明康德新药开发股份有限公司 简式权益变动报告书 上市公司名称：无锡药明康德新药开发股份有限公司 股票上市地点：上海证券交易所、香港联合交易所有限…”，属于治理、证券程序或其他非核心事项，不能帮助判断“地缘政治与监管变化是否影响客户留存和产能利用”，故判0级。</x:v>
      </x:c>
      <x:c r="Q203" s="51" t="str">
        <x:v>FIN-R01</x:v>
      </x:c>
      <x:c r="R203" s="202" t="n">
        <x:v>46260.92880688657</x:v>
      </x:c>
    </x:row>
    <x:row r="204" ht="72" customHeight="1">
      <x:c r="A204" s="50" t="str">
        <x:v>V4-R-Q026-C08</x:v>
      </x:c>
      <x:c r="B204" s="50" t="str">
        <x:v>V4-E-Q026-C08</x:v>
      </x:c>
      <x:c r="C204" s="50" t="str">
        <x:v>V4-Q026</x:v>
      </x:c>
      <x:c r="D204" s="49" t="str">
        <x:v>药明康德</x:v>
      </x:c>
      <x:c r="E204" s="50" t="str">
        <x:v>603259</x:v>
      </x:c>
      <x:c r="F204" s="81" t="n">
        <x:v>46260.75</x:v>
      </x:c>
      <x:c r="G204" s="65" t="str">
        <x:v>地缘政治与监管变化是否影响客户留存和产能利用</x:v>
      </x:c>
      <x:c r="H204" s="50" t="str">
        <x:v>DOC-EVT-603259-00422</x:v>
      </x:c>
      <x:c r="I204" s="65" t="str">
        <x:v>关于股东权益变动触及1%刻度的提示性公告</x:v>
      </x:c>
      <x:c r="J204" s="81" t="n">
        <x:v>46010</x:v>
      </x:c>
      <x:c r="K204" s="87" t="str">
        <x:v>http://static.cninfo.com.cn/finalpage/2025-12-19/1224885287.PDF</x:v>
      </x:c>
      <x:c r="L204" s="49" t="str">
        <x:v>第1页</x:v>
      </x:c>
      <x:c r="M204" s="65" t="str">
        <x:v>证券代码：603259 证券简称：药明康德 公告编号：临 2025-075 关于股东权益变动触及 1%刻度的提示性公告 重要内容提示： 权益变动方向 比例增加□ 比例减少√ 权益变动前合计比例 17.95% 权益变动后合计比例 16.97% 本次变动是否违反已作出的承 诺、意向、计划 是□ 否√ 是否触发强制要约收购义务 是□ 否√ 一、 信息披露义务人及其一致行动人的基本信息 1、身份类别 投资者及其一致行动人的身份 √控股股东/实际控制人及其一致行动人 □其他 5%以上大股东及其一致行动人 □合并口径第一大股东及其一致行动人（仅适用 于无控股股东、实际控制人） □其他______________（请注明） 2、信息披露义务人信息 信息披露义务人名称 投资者身份 统一社会信用代码 G&amp;C IV Hong Kong Limited □ 控股股东/实控人 √ 控股股东/实控人的一致 行动人 □ 其他直接持股股东 □ _____________ √ 不适用 G&amp;C V Limited □ 控股股东/实控人 √ 控股股东/实控人的一致 行动人 □ 其他直接持股股东 □ _____________ √ 不适用 G&amp;C VI Limited □ 控股股东/实控人 √ 控股股东/实控人的一致 行动人 □ _____________ √ 不适用 相关股东保证向公司提供的信息真实、准确、完整，没有虚假记载、误导性陈述或 重大遗漏。 公司董事会及全体董事保证公告内容与相关股东提供的信息一致。</x:v>
      </x:c>
      <x:c r="N204" s="51" t="str">
        <x:v>0-无关</x:v>
      </x:c>
      <x:c r="O204" s="51" t="str">
        <x:v>否</x:v>
      </x:c>
      <x:c r="P204" s="71" t="str">
        <x:v>《关于股东权益变动触及1%刻度的提示性公告》（第1页）内容为“证券代码：603259 证券简称：药明康德 公告编号：临 2025-075 关于股东权益变动触及 1%刻度的提示性公告 重要内容提示： 权益变动方向 比例…”，属于治理、证券程序或其他非核心事项，不能帮助判断“地缘政治与监管变化是否影响客户留存和产能利用”，故判0级。</x:v>
      </x:c>
      <x:c r="Q204" s="51" t="str">
        <x:v>FIN-R01</x:v>
      </x:c>
      <x:c r="R204" s="202" t="n">
        <x:v>46260.92880688657</x:v>
      </x:c>
    </x:row>
    <x:row r="205" ht="72" customHeight="1">
      <x:c r="A205" s="50" t="str">
        <x:v>V4-R-Q026-C01</x:v>
      </x:c>
      <x:c r="B205" s="50" t="str">
        <x:v>V4-E-Q026-C01</x:v>
      </x:c>
      <x:c r="C205" s="50" t="str">
        <x:v>V4-Q026</x:v>
      </x:c>
      <x:c r="D205" s="49" t="str">
        <x:v>药明康德</x:v>
      </x:c>
      <x:c r="E205" s="50" t="str">
        <x:v>603259</x:v>
      </x:c>
      <x:c r="F205" s="81" t="n">
        <x:v>46260.75</x:v>
      </x:c>
      <x:c r="G205" s="65" t="str">
        <x:v>地缘政治与监管变化是否影响客户留存和产能利用</x:v>
      </x:c>
      <x:c r="H205" s="50" t="str">
        <x:v>DOC-EVT-603259-00222</x:v>
      </x:c>
      <x:c r="I205" s="65" t="str">
        <x:v>关于会计政策变更的公告</x:v>
      </x:c>
      <x:c r="J205" s="81" t="n">
        <x:v>45734</x:v>
      </x:c>
      <x:c r="K205" s="87" t="str">
        <x:v>http://static.cninfo.com.cn/finalpage/2025-03-18/1222822833.PDF</x:v>
      </x:c>
      <x:c r="L205" s="49" t="str">
        <x:v>第1页</x:v>
      </x:c>
      <x:c r="M205" s="65" t="str">
        <x:v>证券代码：603259 证券简称：药明康德 公告编号：临2025-014 无锡药明康德新药开发股份有限公司 关于会计政策变更的公告 本公司董事会及全体董事保证本公告内容不存在任何虚假记载、误导性陈述 或者重大遗漏，并对其内容的真实性、准确性和完整性承担法律责任。 重要内容提示： 本次会计政策变更仅影响财务报告附注中分部信息的列示，以更聚焦 地展现无锡药明康德新药开发股份有限公司 （以下简称“本公司”） 及其附属 子公司（以下简称“本集团”）的主要业务和增长点。本次变更不影响本公司 资产总额、负债总额、净资产及净利润等财务报表数据。 一、会计政策变更概述 本公司 通过独特的 “CRDMO”（Contract Research Development and Manufacturing Organization，合同研究、开发与生产）业务模式，不断降低研 发门槛，助力客户提升研发效率，为患者带来更多突破性的治疗方案，服务范 围涵盖化学药研发和生产、 生物学研究、 临床前测试和临床试验研究等领域。 为在财务报告中提供更聚焦、更相关的会计信息以反映本集团当前的主要业务情 况和增长点，本公司决定进行会计政策变更，调整报告分部的划分方式（以下 简称“本次会计政策变更”）。 本公司于2025年3月17日召开第三届董事会第十七次会议暨2024年年度董 事会审议通过《关于公司变更会计政策的议案》。 二、会计政策变更具体情况 本次会计政策变更前，本集团的报告分部主要划分为：化学业务（WuX…</x:v>
      </x:c>
      <x:c r="N205" s="51" t="str">
        <x:v>0-无关</x:v>
      </x:c>
      <x:c r="O205" s="51" t="str">
        <x:v>否</x:v>
      </x:c>
      <x:c r="P205" s="71" t="str">
        <x:v>《关于会计政策变更的公告》（第1页）内容为“证券代码：603259 证券简称：药明康德 公告编号：临2025-014 无锡药明康德新药开发股份有限公司 关于会计政策变更的公告 本公司董事会及全体董事…”，属于治理、证券程序或其他非核心事项，不能帮助判断“地缘政治与监管变化是否影响客户留存和产能利用”，故判0级。</x:v>
      </x:c>
      <x:c r="Q205" s="51" t="str">
        <x:v>FIN-R01</x:v>
      </x:c>
      <x:c r="R205" s="202" t="n">
        <x:v>46260.92880688657</x:v>
      </x:c>
    </x:row>
    <x:row r="206" ht="72" customHeight="1">
      <x:c r="A206" s="50" t="str">
        <x:v>V4-R-Q026-C04</x:v>
      </x:c>
      <x:c r="B206" s="50" t="str">
        <x:v>V4-E-Q026-C04</x:v>
      </x:c>
      <x:c r="C206" s="50" t="str">
        <x:v>V4-Q026</x:v>
      </x:c>
      <x:c r="D206" s="49" t="str">
        <x:v>药明康德</x:v>
      </x:c>
      <x:c r="E206" s="50" t="str">
        <x:v>603259</x:v>
      </x:c>
      <x:c r="F206" s="81" t="n">
        <x:v>46260.75</x:v>
      </x:c>
      <x:c r="G206" s="65" t="str">
        <x:v>地缘政治与监管变化是否影响客户留存和产能利用</x:v>
      </x:c>
      <x:c r="H206" s="50" t="str">
        <x:v>DOC-EVT-603259-00190</x:v>
      </x:c>
      <x:c r="I206" s="65" t="str">
        <x:v>关于5亿美元于2025年到期之零息有担保可转换债券在香港联合交易所有限公司上市的公告</x:v>
      </x:c>
      <x:c r="J206" s="81" t="n">
        <x:v>45587</x:v>
      </x:c>
      <x:c r="K206" s="87" t="str">
        <x:v>http://static.cninfo.com.cn/finalpage/2024-10-22/1221451426.PDF</x:v>
      </x:c>
      <x:c r="L206" s="49" t="str">
        <x:v>第1页</x:v>
      </x:c>
      <x:c r="M206" s="65" t="str">
        <x:v>1 证券代码：603259 证券简称：药明康德 公告编号：临 2024-069 无锡药明康德新药开发股份有限公司 关于 5 亿美元于 2025 年到期之零息有担保可转换债券 在香港联合交易所有限公司上市的公告 本公司董事会及全体董事保证本公告内容不存在任何虚假记载、 误导性陈述 或者重大遗漏，并对其内容的真实性、准确性和完整性承担法律责任。 无锡药明康德新药开发股份有限公司（以下简称“本公司” ）及其全资子公 司WuXi AppTec (HongKong) Limited（药明康德（香港）有限公司，以下简称“药 明香港” ）已向香港联合交易所有限公司申请批准由药明香港发行并由本公司无 条件及不可撤销地担保的 5 亿美元于 2025 年到期之零息有担保可转换债券（以 下简称“可转债” ）的上市及交易。可转债仅可以债券发行的方式向《香港联合 交易所有限公司证券上市规则》第 37 章所规定的专业投资者发行。预计可转债 上市及交易的批准将于 2024 年 10 月 22 日生效。 特此公告。 无锡药明康德新药开发股份有限公司董事会 2024 年 10 月 22 日</x:v>
      </x:c>
      <x:c r="N206" s="51" t="str">
        <x:v>0-无关</x:v>
      </x:c>
      <x:c r="O206" s="51" t="str">
        <x:v>否</x:v>
      </x:c>
      <x:c r="P206" s="71" t="str">
        <x:v>《关于5亿美元于2025年到期之零息有担保可转换债券在香港联合交易所…》（第1页）内容为“1 证券代码：603259 证券简称：药明康德 公告编号：临 2024-069 无锡药明康德新药开发股份有限公司 关于 5 亿美元于 2025 年到期之零…”，属于治理、证券程序或其他非核心事项，不能帮助判断“地缘政治与监管变化是否影响客户留存和产能利用”，故判0级。</x:v>
      </x:c>
      <x:c r="Q206" s="51" t="str">
        <x:v>FIN-R01</x:v>
      </x:c>
      <x:c r="R206" s="202" t="n">
        <x:v>46260.92880688657</x:v>
      </x:c>
    </x:row>
    <x:row r="207" ht="72" customHeight="1">
      <x:c r="A207" s="50" t="str">
        <x:v>V4-R-Q026-C06</x:v>
      </x:c>
      <x:c r="B207" s="50" t="str">
        <x:v>V4-E-Q026-C06</x:v>
      </x:c>
      <x:c r="C207" s="50" t="str">
        <x:v>V4-Q026</x:v>
      </x:c>
      <x:c r="D207" s="49" t="str">
        <x:v>药明康德</x:v>
      </x:c>
      <x:c r="E207" s="50" t="str">
        <x:v>603259</x:v>
      </x:c>
      <x:c r="F207" s="81" t="n">
        <x:v>46260.75</x:v>
      </x:c>
      <x:c r="G207" s="65" t="str">
        <x:v>地缘政治与监管变化是否影响客户留存和产能利用</x:v>
      </x:c>
      <x:c r="H207" s="50" t="str">
        <x:v>DOC-EVT-603259-00442</x:v>
      </x:c>
      <x:c r="I207" s="65" t="str">
        <x:v>2025年年度报告摘要</x:v>
      </x:c>
      <x:c r="J207" s="81" t="n">
        <x:v>46105</x:v>
      </x:c>
      <x:c r="K207" s="87" t="str">
        <x:v>http://static.cninfo.com.cn/finalpage/2026-03-24/1225025212.PDF</x:v>
      </x:c>
      <x:c r="L207" s="49" t="str">
        <x:v>第7页</x:v>
      </x:c>
      <x:c r="M207" s="65" t="str">
        <x:v>无锡药明康德新药开发股份有限公司2025 年年度报告摘要 第三节 重要事项 1、 公司应当根据重要性原则，披露报告期内公司经营情况的重大变化，以及报告期内发生的对 公司经营情况有重大影响和预计未来会有重大影响的事项。 报告期内，公司发挥全球布局、全产业链覆盖的优势，各个地区联动，并抓住新的业务机遇， 持续为客户赋能。公司各业务板块营业收入情况如下： 单位：万元 币种：人民币 报告分部 本期数 上年同期数 变动比例（%） 化学业务 （WuXi Chemistry） 3,646,584.69 2,905,240.91 25.52 测试业务 （WuXi Testing） 404,170.10 386,064.65 4.69 生物学业务 （WuXi Biology） 267,717.50 254,392.63 5.24 其他业务 （Others） 23,610.08 30,976.37 -23.78 持续经营业务小计 4,342,082.37 3,576,674.56 21.40 终止经营业务（注 1） 203,534.20 347,468.57 -41.42 合计 4,545,616.58 3,924,143.14 15.84 注 1：依据企业会计准则规定，公司将本年或对比年度内已签署股权出售协议、完成出售或 正处于终止阶段的相关业务，划分为终止经营业务，相应重述了可比期间的数据。 注 2：上表中单项之和与合计不等为四舍五入造成。 公司 2025 年实现营业收入人民币 454.6…</x:v>
      </x:c>
      <x:c r="N207" s="51" t="str">
        <x:v>2-间接相关</x:v>
      </x:c>
      <x:c r="O207" s="51" t="str">
        <x:v>是</x:v>
      </x:c>
      <x:c r="P207" s="71" t="str">
        <x:v>《2025年年度报告摘要》（第7页）披露“无锡药明康德新药开发股份有限公司2025 年年度报告摘要 第三节 重要事项 1、 公司应当根据重要性原则，披露报告期内公司经营情况的重大变化，以及报告期内…”，可建立公告事项到“地缘政治与监管变化是否影响客户留存和产能利用”的一阶业务传导链；但未直接给出最终结果，故判2级。</x:v>
      </x:c>
      <x:c r="Q207" s="51" t="str">
        <x:v>FIN-R01</x:v>
      </x:c>
      <x:c r="R207" s="202" t="n">
        <x:v>46260.92880688657</x:v>
      </x:c>
    </x:row>
    <x:row r="208" ht="72" customHeight="1">
      <x:c r="A208" s="50" t="str">
        <x:v>V4-R-Q026-C07</x:v>
      </x:c>
      <x:c r="B208" s="50" t="str">
        <x:v>V4-E-Q026-C07</x:v>
      </x:c>
      <x:c r="C208" s="50" t="str">
        <x:v>V4-Q026</x:v>
      </x:c>
      <x:c r="D208" s="49" t="str">
        <x:v>药明康德</x:v>
      </x:c>
      <x:c r="E208" s="50" t="str">
        <x:v>603259</x:v>
      </x:c>
      <x:c r="F208" s="81" t="n">
        <x:v>46260.75</x:v>
      </x:c>
      <x:c r="G208" s="65" t="str">
        <x:v>地缘政治与监管变化是否影响客户留存和产能利用</x:v>
      </x:c>
      <x:c r="H208" s="50" t="str">
        <x:v>DOC-EVT-603259-00249</x:v>
      </x:c>
      <x:c r="I208" s="65" t="str">
        <x:v>2024年年度报告摘要</x:v>
      </x:c>
      <x:c r="J208" s="81" t="n">
        <x:v>45734</x:v>
      </x:c>
      <x:c r="K208" s="87" t="str">
        <x:v>http://static.cninfo.com.cn/finalpage/2025-03-18/1222822845.PDF</x:v>
      </x:c>
      <x:c r="L208" s="49" t="str">
        <x:v>第7页</x:v>
      </x:c>
      <x:c r="M208" s="65" t="str">
        <x:v>无锡药明康德新药开发股份有限公司 2024 年年度报告摘要 第三节 重要事项 1、 公司应当根据重要性原则，披露报告期内公司经营情况的重大变化，以及报告期内发生的对 公司经营情况有重大影响和预计未来会有重大影响的事项。 报告期内，公司发挥全球布局、全产业链覆盖的优势，各个地区联动，并抓住新的业务机遇， 持续为客户赋能。公司各业务板块营业收入情况如下： 单位：万元 币种：人民币 报告分部 本期数 上年同期数 变动比例（%） 化学业务 （WuXi Chemistry） 2,905,240.91 2,917,148.82 -0.41 测试业务 （WuXi Testing） 567,073.84 595,773.07 -4.82 生物学业务 （WuXi Biology） 254,392.63 255,255.40 -0.34 其他业务 （Others）（注1） 65,070.84 99,622.66 -34.68 终止经营业务（注2） 132,364.92 166,280.73 -20.40 合计 3,924,143.14 4,034,080.69 -2.73 注 1：其他业务包括非核心业务及其他行政服务、销售原材料和废料收入。 注 2：于2024 年末，本集团已签订协议出售WuXi ATU 业务的美国和英国运营主体及美国医 疗器械测试业务。依据企业会计准则规定，上述业务被划分为终止经营业务。截至本报告日，本 集团已完成出售WuXi ATU 业务的美国和英国运营主体及美国医疗器械测…</x:v>
      </x:c>
      <x:c r="N208" s="51" t="str">
        <x:v>2-间接相关</x:v>
      </x:c>
      <x:c r="O208" s="51" t="str">
        <x:v>是</x:v>
      </x:c>
      <x:c r="P208" s="71" t="str">
        <x:v>《2024年年度报告摘要》（第7页）披露“无锡药明康德新药开发股份有限公司 2024 年年度报告摘要 第三节 重要事项 1、 公司应当根据重要性原则，披露报告期内公司经营情况的重大变化，以及报告期…”，可建立公告事项到“地缘政治与监管变化是否影响客户留存和产能利用”的一阶业务传导链；但未直接给出最终结果，故判2级。</x:v>
      </x:c>
      <x:c r="Q208" s="51" t="str">
        <x:v>FIN-R01</x:v>
      </x:c>
      <x:c r="R208" s="202" t="n">
        <x:v>46260.92880688657</x:v>
      </x:c>
    </x:row>
    <x:row r="209" ht="72" customHeight="1">
      <x:c r="A209" s="50" t="str">
        <x:v>V4-R-Q026-C02</x:v>
      </x:c>
      <x:c r="B209" s="50" t="str">
        <x:v>V4-E-Q026-C02</x:v>
      </x:c>
      <x:c r="C209" s="50" t="str">
        <x:v>V4-Q026</x:v>
      </x:c>
      <x:c r="D209" s="49" t="str">
        <x:v>药明康德</x:v>
      </x:c>
      <x:c r="E209" s="50" t="str">
        <x:v>603259</x:v>
      </x:c>
      <x:c r="F209" s="81" t="n">
        <x:v>46260.75</x:v>
      </x:c>
      <x:c r="G209" s="65" t="str">
        <x:v>地缘政治与监管变化是否影响客户留存和产能利用</x:v>
      </x:c>
      <x:c r="H209" s="50" t="str">
        <x:v>DOC-EVT-603259-00414</x:v>
      </x:c>
      <x:c r="I209" s="65" t="str">
        <x:v>关于出售资产公告</x:v>
      </x:c>
      <x:c r="J209" s="81" t="n">
        <x:v>45957</x:v>
      </x:c>
      <x:c r="K209" s="87" t="str">
        <x:v>http://static.cninfo.com.cn/finalpage/2025-10-27/1224737985.PDF</x:v>
      </x:c>
      <x:c r="L209" s="49" t="str">
        <x:v>第3页</x:v>
      </x:c>
      <x:c r="M209" s="65" t="str">
        <x:v>□其他，具体为： 交易标的类型（可多 选） √ 股权资产 □非股权资产 交易标的名称 康德弘翼100%股权；津石医药 100%股权 是否涉及跨境交易 □是 √否 交易价格  已确定，具体金额（万元）： √ 尚未确定（以人民币28 亿元作为基准股权转让价款， 根据目标公司于放款日的财务情况及 2026 年至 2028 年的业绩完成情况确定最终股权转让价款，具体详见 本公告“五、交易协议的主要内容及履约安排”之“3、 股权转让价款及支付安排”） 账面成本 两家目标公司的账面成本尚需根据交割日最终确定 截至 2025 年 9 月 30 日，两家目标公司的财务数据具 体详见本公告“三、交易标的基本情况” 之“（二）交 易标的主要财务信息” 交易价格与账面值相 比的溢价情况 鉴于交易价格和账面成本的上述情况，尚未确定 具体详见本公告“四、交易标的定价情况” 支付安排 全额一次付清，约定付款时点： √ 分期付款，约定分期条款：具体详见本公告“五、交 易协议的主要内容及履约安排” 是否设置业绩对赌条 款 √是 否（具体详见本公告“五、交易协议的主要内 容及履约安排”之“3、股权转让价款及支付安排”） （二）公司董事会审议本次交易的情况 公司于 2025 年 10 月 24 日召开了第三届董事会第二十六次会议， 以11 票同 意，0 票反对，0 票弃权的表决结果审议通过了《关于出售资产的议案》，同意 公司实施本次交易，并同意授权董事会授权的具体人士单独或共同全权办理本次 交易相关事宜。</x:v>
      </x:c>
      <x:c r="N209" s="51" t="str">
        <x:v>2-间接相关</x:v>
      </x:c>
      <x:c r="O209" s="51" t="str">
        <x:v>是</x:v>
      </x:c>
      <x:c r="P209" s="71" t="str">
        <x:v>《关于出售资产公告》（第3页）披露“□其他，具体为： 交易标的类型（可多 选） √ 股权资产 □非股权资产 交易标的名称 康德弘翼100%股权；津石医药 100%股权 是否涉及跨境交易 □是…”，可建立公告事项到“地缘政治与监管变化是否影响客户留存和产能利用”的一阶业务传导链；但未直接给出最终结果，故判2级。</x:v>
      </x:c>
      <x:c r="Q209" s="51" t="str">
        <x:v>FIN-R01</x:v>
      </x:c>
      <x:c r="R209" s="202" t="n">
        <x:v>46260.92880688657</x:v>
      </x:c>
    </x:row>
    <x:row r="210" ht="72" customHeight="1">
      <x:c r="A210" s="50" t="str">
        <x:v>V4-R-Q027-C08</x:v>
      </x:c>
      <x:c r="B210" s="50" t="str">
        <x:v>V4-E-Q027-C08</x:v>
      </x:c>
      <x:c r="C210" s="50" t="str">
        <x:v>V4-Q027</x:v>
      </x:c>
      <x:c r="D210" s="49" t="str">
        <x:v>药明康德</x:v>
      </x:c>
      <x:c r="E210" s="50" t="str">
        <x:v>603259</x:v>
      </x:c>
      <x:c r="F210" s="81" t="n">
        <x:v>46260.75</x:v>
      </x:c>
      <x:c r="G210" s="65" t="str">
        <x:v>资产减值与产能调整是否会持续影响盈利质量</x:v>
      </x:c>
      <x:c r="H210" s="50" t="str">
        <x:v>DOC-EVT-603259-00283</x:v>
      </x:c>
      <x:c r="I210" s="65" t="str">
        <x:v>关于实施2024年度及2025年回报股东特别分红A股权益分派后调整回购价格上限的公告</x:v>
      </x:c>
      <x:c r="J210" s="81" t="n">
        <x:v>45792</x:v>
      </x:c>
      <x:c r="K210" s="87" t="str">
        <x:v>http://static.cninfo.com.cn/finalpage/2025-05-15/1223543248.PDF</x:v>
      </x:c>
      <x:c r="L210" s="49" t="str">
        <x:v>第1页</x:v>
      </x:c>
      <x:c r="M210" s="65" t="str">
        <x:v>1 证券代码：603259 证券简称：药明康德 公告编号：临 2025-037 无锡药明康德新药开发股份有限公司 关于实施 2024 年度及 2025 年回报股东特别分红A 股权益分派后 调整回购价格上限的公告 本公司董事会及全体董事保证本公告内容不存在任何虚假记载、误导性陈述 或者重大遗漏，并对其内容的真实性、准确性和完整性承担法律责任。 重要内容提示： 调整前回购价格上限：无锡药明康德新药开发股份有限公司（以下简称 “公司”）2024年年度股东大会审议通过的《关于 2025年以集中竞价交易方式 回购公司 A股股份的议案》项下的回购方案（以下简称“2025年第一次回购股 份方案”）的调整前回购价格上限为 92.05元/股（含），公司第三届董事会第二 十次会议审议通过的《关于 2025年第二次以集中竞价交易方式回购公司 A股股 份的议案》项下的回购方案（以下简称“2025年第二次回购股份方案”）的调 整前回购价格上限为 97.24元/股（含）。 调整后回购价格上限：2025年第一次回购股份方案的调整后回购价格上 限为 90.72元/股（含），2025年第二次回购股份方案的调整后回购价格上限为 95.91元/股（含）。 回购价格上限调整起始日期：2025年 5月 21日（权益分派除权除息日）。 一、回购股份的基本情况 （一）2025年第一次回购股份方案 公司于 2025年 4月 29日召开 2024年年度股东大会审议通过了《关于2025 年以集中竞价交易方式回购公…</x:v>
      </x:c>
      <x:c r="N210" s="51" t="str">
        <x:v>0-无关</x:v>
      </x:c>
      <x:c r="O210" s="51" t="str">
        <x:v>否</x:v>
      </x:c>
      <x:c r="P210" s="71" t="str">
        <x:v>《关于实施2024年度及2025年回报股东特别分红A股权益分派后调整…》（第1页）内容为“1 证券代码：603259 证券简称：药明康德 公告编号：临 2025-037 无锡药明康德新药开发股份有限公司 关于实施 2024 年度及 2025 年…”，属于治理、证券程序或其他非核心事项，不能帮助判断“资产减值与产能调整是否会持续影响盈利质量”，故判0级。</x:v>
      </x:c>
      <x:c r="Q210" s="51" t="str">
        <x:v>FIN-R01</x:v>
      </x:c>
      <x:c r="R210" s="202" t="n">
        <x:v>46260.92880688657</x:v>
      </x:c>
    </x:row>
    <x:row r="211" ht="72" customHeight="1">
      <x:c r="A211" s="50" t="str">
        <x:v>V4-R-Q027-C05</x:v>
      </x:c>
      <x:c r="B211" s="50" t="str">
        <x:v>V4-E-Q027-C05</x:v>
      </x:c>
      <x:c r="C211" s="50" t="str">
        <x:v>V4-Q027</x:v>
      </x:c>
      <x:c r="D211" s="49" t="str">
        <x:v>药明康德</x:v>
      </x:c>
      <x:c r="E211" s="50" t="str">
        <x:v>603259</x:v>
      </x:c>
      <x:c r="F211" s="81" t="n">
        <x:v>46260.75</x:v>
      </x:c>
      <x:c r="G211" s="65" t="str">
        <x:v>资产减值与产能调整是否会持续影响盈利质量</x:v>
      </x:c>
      <x:c r="H211" s="50" t="str">
        <x:v>DOC-EVT-603259-00407</x:v>
      </x:c>
      <x:c r="I211" s="65" t="str">
        <x:v>关于出售部分股票资产的公告</x:v>
      </x:c>
      <x:c r="J211" s="81" t="n">
        <x:v>45940</x:v>
      </x:c>
      <x:c r="K211" s="87" t="str">
        <x:v>http://static.cninfo.com.cn/finalpage/2025-10-10/1224703399.PDF</x:v>
      </x:c>
      <x:c r="L211" s="49" t="str">
        <x:v>第1页</x:v>
      </x:c>
      <x:c r="M211" s="65" t="str">
        <x:v>证券代码：603259 证券简称：药明康德 公告编号：临 2025-066 无锡药明康德新药开发股份有限公司 关于出售部分股票资产的公告 本公司董事会及全体董事保证本公告内容不存在任何虚假记载、误导性陈述 或者重大遗漏，并对其内容的真实性、准确性和完整性承担法律责任。 一、交易情况 2025 年 9 月 23 日，无锡药明康德新药开发股份有限公司（以下简称“公司”） 2025 年第二次临时股东大会审议通过《关于授权公司投资部处置所持已上市流 通股份的议案》，同意授权董事会，并同意董事会进一步授权公司投资部在处置 股份授权额度内确定具体处置方案（包括但不限于确定处置标的、出售价格、数 量及方式等），前述授权的有效期为股东大会审议通过本议案之日起至处置股份 授权届满之日止。具体内容请见公司于 2025 年 9 月 3 日及 9 月 24 日披露的相关 公告。 公司通过间接控股子公司持有联营企业 WuXi XDC Cayman Inc.（药明合联 生物技术有限公司，以下简称“药明合联”，为香港联合交易所有限公司主板上 市公司，股份代号：2268）的股票，并已在相关授权项下出售所持有的药明合联 部分股票，具体内容请见公司于 2025 年 1 月 14 日及 2025 年 4 月 3 日披露的相 关公告。 2025 年10 月8 日，公司通过大宗交易继续出售所持有的药明合联30,300,000 股股票，约占药明合联当前总股本的 2.47%，成交金额约 23.46 亿港元（不包含 手续…</x:v>
      </x:c>
      <x:c r="N211" s="51" t="str">
        <x:v>1-弱相关</x:v>
      </x:c>
      <x:c r="O211" s="51" t="str">
        <x:v>否</x:v>
      </x:c>
      <x:c r="P211" s="71" t="str">
        <x:v>《关于出售部分股票资产的公告》（第1页）仅披露“证券代码：603259 证券简称：药明康德 公告编号：临 2025-066 无锡药明康德新药开发股份有限公司 关于出售部分股票资产的公告 本公司董事会及全…”，虽与公司经营或相邻主题有关，但不足以验证“资产减值与产能调整是否会持续影响盈利质量”的关键路径，故判1级。</x:v>
      </x:c>
      <x:c r="Q211" s="51" t="str">
        <x:v>FIN-R01</x:v>
      </x:c>
      <x:c r="R211" s="202" t="n">
        <x:v>46260.92880688657</x:v>
      </x:c>
    </x:row>
    <x:row r="212" ht="72" customHeight="1">
      <x:c r="A212" s="50" t="str">
        <x:v>V4-R-Q027-C02</x:v>
      </x:c>
      <x:c r="B212" s="50" t="str">
        <x:v>V4-E-Q027-C02</x:v>
      </x:c>
      <x:c r="C212" s="50" t="str">
        <x:v>V4-Q027</x:v>
      </x:c>
      <x:c r="D212" s="49" t="str">
        <x:v>药明康德</x:v>
      </x:c>
      <x:c r="E212" s="50" t="str">
        <x:v>603259</x:v>
      </x:c>
      <x:c r="F212" s="81" t="n">
        <x:v>46260.75</x:v>
      </x:c>
      <x:c r="G212" s="65" t="str">
        <x:v>资产减值与产能调整是否会持续影响盈利质量</x:v>
      </x:c>
      <x:c r="H212" s="50" t="str">
        <x:v>DOC-EVT-603259-00448</x:v>
      </x:c>
      <x:c r="I212" s="65" t="str">
        <x:v>2025年度可持续发展报告</x:v>
      </x:c>
      <x:c r="J212" s="81" t="n">
        <x:v>46105</x:v>
      </x:c>
      <x:c r="K212" s="87" t="str">
        <x:v>http://static.cninfo.com.cn/finalpage/2026-03-24/1225025195.PDF</x:v>
      </x:c>
      <x:c r="L212" s="49" t="str">
        <x:v>第3页</x:v>
      </x:c>
      <x:c r="M212" s="65" t="str">
        <x:v>01关于药明康德 可持续发展战略 责任公民 赋能客户 守护地球 以人为本 绩效表 关于本报告 概览 本报告是无锡药明康德新药开发股份有限公司（以下简称“药明康 德”“本公司”“公司”“我们”）发布的第八份可持续发展报告（前 称环境、社会及管治报告），反映本公司及附属公司在可持续发展方面 的表现。本报告为年度报告，涵盖2025年1月1日至2025年12月31 日财务年度（以下简称“报告期”）的工作，部分关联信息可能溯及报 告期外。 编制依据 本报告依据香港联合交易所有限公司 ( 以下简称“香港联交所”)《主板 上市规则》附录 C2《环境、社会及管治报告守则》以及上海证券交易所 《上海证券交易所上市公司自律监管指引第14号——可持续发展报告 （试 行）》进行编制。 同时，本报告符合《GRI可持续发展报告标准》（GRI标准） 编制要求， 亦参考与回应了联合国可持续发展目标（UN SDGs）、可持续会计准则 委员会（SASB）标准、全球契约十项原则及《国际财务报告可持续披露 准则 S2 号——气候相关披露》 的相关披露要求，结合本公司重要性议 题分析结果进行编写。 报告范围及边界 本报告中提供的政策及数据涵盖本公司及附属公司，报告范围与年报一致。 本报告的信息和数据主要来源于本公司的统计报告和相关文件。 报告语言 本报告的中英文版本如有歧义，概以英文版为准。 报告鉴证 药明康德委托南德认证检测 ( 中国 ) 有限公司对本报告提供独立鉴证声明， 详细信息请见附录四。 确认及批准 本报…</x:v>
      </x:c>
      <x:c r="N212" s="51" t="str">
        <x:v>0-无关</x:v>
      </x:c>
      <x:c r="O212" s="51" t="str">
        <x:v>否</x:v>
      </x:c>
      <x:c r="P212" s="71" t="str">
        <x:v>《2025年度可持续发展报告》（第3页）内容为“01关于药明康德 可持续发展战略 责任公民 赋能客户 守护地球 以人为本 绩效表 关于本报告 概览 本报告是无锡药明康德新药开发股份有限公司（以下简称“药…”，属于治理、证券程序或其他非核心事项，不能帮助判断“资产减值与产能调整是否会持续影响盈利质量”，故判0级。</x:v>
      </x:c>
      <x:c r="Q212" s="51" t="str">
        <x:v>FIN-R01</x:v>
      </x:c>
      <x:c r="R212" s="202" t="n">
        <x:v>46260.92880688657</x:v>
      </x:c>
    </x:row>
    <x:row r="213" ht="72" customHeight="1">
      <x:c r="A213" s="50" t="str">
        <x:v>V4-R-Q027-C06</x:v>
      </x:c>
      <x:c r="B213" s="50" t="str">
        <x:v>V4-E-Q027-C06</x:v>
      </x:c>
      <x:c r="C213" s="50" t="str">
        <x:v>V4-Q027</x:v>
      </x:c>
      <x:c r="D213" s="49" t="str">
        <x:v>药明康德</x:v>
      </x:c>
      <x:c r="E213" s="50" t="str">
        <x:v>603259</x:v>
      </x:c>
      <x:c r="F213" s="81" t="n">
        <x:v>46260.75</x:v>
      </x:c>
      <x:c r="G213" s="65" t="str">
        <x:v>资产减值与产能调整是否会持续影响盈利质量</x:v>
      </x:c>
      <x:c r="H213" s="50" t="str">
        <x:v>DOC-EVT-603259-00520</x:v>
      </x:c>
      <x:c r="I213" s="65" t="str">
        <x:v>2026年半年度报告</x:v>
      </x:c>
      <x:c r="J213" s="81" t="n">
        <x:v>46238</x:v>
      </x:c>
      <x:c r="K213" s="87" t="str">
        <x:v>http://static.cninfo.com.cn/finalpage/2026-08-04/1225455027.PDF</x:v>
      </x:c>
      <x:c r="L213" s="49" t="str">
        <x:v>第9页</x:v>
      </x:c>
      <x:c r="M213" s="65" t="str">
        <x:v>无锡药明康德新药开发股份有限公司2026 年半年度报告 9 / 199 九、 非经常性损益项目和金额 √适用 □不适用 单位：元 币种：人民币 非经常性损益项目 金额 附注（如适用） 非流动性资产处置损益，包括已计提资产减值 准备的冲销部分 6,175,185.13 计入当期损益的各国政府补助，但与公司正常 经营业务密切相关、符合各国国家政策规定、 按照确定的标准享有、对公司损益产生持续影 响的各国政府补助除外 69,913,752.93 除同公司正常经营业务相关的有效套期保值 业务外，非金融企业持有金融资产和金融负债 产生的公允价值变动损益以及处置金融资产 和金融负债产生的损益 490,749,392.73 主要系非流动金融资 产、衍生金融工具等公 允价值变动及处置损益 除上述各项之外的其他营业外收入和支出 -10,925,174.70 其他符合非经常性损益定义的损益项目 18,718,037.53 系公司剥离部分业务产 生的长期应收款的利息 收入 减：所得税影响额 66,091,950.65 少数股东权益影响额（税后） 542,899.38 合计 507,996,343.59 对公司将《公开发行证券的公司信息披露解释性公告第 1号——非经常性损益》未列举的项目认 定为非经常性损益项目且金额重大的，以及将《公开发行证券的公司信息披露解释性公告第 1号 ——非经常性损益》中列举的非经常性损益项目界定为经常性损益的项目，应说明原因。 □适用 √不适用 十、 存在股权激励、员工…</x:v>
      </x:c>
      <x:c r="N213" s="51" t="str">
        <x:v>2-间接相关</x:v>
      </x:c>
      <x:c r="O213" s="51" t="str">
        <x:v>是</x:v>
      </x:c>
      <x:c r="P213" s="71" t="str">
        <x:v>《2026年半年度报告》（第9页）披露“无锡药明康德新药开发股份有限公司2026 年半年度报告 9 / 199 九、 非经常性损益项目和金额 √适用 □不适用 单位：元 币种：人民币 非经常性损…”，可建立公告事项到“资产减值与产能调整是否会持续影响盈利质量”的一阶业务传导链；但未直接给出最终结果，故判2级。</x:v>
      </x:c>
      <x:c r="Q213" s="51" t="str">
        <x:v>FIN-R01</x:v>
      </x:c>
      <x:c r="R213" s="202" t="n">
        <x:v>46260.92880688657</x:v>
      </x:c>
    </x:row>
    <x:row r="214" ht="72" customHeight="1">
      <x:c r="A214" s="50" t="str">
        <x:v>V4-R-Q027-C01</x:v>
      </x:c>
      <x:c r="B214" s="50" t="str">
        <x:v>V4-E-Q027-C01</x:v>
      </x:c>
      <x:c r="C214" s="50" t="str">
        <x:v>V4-Q027</x:v>
      </x:c>
      <x:c r="D214" s="49" t="str">
        <x:v>药明康德</x:v>
      </x:c>
      <x:c r="E214" s="50" t="str">
        <x:v>603259</x:v>
      </x:c>
      <x:c r="F214" s="81" t="n">
        <x:v>46260.75</x:v>
      </x:c>
      <x:c r="G214" s="65" t="str">
        <x:v>资产减值与产能调整是否会持续影响盈利质量</x:v>
      </x:c>
      <x:c r="H214" s="50" t="str">
        <x:v>DOC-EVT-603259-00414</x:v>
      </x:c>
      <x:c r="I214" s="65" t="str">
        <x:v>关于出售资产公告</x:v>
      </x:c>
      <x:c r="J214" s="81" t="n">
        <x:v>45957</x:v>
      </x:c>
      <x:c r="K214" s="87" t="str">
        <x:v>http://static.cninfo.com.cn/finalpage/2025-10-27/1224737985.PDF</x:v>
      </x:c>
      <x:c r="L214" s="49" t="str">
        <x:v>第3页</x:v>
      </x:c>
      <x:c r="M214" s="65" t="str">
        <x:v>□其他，具体为： 交易标的类型（可多 选） √ 股权资产 □非股权资产 交易标的名称 康德弘翼100%股权；津石医药 100%股权 是否涉及跨境交易 □是 √否 交易价格  已确定，具体金额（万元）： √ 尚未确定（以人民币28 亿元作为基准股权转让价款， 根据目标公司于放款日的财务情况及 2026 年至 2028 年的业绩完成情况确定最终股权转让价款，具体详见 本公告“五、交易协议的主要内容及履约安排”之“3、 股权转让价款及支付安排”） 账面成本 两家目标公司的账面成本尚需根据交割日最终确定 截至 2025 年 9 月 30 日，两家目标公司的财务数据具 体详见本公告“三、交易标的基本情况” 之“（二）交 易标的主要财务信息” 交易价格与账面值相 比的溢价情况 鉴于交易价格和账面成本的上述情况，尚未确定 具体详见本公告“四、交易标的定价情况” 支付安排 全额一次付清，约定付款时点： √ 分期付款，约定分期条款：具体详见本公告“五、交 易协议的主要内容及履约安排” 是否设置业绩对赌条 款 √是 否（具体详见本公告“五、交易协议的主要内 容及履约安排”之“3、股权转让价款及支付安排”） （二）公司董事会审议本次交易的情况 公司于 2025 年 10 月 24 日召开了第三届董事会第二十六次会议， 以11 票同 意，0 票反对，0 票弃权的表决结果审议通过了《关于出售资产的议案》，同意 公司实施本次交易，并同意授权董事会授权的具体人士单独或共同全权办理本次 交易相关事宜。</x:v>
      </x:c>
      <x:c r="N214" s="51" t="str">
        <x:v>2-间接相关</x:v>
      </x:c>
      <x:c r="O214" s="51" t="str">
        <x:v>是</x:v>
      </x:c>
      <x:c r="P214" s="71" t="str">
        <x:v>《关于出售资产公告》（第3页）披露“□其他，具体为： 交易标的类型（可多 选） √ 股权资产 □非股权资产 交易标的名称 康德弘翼100%股权；津石医药 100%股权 是否涉及跨境交易 □是…”，可建立公告事项到“资产减值与产能调整是否会持续影响盈利质量”的一阶业务传导链；但未直接给出最终结果，故判2级。</x:v>
      </x:c>
      <x:c r="Q214" s="51" t="str">
        <x:v>FIN-R01</x:v>
      </x:c>
      <x:c r="R214" s="202" t="n">
        <x:v>46260.92880688657</x:v>
      </x:c>
    </x:row>
    <x:row r="215" ht="72" customHeight="1">
      <x:c r="A215" s="50" t="str">
        <x:v>V4-R-Q027-C03</x:v>
      </x:c>
      <x:c r="B215" s="50" t="str">
        <x:v>V4-E-Q027-C03</x:v>
      </x:c>
      <x:c r="C215" s="50" t="str">
        <x:v>V4-Q027</x:v>
      </x:c>
      <x:c r="D215" s="49" t="str">
        <x:v>药明康德</x:v>
      </x:c>
      <x:c r="E215" s="50" t="str">
        <x:v>603259</x:v>
      </x:c>
      <x:c r="F215" s="81" t="n">
        <x:v>46260.75</x:v>
      </x:c>
      <x:c r="G215" s="65" t="str">
        <x:v>资产减值与产能调整是否会持续影响盈利质量</x:v>
      </x:c>
      <x:c r="H215" s="50" t="str">
        <x:v>DOC-EVT-603259-00421</x:v>
      </x:c>
      <x:c r="I215" s="65" t="str">
        <x:v>关于出售资产进展公告</x:v>
      </x:c>
      <x:c r="J215" s="81" t="n">
        <x:v>46007</x:v>
      </x:c>
      <x:c r="K215" s="87" t="str">
        <x:v>http://static.cninfo.com.cn/finalpage/2025-12-16/1224877334.PDF</x:v>
      </x:c>
      <x:c r="L215" s="49" t="str">
        <x:v>第1页</x:v>
      </x:c>
      <x:c r="M215" s="65" t="str">
        <x:v>证券代码：603259 证券简称：药明康德 公告编号：临2025-073 无锡药明康德新药开发股份有限公司 关于出售资产进展公告 本公司董事会及全体董事保证本公告内容不存在任何虚假记载、误导性陈述 或者重大遗漏，并对其内容的真实性、准确性和完整性承担法律责任。 一、交易概述 2025 年 10 月 24 日，无锡药明康德新药开发股份有限公司（以下简称“公 司”）召开第三届董事会第二十六次会议，审议通过了《关于出售资产的议案》， 同意公司全资子公司上海药明康德新药开发有限公司（以下简称“转让方”）以 人民币 28 亿元（为基准股权转让价款，最终股权转让价款将基于交易协议的相 关约定进行调整）的对价向上海世和融企业管理咨询有限公司及上海世和慕企业 管理咨询有限公司（以下合称“受让方”）转让其所持有的上海康德弘翼医学临 床研究有限公司和上海药明津石医药科技有限公司（以下合称“目标公司”）100% 股权（以下合称“标的股权”，前述交易以下简称“本次交易”）。具体内容详见 公司于上海证券交易所网站（www.sse.com.cn）及指定媒体披露的《关于出售资 产的公告》（公告编号：临 2025-069）。 二、交易进展 截至本公告日，转让方已收到受让方按《股权转让协议》约定足额支付的第 一期股权转让价款人民币 15.4 亿元，《股权转让协议》约定的交割先决条件已 满足，本次交易已完成交割，目标公司不再纳入公司合并报表范围。目标公司及 相关各方将按《股权转让协议》约定办理本次交易涉及的目…</x:v>
      </x:c>
      <x:c r="N215" s="51" t="str">
        <x:v>2-间接相关</x:v>
      </x:c>
      <x:c r="O215" s="51" t="str">
        <x:v>是</x:v>
      </x:c>
      <x:c r="P215" s="71" t="str">
        <x:v>《关于出售资产进展公告》（第1页）披露“证券代码：603259 证券简称：药明康德 公告编号：临2025-073 无锡药明康德新药开发股份有限公司 关于出售资产进展公告 本公司董事会及全体董事保…”，可建立公告事项到“资产减值与产能调整是否会持续影响盈利质量”的一阶业务传导链；但未直接给出最终结果，故判2级。</x:v>
      </x:c>
      <x:c r="Q215" s="51" t="str">
        <x:v>FIN-R01</x:v>
      </x:c>
      <x:c r="R215" s="202" t="n">
        <x:v>46260.92880688657</x:v>
      </x:c>
    </x:row>
    <x:row r="216" ht="72" customHeight="1">
      <x:c r="A216" s="50" t="str">
        <x:v>V4-R-Q027-C07</x:v>
      </x:c>
      <x:c r="B216" s="50" t="str">
        <x:v>V4-E-Q027-C07</x:v>
      </x:c>
      <x:c r="C216" s="50" t="str">
        <x:v>V4-Q027</x:v>
      </x:c>
      <x:c r="D216" s="49" t="str">
        <x:v>药明康德</x:v>
      </x:c>
      <x:c r="E216" s="50" t="str">
        <x:v>603259</x:v>
      </x:c>
      <x:c r="F216" s="81" t="n">
        <x:v>46260.75</x:v>
      </x:c>
      <x:c r="G216" s="65" t="str">
        <x:v>资产减值与产能调整是否会持续影响盈利质量</x:v>
      </x:c>
      <x:c r="H216" s="50" t="str">
        <x:v>DOC-EVT-603259-00523</x:v>
      </x:c>
      <x:c r="I216" s="65" t="str">
        <x:v>2026年半年度报告摘要</x:v>
      </x:c>
      <x:c r="J216" s="81" t="n">
        <x:v>46238</x:v>
      </x:c>
      <x:c r="K216" s="87" t="str">
        <x:v>http://static.cninfo.com.cn/finalpage/2026-08-04/1225455040.PDF</x:v>
      </x:c>
      <x:c r="L216" s="49" t="str">
        <x:v>第2页</x:v>
      </x:c>
      <x:c r="M216" s="65" t="str">
        <x:v>无锡药明康德新药开发股份有限公司2026 年半年度报告摘要 第一节 重要提示 1.1 本半年度报告摘要来自半年度报告全文，为全面了解本公司的经营成果、财务状况及未来发 展规划，投资者应当到 http://www.sse.com.cn 网站仔细阅读半年度报告全文。 1.2 本公司董事会及董事、高级管理人员保证半年度报告内容的真实性、准确性、完整性，不存 在虚假记载、误导性陈述或重大遗漏，并承担个别和连带的法律责任。 1.3 公司全体董事出席董事会会议。 1.4 本半年度报告未经审计。 1.5 董事会决议通过的本报告期利润分配预案或公积金转增股本预案 公司拟向全体股东每10股派发现金红利人民币5.1000元（含税）。目前公司A股回购专用证券账户 上已回购股份为9,701,231股，H股库存股为20,148,900股，前述合计29,850,131股不参与分红，以 目前公司总股本2,983,757,155股扣除公司A股回购专用证券账户上已回购股份和H股库存股后的 股本2,953,907,024股为基数测算，共计派发现金红利人民币1,506,492,582.24元（含税）。在实施 权益分派股权登记日前公司享有利润分配权（即扣除公司A股回购专用证券账户上已回购股份和H 股库存股）总股本发生变动的，按照每股分配金额不变的原则进行分配，相应调整分配总额。</x:v>
      </x:c>
      <x:c r="N216" s="51" t="str">
        <x:v>1-弱相关</x:v>
      </x:c>
      <x:c r="O216" s="51" t="str">
        <x:v>否</x:v>
      </x:c>
      <x:c r="P216" s="71" t="str">
        <x:v>《2026年半年度报告摘要》（第2页）仅披露“无锡药明康德新药开发股份有限公司2026 年半年度报告摘要 第一节 重要提示 1.1 本半年度报告摘要来自半年度报告全文，为全面了解本公司的经营成果、财务…”，虽与公司经营或相邻主题有关，但不足以验证“资产减值与产能调整是否会持续影响盈利质量”的关键路径，故判1级。</x:v>
      </x:c>
      <x:c r="Q216" s="51" t="str">
        <x:v>FIN-R01</x:v>
      </x:c>
      <x:c r="R216" s="202" t="n">
        <x:v>46260.92880688657</x:v>
      </x:c>
    </x:row>
    <x:row r="217" ht="72" customHeight="1">
      <x:c r="A217" s="50" t="str">
        <x:v>V4-R-Q027-C04</x:v>
      </x:c>
      <x:c r="B217" s="50" t="str">
        <x:v>V4-E-Q027-C04</x:v>
      </x:c>
      <x:c r="C217" s="50" t="str">
        <x:v>V4-Q027</x:v>
      </x:c>
      <x:c r="D217" s="49" t="str">
        <x:v>药明康德</x:v>
      </x:c>
      <x:c r="E217" s="50" t="str">
        <x:v>603259</x:v>
      </x:c>
      <x:c r="F217" s="81" t="n">
        <x:v>46260.75</x:v>
      </x:c>
      <x:c r="G217" s="65" t="str">
        <x:v>资产减值与产能调整是否会持续影响盈利质量</x:v>
      </x:c>
      <x:c r="H217" s="50" t="str">
        <x:v>DOC-EVT-603259-00352</x:v>
      </x:c>
      <x:c r="I217" s="65" t="str">
        <x:v>关于调整回购股份价格上限的公告</x:v>
      </x:c>
      <x:c r="J217" s="81" t="n">
        <x:v>45868</x:v>
      </x:c>
      <x:c r="K217" s="87" t="str">
        <x:v>http://static.cninfo.com.cn/finalpage/2025-07-30/1224328826.PDF</x:v>
      </x:c>
      <x:c r="L217" s="49" t="str">
        <x:v>第1页</x:v>
      </x:c>
      <x:c r="M217" s="65" t="str">
        <x:v>1 证券代码：603259 证券简称：药明康德 公告编号：临 2025-052 无锡药明康德新药开发股份有限公司 关于调整回购股份价格上限的公告 本公司董事会及全体董事保证本公告内容不存在任何虚假记载、误导性陈述 或者重大遗漏，并对其内容的真实性、准确性和完整性承担法律责任。 重要内容提示：  无锡药明康德新药开发股份有限公司（以下简称“公司”）于 2025 年 7 月 29 日召开第三届董事会第二十三次会议，审议通过了《关于调整回购股份价 格上限的议案》，公司拟将 2025 年第一次以集中竞价交易方式回购 A 股股份（以 下简称“本次回购”）的回购股份价格上限由不超过 90.72 元/股（含）调整为不 超过人民币 114.15 元/股，本次回购方案的其他内容不变。  本次调整回购价格上限事项属于股东大会授权董事会调整回购方案具体 事项的范围，无需提交公司股东大会审议。 一、回购股份的基本情况 2025 年 4 月 29 日，公司召开的 2024 年年度股东大会、2025 年第一次 A 股 类别股东会议和 2025 年第一次 H 股类别股东会议审议通过了《关于给予董事会 回购公司 A 股和/或 H 股股份一般性授权的议案》。公司于 2025 年 3 月 17 日召 开第三届董事会第十七次会议暨 2024 年年度董事会，并于 2025 年 4 月 29 日召 开 2024 年年度股东大会，审议通过《关于 2025 年以集中竞价交易方式回购公司 A 股股份的议案》，同意公司…</x:v>
      </x:c>
      <x:c r="N217" s="51" t="str">
        <x:v>0-无关</x:v>
      </x:c>
      <x:c r="O217" s="51" t="str">
        <x:v>否</x:v>
      </x:c>
      <x:c r="P217" s="71" t="str">
        <x:v>《关于调整回购股份价格上限的公告》（第1页）内容为“1 证券代码：603259 证券简称：药明康德 公告编号：临 2025-052 无锡药明康德新药开发股份有限公司 关于调整回购股份价格上限的公告 本公司董…”，属于治理、证券程序或其他非核心事项，不能帮助判断“资产减值与产能调整是否会持续影响盈利质量”，故判0级。</x:v>
      </x:c>
      <x:c r="Q217" s="51" t="str">
        <x:v>FIN-R01</x:v>
      </x:c>
      <x:c r="R217" s="202" t="n">
        <x:v>46260.92880688657</x:v>
      </x:c>
    </x:row>
    <x:row r="218" ht="72" customHeight="1">
      <x:c r="A218" s="50" t="str">
        <x:v>V4-R-Q028-C08</x:v>
      </x:c>
      <x:c r="B218" s="50" t="str">
        <x:v>V4-E-Q028-C08</x:v>
      </x:c>
      <x:c r="C218" s="50" t="str">
        <x:v>V4-Q028</x:v>
      </x:c>
      <x:c r="D218" s="49" t="str">
        <x:v>云南白药</x:v>
      </x:c>
      <x:c r="E218" s="50" t="str">
        <x:v>000538</x:v>
      </x:c>
      <x:c r="F218" s="81" t="n">
        <x:v>46260.75</x:v>
      </x:c>
      <x:c r="G218" s="65" t="str">
        <x:v>医药工业新品与临床管线能否贡献新的收入增长</x:v>
      </x:c>
      <x:c r="H218" s="50" t="str">
        <x:v>DOC-EVT-000538-00227</x:v>
      </x:c>
      <x:c r="I218" s="65" t="str">
        <x:v>关于持股5％以上股东非公开发行可交换公司债券进入换股期的提示性公告</x:v>
      </x:c>
      <x:c r="J218" s="81" t="n">
        <x:v>46133</x:v>
      </x:c>
      <x:c r="K218" s="87" t="str">
        <x:v>http://static.cninfo.com.cn/finalpage/2026-04-21/1225126913.PDF</x:v>
      </x:c>
      <x:c r="L218" s="49" t="str">
        <x:v>第1页</x:v>
      </x:c>
      <x:c r="M218" s="65" t="str">
        <x:v>1 / 2 股票代码：000538 股票简称：云南白药 公告编号：2026-14 云南白药集团股份有限公司 关于持股 5％以上股东非公开发行可交换公司债券进入 换股期的提示性公告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月20 日收到持股5%以上股东新华都实业集团股份有限公司（以 下简称“新华都”）的书面通知，新华都实业集团股份有限公司2025 年面 向专业投资者非公开发行可交换公司债券（以下简称“本期债券”）于2025 年 10 月 22 日完成发行，将于 2026 年 4 月 23 日进入换股期，现将相关信 息公告如下： 一、本期债券进入换股期的基本情况 债券名称：新华都实业集团股份有限公司2025 年面向专业投资者非公 开发行可交换公司债券 债券简称：25 新华都EB01 债券代码：117241.SZ 发行总额：20 亿元 期限：3 年 初始换股价格：71.66 元/股</x:v>
      </x:c>
      <x:c r="N218" s="51" t="str">
        <x:v>0-无关</x:v>
      </x:c>
      <x:c r="O218" s="51" t="str">
        <x:v>否</x:v>
      </x:c>
      <x:c r="P218" s="71" t="str">
        <x:v>《关于持股5％以上股东非公开发行可交换公司债券进入换股期的提示性公告》（第1页）内容为“1 / 2 股票代码：000538 股票简称：云南白药 公告编号：2026-14 云南白药集团股份有限公司 关于持股 5％以上股东非公开发行可交换公司债券…”，属于治理、证券程序或其他非核心事项，不能帮助判断“医药工业新品与临床管线能否贡献新的收入增长”，故判0级。</x:v>
      </x:c>
      <x:c r="Q218" s="51" t="str">
        <x:v>FIN-R01</x:v>
      </x:c>
      <x:c r="R218" s="202" t="n">
        <x:v>46260.92880688657</x:v>
      </x:c>
    </x:row>
    <x:row r="219" ht="72" customHeight="1">
      <x:c r="A219" s="50" t="str">
        <x:v>V4-R-Q028-C04</x:v>
      </x:c>
      <x:c r="B219" s="50" t="str">
        <x:v>V4-E-Q028-C04</x:v>
      </x:c>
      <x:c r="C219" s="50" t="str">
        <x:v>V4-Q028</x:v>
      </x:c>
      <x:c r="D219" s="49" t="str">
        <x:v>云南白药</x:v>
      </x:c>
      <x:c r="E219" s="50" t="str">
        <x:v>000538</x:v>
      </x:c>
      <x:c r="F219" s="81" t="n">
        <x:v>46260.75</x:v>
      </x:c>
      <x:c r="G219" s="65" t="str">
        <x:v>医药工业新品与临床管线能否贡献新的收入增长</x:v>
      </x:c>
      <x:c r="H219" s="50" t="str">
        <x:v>DOC-EVT-000538-00051</x:v>
      </x:c>
      <x:c r="I219" s="65" t="str">
        <x:v>关于氟比洛芬凝胶贴膏获得药物临床试验批准的公告</x:v>
      </x:c>
      <x:c r="J219" s="81" t="n">
        <x:v>45423</x:v>
      </x:c>
      <x:c r="K219" s="87" t="str">
        <x:v>http://static.cninfo.com.cn/finalpage/2024-05-11/1220033851.PDF</x:v>
      </x:c>
      <x:c r="L219" s="49" t="str">
        <x:v>第1页</x:v>
      </x:c>
      <x:c r="M219" s="65" t="str">
        <x:v>1 / 2 股票代码：000538 股票简称：云南白药 公告编号：2024-27 云南白药集团股份有限公司 关于氟比洛芬凝胶贴膏获得药物临床试验批准的公告 本公司及董事会全体成员保证信息披露的内容真实、准确、完整，没有虚 假记载、误导性陈述或重大遗漏。 云南白药集团股份有限公司（以下简称“公司”）全资子公司云南白药集团 无锡药业有限公司于近日收到国家药品监督管理局下发的 《药物临床试验批准 通知书》 （通知书编号：2024LP00886），经审查，同意氟比洛芬凝胶贴膏（以 下简称“该产品”）开展镇痛的临床试验。该产品基本情况如下： 一、药品基本情况 药品名称：氟比洛芬凝胶贴膏 受理号：CYHL2400020 通知书编号：2024LP00886 剂型：贴膏剂 规格：每贴含氟比洛芬40mg，面积13.6cm*10cm，含膏量12g 注册分类：化药4 类 申请事项：临床试验 申请人：云南白药集团无锡药业有限公司 审批结论：同意该产品开展镇痛的临床试验 二、其他相关信息 氟比洛芬凝胶贴膏主要成分为氟比洛芬，为非甾体类抗炎药，通过抑制前</x:v>
      </x:c>
      <x:c r="N219" s="51" t="str">
        <x:v>2-间接相关</x:v>
      </x:c>
      <x:c r="O219" s="51" t="str">
        <x:v>是</x:v>
      </x:c>
      <x:c r="P219" s="71" t="str">
        <x:v>《关于氟比洛芬凝胶贴膏获得药物临床试验批准的公告》（第1页）披露“1 / 2 股票代码：000538 股票简称：云南白药 公告编号：2024-27 云南白药集团股份有限公司 关于氟比洛芬凝胶贴膏获得药物临床试验批准的公告…”，可建立公告事项到“医药工业新品与临床管线能否贡献新的收入增长”的一阶业务传导链；但未直接给出最终结果，故判2级。</x:v>
      </x:c>
      <x:c r="Q219" s="51" t="str">
        <x:v>FIN-R01</x:v>
      </x:c>
      <x:c r="R219" s="202" t="n">
        <x:v>46260.92880688657</x:v>
      </x:c>
    </x:row>
    <x:row r="220" ht="72" customHeight="1">
      <x:c r="A220" s="50" t="str">
        <x:v>V4-R-Q028-C05</x:v>
      </x:c>
      <x:c r="B220" s="50" t="str">
        <x:v>V4-E-Q028-C05</x:v>
      </x:c>
      <x:c r="C220" s="50" t="str">
        <x:v>V4-Q028</x:v>
      </x:c>
      <x:c r="D220" s="49" t="str">
        <x:v>云南白药</x:v>
      </x:c>
      <x:c r="E220" s="50" t="str">
        <x:v>000538</x:v>
      </x:c>
      <x:c r="F220" s="81" t="n">
        <x:v>46260.75</x:v>
      </x:c>
      <x:c r="G220" s="65" t="str">
        <x:v>医药工业新品与临床管线能否贡献新的收入增长</x:v>
      </x:c>
      <x:c r="H220" s="50" t="str">
        <x:v>DOC-EVT-000538-00235</x:v>
      </x:c>
      <x:c r="I220" s="65" t="str">
        <x:v>关于INB301注射液获得美国食品药品监督管理局新药临床试验许可的公告</x:v>
      </x:c>
      <x:c r="J220" s="81" t="n">
        <x:v>46177</x:v>
      </x:c>
      <x:c r="K220" s="87" t="str">
        <x:v>http://static.cninfo.com.cn/finalpage/2026-06-04/1225349158.PDF</x:v>
      </x:c>
      <x:c r="L220" s="49" t="str">
        <x:v>第1页</x:v>
      </x:c>
      <x:c r="M220" s="65" t="str">
        <x:v>1 / 2 股票代码：000538 股票简称：云南白药 公告编号：2026-20 云南白药集团股份有限公司 关于 INB301 注射液获得美国食品药品监督管理局新药 临床试验许可的公告 本公司及董事会全体成员保证信息披露的内容真实、准确、完整，没有 虚假记载、误导性陈述或重大遗漏。 云南白药集团股份有限公司（以下简称“公司”）于近日收到美国食品药 品监督管理局（以下简称“美国FDA”）的通知，由公司申报的INB301 注射 液（以下简称“本品”）新药临床试验申请（以下简称“IND”）已获得美国 FDA 许可，同意开展临床试验，拟开发适应症为肿瘤恶病质。该产品基本情 况如下： 一、药品基本情况 药品名称：INB301 注射液 IND 编号：180081 剂型：注射剂 规格：100mg（1mL）/瓶 申请人：云南白药集团股份有限公司 审评结论：FDA 已完成该项申请的安全性审评，批准启动拟定的临床试验。 二、其他相关信息 本品为公司研发的首个治疗用生物创新药，拟用于治疗肿瘤恶病质。肿 瘤恶病质是一种由恶性肿瘤引发的复杂代谢紊乱综合征，以持续性骨骼肌消</x:v>
      </x:c>
      <x:c r="N220" s="51" t="str">
        <x:v>2-间接相关</x:v>
      </x:c>
      <x:c r="O220" s="51" t="str">
        <x:v>是</x:v>
      </x:c>
      <x:c r="P220" s="71" t="str">
        <x:v>《关于INB301注射液获得美国食品药品监督管理局新药临床试验许可的…》（第1页）披露“1 / 2 股票代码：000538 股票简称：云南白药 公告编号：2026-20 云南白药集团股份有限公司 关于 INB301 注射液获得美国食品药品监督…”，可建立公告事项到“医药工业新品与临床管线能否贡献新的收入增长”的一阶业务传导链；但未直接给出最终结果，故判2级。</x:v>
      </x:c>
      <x:c r="Q220" s="51" t="str">
        <x:v>FIN-R01</x:v>
      </x:c>
      <x:c r="R220" s="202" t="n">
        <x:v>46260.92880688657</x:v>
      </x:c>
    </x:row>
    <x:row r="221" ht="72" customHeight="1">
      <x:c r="A221" s="50" t="str">
        <x:v>V4-R-Q028-C01</x:v>
      </x:c>
      <x:c r="B221" s="50" t="str">
        <x:v>V4-E-Q028-C01</x:v>
      </x:c>
      <x:c r="C221" s="50" t="str">
        <x:v>V4-Q028</x:v>
      </x:c>
      <x:c r="D221" s="49" t="str">
        <x:v>云南白药</x:v>
      </x:c>
      <x:c r="E221" s="50" t="str">
        <x:v>000538</x:v>
      </x:c>
      <x:c r="F221" s="81" t="n">
        <x:v>46260.75</x:v>
      </x:c>
      <x:c r="G221" s="65" t="str">
        <x:v>医药工业新品与临床管线能否贡献新的收入增长</x:v>
      </x:c>
      <x:c r="H221" s="50" t="str">
        <x:v>DOC-EVT-000538-00225</x:v>
      </x:c>
      <x:c r="I221" s="65" t="str">
        <x:v>关于INB301注射液获得药物临床试验批准的公告</x:v>
      </x:c>
      <x:c r="J221" s="81" t="n">
        <x:v>46114</x:v>
      </x:c>
      <x:c r="K221" s="87" t="str">
        <x:v>http://static.cninfo.com.cn/finalpage/2026-04-02/1225071642.PDF</x:v>
      </x:c>
      <x:c r="L221" s="49" t="str">
        <x:v>第1页</x:v>
      </x:c>
      <x:c r="M221" s="65" t="str">
        <x:v>1 / 2 股票代码：000538 股票简称：云南白药 公告编号：2026-13 云南白药集团股份有限公司 关于INB301 注射液获得药物临床试验批准的公告 本公司及董事会全体成员保证信息披露的内容真实、准确、完整，没有 虚假记载、误导性陈述或重大遗漏。 云南白药集团股份有限公司（以下简称“公司”）于近日收到国家药品监 督管理局下发的《药物临床试验批准通知书》（通知书编号：2026LP01002）， 经审查，2026 年 2 月 24 日受理的 INB301 注射液（以下简称“本品”）临 床试验申请符合药品注册的有关要求，同意本品开展肿瘤恶病质的临床试验。 该产品基本情况如下： 一、药品基本情况 药品名称：INB301 注射液 受理号：CXSL2600238 通知书编号：2026LP01002 剂型：注射剂 规格：100mg（1mL）/瓶 注册分类：治疗用生物制品 1 类 申请事项：临床试验申请（30 日通道） 申请人：云南白药集团股份有限公司</x:v>
      </x:c>
      <x:c r="N221" s="51" t="str">
        <x:v>2-间接相关</x:v>
      </x:c>
      <x:c r="O221" s="51" t="str">
        <x:v>是</x:v>
      </x:c>
      <x:c r="P221" s="71" t="str">
        <x:v>《关于INB301注射液获得药物临床试验批准的公告》（第1页）披露“1 / 2 股票代码：000538 股票简称：云南白药 公告编号：2026-13 云南白药集团股份有限公司 关于INB301 注射液获得药物临床试验批准的…”，可建立公告事项到“医药工业新品与临床管线能否贡献新的收入增长”的一阶业务传导链；但未直接给出最终结果，故判2级。</x:v>
      </x:c>
      <x:c r="Q221" s="51" t="str">
        <x:v>FIN-R01</x:v>
      </x:c>
      <x:c r="R221" s="202" t="n">
        <x:v>46260.92880688657</x:v>
      </x:c>
    </x:row>
    <x:row r="222" ht="72" customHeight="1">
      <x:c r="A222" s="50" t="str">
        <x:v>V4-R-Q028-C02</x:v>
      </x:c>
      <x:c r="B222" s="50" t="str">
        <x:v>V4-E-Q028-C02</x:v>
      </x:c>
      <x:c r="C222" s="50" t="str">
        <x:v>V4-Q028</x:v>
      </x:c>
      <x:c r="D222" s="49" t="str">
        <x:v>云南白药</x:v>
      </x:c>
      <x:c r="E222" s="50" t="str">
        <x:v>000538</x:v>
      </x:c>
      <x:c r="F222" s="81" t="n">
        <x:v>46260.75</x:v>
      </x:c>
      <x:c r="G222" s="65" t="str">
        <x:v>医药工业新品与临床管线能否贡献新的收入增长</x:v>
      </x:c>
      <x:c r="H222" s="50" t="str">
        <x:v>DOC-EVT-000538-00127</x:v>
      </x:c>
      <x:c r="I222" s="65" t="str">
        <x:v>关于INR102注射液获得药物临床试验批准的公告</x:v>
      </x:c>
      <x:c r="J222" s="81" t="n">
        <x:v>45756</x:v>
      </x:c>
      <x:c r="K222" s="87" t="str">
        <x:v>http://static.cninfo.com.cn/finalpage/2025-04-09/1223030256.PDF</x:v>
      </x:c>
      <x:c r="L222" s="49" t="str">
        <x:v>第1页</x:v>
      </x:c>
      <x:c r="M222" s="65" t="str">
        <x:v>1 / 2 股票代码：000538 股票简称：云南白药 公告编号：2025-14 云南白药集团股份有限公司 关于INR102 注射液获得药物临床试验批准的公告 本公司及董事会全体成员保证信息披露的内容真实、准确、完整，没有 虚假记载、误导性陈述或重大遗漏。 云南白药集团股份有限公司（以下简称“公司”）全资子公司云核医药（天 津）有限公司（以下简称“云核医药”）于近日收到国家药品监督管理局下 发的《药物临床试验批准通知书》 （通知书编号：2025LP01012），经审查， 云核医药的 INR102 注射液（以下简称“本品”）临床试验申请符合药品注 册的有关要求，同意本品开展前列腺癌的临床试验。该产品基本情况如下： 一、药品基本情况 药品名称：INR102 注射液 受理号：CXHL2500121 通知书编号：2025LP01012 剂型：注射剂 规格：740MBq/mL 注册分类：化学药品1 类 申请事项：临床试验申请 申请人：云核医药（天津）有限公司</x:v>
      </x:c>
      <x:c r="N222" s="51" t="str">
        <x:v>2-间接相关</x:v>
      </x:c>
      <x:c r="O222" s="51" t="str">
        <x:v>是</x:v>
      </x:c>
      <x:c r="P222" s="71" t="str">
        <x:v>《关于INR102注射液获得药物临床试验批准的公告》（第1页）披露“1 / 2 股票代码：000538 股票简称：云南白药 公告编号：2025-14 云南白药集团股份有限公司 关于INR102 注射液获得药物临床试验批准的…”，可建立公告事项到“医药工业新品与临床管线能否贡献新的收入增长”的一阶业务传导链；但未直接给出最终结果，故判2级。</x:v>
      </x:c>
      <x:c r="Q222" s="51" t="str">
        <x:v>FIN-R01</x:v>
      </x:c>
      <x:c r="R222" s="202" t="n">
        <x:v>46260.92880688657</x:v>
      </x:c>
    </x:row>
    <x:row r="223" ht="72" customHeight="1">
      <x:c r="A223" s="50" t="str">
        <x:v>V4-R-Q028-C06</x:v>
      </x:c>
      <x:c r="B223" s="50" t="str">
        <x:v>V4-E-Q028-C06</x:v>
      </x:c>
      <x:c r="C223" s="50" t="str">
        <x:v>V4-Q028</x:v>
      </x:c>
      <x:c r="D223" s="49" t="str">
        <x:v>云南白药</x:v>
      </x:c>
      <x:c r="E223" s="50" t="str">
        <x:v>000538</x:v>
      </x:c>
      <x:c r="F223" s="81" t="n">
        <x:v>46260.75</x:v>
      </x:c>
      <x:c r="G223" s="65" t="str">
        <x:v>医药工业新品与临床管线能否贡献新的收入增长</x:v>
      </x:c>
      <x:c r="H223" s="50" t="str">
        <x:v>DOC-EVT-000538-00233</x:v>
      </x:c>
      <x:c r="I223" s="65" t="str">
        <x:v>2026年一季度报告</x:v>
      </x:c>
      <x:c r="J223" s="81" t="n">
        <x:v>46142</x:v>
      </x:c>
      <x:c r="K223" s="87" t="str">
        <x:v>http://static.cninfo.com.cn/finalpage/2026-04-30/1225255634.PDF</x:v>
      </x:c>
      <x:c r="L223" s="49" t="str">
        <x:v>第5页</x:v>
      </x:c>
      <x:c r="M223" s="65" t="str">
        <x:v>云南白药集团股份有限公司 2026 年第一季度报告 5 资产处置收益（损失以 “-”号填列） 1,025,221.36 81,785.84 1153.54% 主要构成为处置使用权资产利得。 加：营业外收入 2,967,869.41 5,038,390.96 -41.09% 主要构成为与日常经营活动无关的收入。 投资活动产生的现金流 量净额 -527,410,833.63 -66,638,307.82 -691.45% 主要原因是本期收回投资收到的现金较上年同期增 加 9.00 亿；本期取得投资收益收到的现金较上年同 期增加 0.95 亿；本期投资支付的现金较上年同期增 加17.50亿元，主要是为提高收益和资金使用效率， 在确保日常经营和资金安全的情况下，购买安全性 较高、流动性较好的银行理财产品及券商理财产品 支付的现金；本期支付其他与投资活动有关的现金 较上年同期减少 1.02 亿元，主要为存入定期存款支 付的现金。 筹资活动产生的现金流 量净额 -185,701,583.73 -471,209,321.07 60.59% 主要原因是本期偿还债务支付的现金较上年同期减 少2.79亿元。 二、股东信息 （一） 普通股股东总数和表决权恢复的优先股股东数量及前十名股东持股情况表 单位：股 报告期末普通股股东总数 169,274 报告期末表决权恢复的优先股股东总数（如有） 0 前10 名股东持股情况（不含通过转融通出借股份） 股东名称 股东性质 持股比例 （%） 持股数量 持有有…</x:v>
      </x:c>
      <x:c r="N223" s="51" t="str">
        <x:v>1-弱相关</x:v>
      </x:c>
      <x:c r="O223" s="51" t="str">
        <x:v>否</x:v>
      </x:c>
      <x:c r="P223" s="71" t="str">
        <x:v>《2026年一季度报告》（第5页）仅披露“云南白药集团股份有限公司 2026 年第一季度报告 5 资产处置收益（损失以 “-”号填列） 1,025,221.36 81,785.84 1153.54…”，虽与公司经营或相邻主题有关，但不足以验证“医药工业新品与临床管线能否贡献新的收入增长”的关键路径，故判1级。</x:v>
      </x:c>
      <x:c r="Q223" s="51" t="str">
        <x:v>FIN-R01</x:v>
      </x:c>
      <x:c r="R223" s="202" t="n">
        <x:v>46260.92880688657</x:v>
      </x:c>
    </x:row>
    <x:row r="224" ht="72" customHeight="1">
      <x:c r="A224" s="50" t="str">
        <x:v>V4-R-Q028-C07</x:v>
      </x:c>
      <x:c r="B224" s="50" t="str">
        <x:v>V4-E-Q028-C07</x:v>
      </x:c>
      <x:c r="C224" s="50" t="str">
        <x:v>V4-Q028</x:v>
      </x:c>
      <x:c r="D224" s="49" t="str">
        <x:v>云南白药</x:v>
      </x:c>
      <x:c r="E224" s="50" t="str">
        <x:v>000538</x:v>
      </x:c>
      <x:c r="F224" s="81" t="n">
        <x:v>46260.75</x:v>
      </x:c>
      <x:c r="G224" s="65" t="str">
        <x:v>医药工业新品与临床管线能否贡献新的收入增长</x:v>
      </x:c>
      <x:c r="H224" s="50" t="str">
        <x:v>DOC-EVT-000538-00154</x:v>
      </x:c>
      <x:c r="I224" s="65" t="str">
        <x:v>2025年半年度报告（英文版）</x:v>
      </x:c>
      <x:c r="J224" s="81" t="n">
        <x:v>45919</x:v>
      </x:c>
      <x:c r="K224" s="87" t="str">
        <x:v>http://static.cninfo.com.cn/finalpage/2025-09-19/1224668290.PDF</x:v>
      </x:c>
      <x:c r="L224" s="49" t="str">
        <x:v>第2页</x:v>
      </x:c>
      <x:c r="M224" s="65" t="str">
        <x:v>2025 Interim Report of Yunnan Baiyao Group Co., Ltd. 1 Section I Important Notes, Contents, and Definitions The Board of Directors (the “Board”), the Supervisory Committee and the directors, supervisors and senior management of the Company confirm the truthfulness, accuracy and completeness of the contents of this Interim Report and there are no misrepresentation, misleading statement or material omission from this Interim Report, and they accept joint and several responsibilities for the truthfulness, accuracy and completeness of the contents herein. Mr. Dong Ming, the person in charge of the Company, Mr. Ma Jia, the accounting officer, a…</x:v>
      </x:c>
      <x:c r="N224" s="51" t="str">
        <x:v>1-弱相关</x:v>
      </x:c>
      <x:c r="O224" s="51" t="str">
        <x:v>否</x:v>
      </x:c>
      <x:c r="P224" s="71" t="str">
        <x:v>《2025年半年度报告（英文版）》（第2页）仅披露“2025 Interim Report of Yunnan Baiyao Group Co., Ltd. 1 Section I Important No…”，虽与公司经营或相邻主题有关，但不足以验证“医药工业新品与临床管线能否贡献新的收入增长”的关键路径，故判1级。</x:v>
      </x:c>
      <x:c r="Q224" s="51" t="str">
        <x:v>FIN-R01</x:v>
      </x:c>
      <x:c r="R224" s="202" t="n">
        <x:v>46260.92880688657</x:v>
      </x:c>
    </x:row>
    <x:row r="225" ht="72" customHeight="1">
      <x:c r="A225" s="50" t="str">
        <x:v>V4-R-Q028-C03</x:v>
      </x:c>
      <x:c r="B225" s="50" t="str">
        <x:v>V4-E-Q028-C03</x:v>
      </x:c>
      <x:c r="C225" s="50" t="str">
        <x:v>V4-Q028</x:v>
      </x:c>
      <x:c r="D225" s="49" t="str">
        <x:v>云南白药</x:v>
      </x:c>
      <x:c r="E225" s="50" t="str">
        <x:v>000538</x:v>
      </x:c>
      <x:c r="F225" s="81" t="n">
        <x:v>46260.75</x:v>
      </x:c>
      <x:c r="G225" s="65" t="str">
        <x:v>医药工业新品与临床管线能否贡献新的收入增长</x:v>
      </x:c>
      <x:c r="H225" s="50" t="str">
        <x:v>DOC-EVT-000538-00049</x:v>
      </x:c>
      <x:c r="I225" s="65" t="str">
        <x:v>关于INR101注射液获得药物临床试验批准的公告</x:v>
      </x:c>
      <x:c r="J225" s="81" t="n">
        <x:v>45423</x:v>
      </x:c>
      <x:c r="K225" s="87" t="str">
        <x:v>http://static.cninfo.com.cn/finalpage/2024-05-11/1220033852.PDF</x:v>
      </x:c>
      <x:c r="L225" s="49" t="str">
        <x:v>第1页</x:v>
      </x:c>
      <x:c r="M225" s="65" t="str">
        <x:v>1 / 2 股票代码：000538 股票简称：云南白药 公告编号：2024-26 云南白药集团股份有限公司 关于INR101 注射液获得药物临床试验批准的公告 本公司及董事会全体成员保证信息披露的内容真实、准确、完整，没有虚 假记载、误导性陈述或重大遗漏。 云南白药集团股份有限公司（以下简称“公司”或“本公司”）全资子公司云 核医药（天津）有限公司（以下简称“云核医药”）于近日收到国家药品监督 管理局下发的《药物临床试验批准通知书》（通知书编号： 2024LP01109）， 经审查，云核医药的 INR101 注射液（以下简称“本品”）临床试验申请符合 药品注册的有关要求，同意本品开展健康人及前列腺癌的临床试验。该产品基 本情况如下： 一、药品基本情况 药品名称：INR101 注射液 受理号：CXHL2400200 通知书编号：2024LP01109 剂型：注射剂 规格：40-1500MBq/mL 注册分类：化学药品1 类 申请事项：临床试验申请 申请人：云核医药（天津）有限公司</x:v>
      </x:c>
      <x:c r="N225" s="51" t="str">
        <x:v>2-间接相关</x:v>
      </x:c>
      <x:c r="O225" s="51" t="str">
        <x:v>是</x:v>
      </x:c>
      <x:c r="P225" s="71" t="str">
        <x:v>《关于INR101注射液获得药物临床试验批准的公告》（第1页）披露“1 / 2 股票代码：000538 股票简称：云南白药 公告编号：2024-26 云南白药集团股份有限公司 关于INR101 注射液获得药物临床试验批准的…”，可建立公告事项到“医药工业新品与临床管线能否贡献新的收入增长”的一阶业务传导链；但未直接给出最终结果，故判2级。</x:v>
      </x:c>
      <x:c r="Q225" s="51" t="str">
        <x:v>FIN-R01</x:v>
      </x:c>
      <x:c r="R225" s="202" t="n">
        <x:v>46260.92880688657</x:v>
      </x:c>
    </x:row>
    <x:row r="226" ht="72" customHeight="1">
      <x:c r="A226" s="50" t="str">
        <x:v>V4-R-Q029-C01</x:v>
      </x:c>
      <x:c r="B226" s="50" t="str">
        <x:v>V4-E-Q029-C01</x:v>
      </x:c>
      <x:c r="C226" s="50" t="str">
        <x:v>V4-Q029</x:v>
      </x:c>
      <x:c r="D226" s="49" t="str">
        <x:v>云南白药</x:v>
      </x:c>
      <x:c r="E226" s="50" t="str">
        <x:v>000538</x:v>
      </x:c>
      <x:c r="F226" s="81" t="n">
        <x:v>46260.75</x:v>
      </x:c>
      <x:c r="G226" s="65" t="str">
        <x:v>核心产品销售恢复能否改善收入与毛利表现</x:v>
      </x:c>
      <x:c r="H226" s="50" t="str">
        <x:v>DOC-EVT-000538-00137</x:v>
      </x:c>
      <x:c r="I226" s="65" t="str">
        <x:v>关于调整公司2025年度投资理财额度内产品结构的公告</x:v>
      </x:c>
      <x:c r="J226" s="81" t="n">
        <x:v>45834</x:v>
      </x:c>
      <x:c r="K226" s="87" t="str">
        <x:v>http://static.cninfo.com.cn/finalpage/2025-06-26/1223980919.PDF</x:v>
      </x:c>
      <x:c r="L226" s="49" t="str">
        <x:v>第1页</x:v>
      </x:c>
      <x:c r="M226" s="65" t="str">
        <x:v>1 / 3 股票代码：000538 股票简称：云南白药 公告编号：2025-22 云南白药集团股份有限公司 关于调整公司 2025 年度投资理财额度内产品结构的公告 本公司及董事会全体成员保证信息披露内容的真实、准确、完整，没有虚 假记载、误导性陈述或重大遗漏。 云南白药集团股份有限公司（以下简称“公司”）第十届董事会2025 年 第三次会议（以下简称“会议”）于2025 年6 月25 日以通讯表决方式召开， 会议审议通过了 《关于调整公司2025 年度投资理财额度内产品结构的议案》。 具体情况如下： 一、原投资理财额度 2024年12月27日，公司第十届董事会2024年第十二次会议审议通过了 《关于2025年利用闲置自有资金开展投资理财的议案》 ，为确保资金安全及 保持合理的流动性，并充分满足公司日常经营和战略投资的资金需求，同时 兼顾公司自有闲置资金收益水平，为公司和股东争取投资回报，公司对2025 年理财投资范围、额度等进行合理预计，具体如下： （一）资金来源：公司闲置自有资金。 （二）投资范围： 1、银行的存款类产品，包括大额存单、通知存款、协定存款等。 2、各大金融机构的理财产品，包括银行及其理财子公司、券商、基金公 司等。 3、结构性存款、保本收益凭证、货币市场基金、国债逆回购及债券、债</x:v>
      </x:c>
      <x:c r="N226" s="51" t="str">
        <x:v>0-无关</x:v>
      </x:c>
      <x:c r="O226" s="51" t="str">
        <x:v>否</x:v>
      </x:c>
      <x:c r="P226" s="71" t="str">
        <x:v>《关于调整公司2025年度投资理财额度内产品结构的公告》（第1页）内容为“1 / 3 股票代码：000538 股票简称：云南白药 公告编号：2025-22 云南白药集团股份有限公司 关于调整公司 2025 年度投资理财额度内产品…”，属于治理、证券程序或其他非核心事项，不能帮助判断“核心产品销售恢复能否改善收入与毛利表现”，故判0级。</x:v>
      </x:c>
      <x:c r="Q226" s="51" t="str">
        <x:v>FIN-R01</x:v>
      </x:c>
      <x:c r="R226" s="202" t="n">
        <x:v>46260.92880688657</x:v>
      </x:c>
    </x:row>
    <x:row r="227" ht="72" customHeight="1">
      <x:c r="A227" s="50" t="str">
        <x:v>V4-R-Q029-C07</x:v>
      </x:c>
      <x:c r="B227" s="50" t="str">
        <x:v>V4-E-Q029-C07</x:v>
      </x:c>
      <x:c r="C227" s="50" t="str">
        <x:v>V4-Q029</x:v>
      </x:c>
      <x:c r="D227" s="49" t="str">
        <x:v>云南白药</x:v>
      </x:c>
      <x:c r="E227" s="50" t="str">
        <x:v>000538</x:v>
      </x:c>
      <x:c r="F227" s="81" t="n">
        <x:v>46260.75</x:v>
      </x:c>
      <x:c r="G227" s="65" t="str">
        <x:v>核心产品销售恢复能否改善收入与毛利表现</x:v>
      </x:c>
      <x:c r="H227" s="50" t="str">
        <x:v>DOC-EVT-000538-00227</x:v>
      </x:c>
      <x:c r="I227" s="65" t="str">
        <x:v>关于持股5％以上股东非公开发行可交换公司债券进入换股期的提示性公告</x:v>
      </x:c>
      <x:c r="J227" s="81" t="n">
        <x:v>46133</x:v>
      </x:c>
      <x:c r="K227" s="87" t="str">
        <x:v>http://static.cninfo.com.cn/finalpage/2026-04-21/1225126913.PDF</x:v>
      </x:c>
      <x:c r="L227" s="49" t="str">
        <x:v>第1页</x:v>
      </x:c>
      <x:c r="M227" s="65" t="str">
        <x:v>1 / 2 股票代码：000538 股票简称：云南白药 公告编号：2026-14 云南白药集团股份有限公司 关于持股 5％以上股东非公开发行可交换公司债券进入 换股期的提示性公告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月20 日收到持股5%以上股东新华都实业集团股份有限公司（以 下简称“新华都”）的书面通知，新华都实业集团股份有限公司2025 年面 向专业投资者非公开发行可交换公司债券（以下简称“本期债券”）于2025 年 10 月 22 日完成发行，将于 2026 年 4 月 23 日进入换股期，现将相关信 息公告如下： 一、本期债券进入换股期的基本情况 债券名称：新华都实业集团股份有限公司2025 年面向专业投资者非公 开发行可交换公司债券 债券简称：25 新华都EB01 债券代码：117241.SZ 发行总额：20 亿元 期限：3 年 初始换股价格：71.66 元/股</x:v>
      </x:c>
      <x:c r="N227" s="51" t="str">
        <x:v>0-无关</x:v>
      </x:c>
      <x:c r="O227" s="51" t="str">
        <x:v>否</x:v>
      </x:c>
      <x:c r="P227" s="71" t="str">
        <x:v>《关于持股5％以上股东非公开发行可交换公司债券进入换股期的提示性公告》（第1页）内容为“1 / 2 股票代码：000538 股票简称：云南白药 公告编号：2026-14 云南白药集团股份有限公司 关于持股 5％以上股东非公开发行可交换公司债券…”，属于治理、证券程序或其他非核心事项，不能帮助判断“核心产品销售恢复能否改善收入与毛利表现”，故判0级。</x:v>
      </x:c>
      <x:c r="Q227" s="51" t="str">
        <x:v>FIN-R01</x:v>
      </x:c>
      <x:c r="R227" s="202" t="n">
        <x:v>46260.92880688657</x:v>
      </x:c>
    </x:row>
    <x:row r="228" ht="72" customHeight="1">
      <x:c r="A228" s="50" t="str">
        <x:v>V4-R-Q029-C05</x:v>
      </x:c>
      <x:c r="B228" s="50" t="str">
        <x:v>V4-E-Q029-C05</x:v>
      </x:c>
      <x:c r="C228" s="50" t="str">
        <x:v>V4-Q029</x:v>
      </x:c>
      <x:c r="D228" s="49" t="str">
        <x:v>云南白药</x:v>
      </x:c>
      <x:c r="E228" s="50" t="str">
        <x:v>000538</x:v>
      </x:c>
      <x:c r="F228" s="81" t="n">
        <x:v>46260.75</x:v>
      </x:c>
      <x:c r="G228" s="65" t="str">
        <x:v>核心产品销售恢复能否改善收入与毛利表现</x:v>
      </x:c>
      <x:c r="H228" s="50" t="str">
        <x:v>DOC-EVT-000538-00031</x:v>
      </x:c>
      <x:c r="I228" s="65" t="str">
        <x:v>2023年年度报告</x:v>
      </x:c>
      <x:c r="J228" s="81" t="n">
        <x:v>45381</x:v>
      </x:c>
      <x:c r="K228" s="87" t="str">
        <x:v>http://static.cninfo.com.cn/finalpage/2024-03-30/1219474052.PDF</x:v>
      </x:c>
      <x:c r="L228" s="49" t="str">
        <x:v>第16页</x:v>
      </x:c>
      <x:c r="M228" s="65" t="str">
        <x:v>云南白药集团股份有限公司 2023 年年度报告全文 15 2023 年，公司克服了外部环境剧烈变化带来的挑战，全年实现营业收入391.11 亿元，较上年同期的 364.88 亿元净增26.23 亿元，增幅7.19%，其中工业收入增速7.58%；实现归母净利润40.94 亿元，较上年 同期的 30.01 亿元上升 10.93 亿元，增幅 36.41%；加权平均净资产收益率 10.51%，较上年提升 2.64 个百 分点； 基本每股收益2.29 元/股。 报告期末， 公司总资产537.84 亿元， 同比增长0.87%； 货币资金余额 142.18 亿元；交易性金融资产余额1.49 亿元，较年初大幅减少93.82%；归属于上市公司股东的净资产398.79 亿 元，同比增长3.57%。 （2）四大事业群（BG）聚焦主业，提质增效，以稳中求进的态势实现高质量增长 1）药品事业群 报告期内，药品事业群主营业务收入 64.81 亿元，同比增长 8.16%。白药系列核心产品保持了较好的 增长态势，毛利率为 70.6%，其中云南白药气雾剂销售收入贡献超过17 亿元，同比增长 15.27%；云南白 药创可贴、云南白药膏、云南白药（散剂）、云南白药胶囊等产品销售收入过亿，其中云南白药膏销售收 入过 9 亿元，云南白药胶囊销售收入过6 亿元，云南白药（散剂）及云南白药创可贴销售收入过3 亿元； 其他品牌中药类产品增长亮眼， 蒲地蓝消炎片、 藿香正气水销售收入均实现过亿元， 分别同比增长近16%、…</x:v>
      </x:c>
      <x:c r="N228" s="51" t="str">
        <x:v>3-直接相关</x:v>
      </x:c>
      <x:c r="O228" s="51" t="str">
        <x:v>是</x:v>
      </x:c>
      <x:c r="P228" s="71" t="str">
        <x:v>《2023年年度报告》（第16页）直接披露“云南白药集团股份有限公司 2023 年年度报告全文 15 2023 年，公司克服了外部环境剧烈变化带来的挑战，全年实现营业收入391.11 亿元，较上年同…”，与“核心产品销售恢复能否改善收入与毛利表现”的核心变量或结果同口径，可直接用于判断，故判3级。</x:v>
      </x:c>
      <x:c r="Q228" s="51" t="str">
        <x:v>FIN-R01</x:v>
      </x:c>
      <x:c r="R228" s="202" t="n">
        <x:v>46260.92880688657</x:v>
      </x:c>
    </x:row>
    <x:row r="229" ht="72" customHeight="1">
      <x:c r="A229" s="50" t="str">
        <x:v>V4-R-Q029-C08</x:v>
      </x:c>
      <x:c r="B229" s="50" t="str">
        <x:v>V4-E-Q029-C08</x:v>
      </x:c>
      <x:c r="C229" s="50" t="str">
        <x:v>V4-Q029</x:v>
      </x:c>
      <x:c r="D229" s="49" t="str">
        <x:v>云南白药</x:v>
      </x:c>
      <x:c r="E229" s="50" t="str">
        <x:v>000538</x:v>
      </x:c>
      <x:c r="F229" s="81" t="n">
        <x:v>46260.75</x:v>
      </x:c>
      <x:c r="G229" s="65" t="str">
        <x:v>核心产品销售恢复能否改善收入与毛利表现</x:v>
      </x:c>
      <x:c r="H229" s="50" t="str">
        <x:v>DOC-EVT-000538-00104</x:v>
      </x:c>
      <x:c r="I229" s="65" t="str">
        <x:v>关于股东增持计划期限届满暨实施完成的公告</x:v>
      </x:c>
      <x:c r="J229" s="81" t="n">
        <x:v>45695</x:v>
      </x:c>
      <x:c r="K229" s="87" t="str">
        <x:v>http://static.cninfo.com.cn/finalpage/2025-02-07/1222473388.PDF</x:v>
      </x:c>
      <x:c r="L229" s="49" t="str">
        <x:v>第1页</x:v>
      </x:c>
      <x:c r="M229" s="65" t="str">
        <x:v>1 / 4 证券代码:000538 证券简称:云南白药 公告编号: 2025-07 云南白药集团股份有限公司 关于股东增持计划期限届满暨实施完成的公告 重要提示：云南省国有股权运营管理有限公司保证向本公司提供的 信息内容真实、准确、完整，没有虚假记载、误导性陈述或重大遗漏。 本公司及董事会全体成员保证公告内容与信息披露义务人提供的信 息一致。 特别提示： 1.增持计划基本情况：云南白药集团股份有限公司（以下简称“公司” 或“云南白药”）于2024年8月7日披露了《云南白药关于5%以上股东增持 公司股份暨后续增持计划的公告》（公告编号：2024-40），公司第一大股 东云南省国有股权运营管理有限公司（以下简称“国有股权管理公司”） 于2024年8月6日通过深圳证券交易所交易系统以集中竞价交易方式增持公 司股份788,660股，占公司总股本的比例约为0.0442%，增持金额为4,001.68 万元，并计划自首次增持之日（ 2024年8月6日）起6个月内增持公司股份， 计划累计增持金额（含本次披露的已增持金额）不低于人民币 50,000万元， 不超过人民币100,000万元。 2.增持计划实施情况：2024年8月6日至2025年2月5日，国有股权管理 公司通过深圳证券交易所交易系统以集中竞价交易方式增持公司股份 17,807,463股，增持数量占公司总股本的0.9980%，累计增持金额为人民币 950,379,399.02元。截至本公告披露日，增持计划期限届满，本次增持计划 已实…</x:v>
      </x:c>
      <x:c r="N229" s="51" t="str">
        <x:v>0-无关</x:v>
      </x:c>
      <x:c r="O229" s="51" t="str">
        <x:v>否</x:v>
      </x:c>
      <x:c r="P229" s="71" t="str">
        <x:v>《关于股东增持计划期限届满暨实施完成的公告》（第1页）内容为“1 / 4 证券代码:000538 证券简称:云南白药 公告编号: 2025-07 云南白药集团股份有限公司 关于股东增持计划期限届满暨实施完成的公告 重…”，属于治理、证券程序或其他非核心事项，不能帮助判断“核心产品销售恢复能否改善收入与毛利表现”，故判0级。</x:v>
      </x:c>
      <x:c r="Q229" s="51" t="str">
        <x:v>FIN-R01</x:v>
      </x:c>
      <x:c r="R229" s="202" t="n">
        <x:v>46260.92880688657</x:v>
      </x:c>
    </x:row>
    <x:row r="230" ht="72" customHeight="1">
      <x:c r="A230" s="50" t="str">
        <x:v>V4-R-Q029-C04</x:v>
      </x:c>
      <x:c r="B230" s="50" t="str">
        <x:v>V4-E-Q029-C04</x:v>
      </x:c>
      <x:c r="C230" s="50" t="str">
        <x:v>V4-Q029</x:v>
      </x:c>
      <x:c r="D230" s="49" t="str">
        <x:v>云南白药</x:v>
      </x:c>
      <x:c r="E230" s="50" t="str">
        <x:v>000538</x:v>
      </x:c>
      <x:c r="F230" s="81" t="n">
        <x:v>46260.75</x:v>
      </x:c>
      <x:c r="G230" s="65" t="str">
        <x:v>核心产品销售恢复能否改善收入与毛利表现</x:v>
      </x:c>
      <x:c r="H230" s="50" t="str">
        <x:v>DOC-EVT-000538-00036</x:v>
      </x:c>
      <x:c r="I230" s="65" t="str">
        <x:v>2023年社会责任报告</x:v>
      </x:c>
      <x:c r="J230" s="81" t="n">
        <x:v>45381</x:v>
      </x:c>
      <x:c r="K230" s="87" t="str">
        <x:v>http://static.cninfo.com.cn/finalpage/2024-03-30/1219474060.PDF</x:v>
      </x:c>
      <x:c r="L230" s="49" t="str">
        <x:v>第3页</x:v>
      </x:c>
      <x:c r="M230" s="65" t="str">
        <x:v>001 002 云南白药 2023 年社会责任暨 ESG 报告 关于本报告 董事会 ESG 声明 董事会 ESG 声明 云南白药高度认同社会责任及环境、社会及管治 (ESG) 对公司长久稳健经营的重要性。公司及董事会遵循中国证监会《上 市公司治理准则》等各项要求，构建了职权清晰、权责明确的“决策层 - 监督层 - 执行层”三级 ESG 管治架构，持续加强 董事会在公司 ESG 事务中的监督与参与力度，积极主动将 ESG 相关事宜融入公司发展战略、重大决策与生产经营，建立 了有效的 ESG 管理机制和治理机制，为公司 ESG 相关工作的顺利开展和落实提供组织保障。 公司高度重视各利益相关方的意见与建议，持续开展重大性 ESG 议题的识别和评估工作，通过多种渠道与主要利益相关方 展开交流与沟通，并根据监管机构披露要求、行业政策与发展趋势，结合评级机构重点关注内容，对 ESG 相关重要议题进 行排序，作为 ESG 信息披露的重要参考。 本报告详尽披露公司 2023 年 ESG 工作的进展与成效，于 2024 年 3 月 28 日经公司第十届董事会 2024 年第三次会议 审议通过。 关于本报告 本报告为云南白药集团股份有限公司连续第 18 年发布的企业社会责任报告，本着规范、透明、客观和全面的原则，为各 利益相关方提供云南白药在经营、环境、社会、公益等领域内的社会责任实践和绩效。 本报告遵循深圳证券交易所《上市公司社会责任指引》，参考全球可持续发展标准委员会（GSSB）GRI 标…</x:v>
      </x:c>
      <x:c r="N230" s="51" t="str">
        <x:v>0-无关</x:v>
      </x:c>
      <x:c r="O230" s="51" t="str">
        <x:v>否</x:v>
      </x:c>
      <x:c r="P230" s="71" t="str">
        <x:v>《2023年社会责任报告》（第3页）内容为“001 002 云南白药 2023 年社会责任暨 ESG 报告 关于本报告 董事会 ESG 声明 董事会 ESG 声明 云南白药高度认同社会责任及环境、社…”，属于治理、证券程序或其他非核心事项，不能帮助判断“核心产品销售恢复能否改善收入与毛利表现”，故判0级。</x:v>
      </x:c>
      <x:c r="Q230" s="51" t="str">
        <x:v>FIN-R01</x:v>
      </x:c>
      <x:c r="R230" s="202" t="n">
        <x:v>46260.92880688657</x:v>
      </x:c>
    </x:row>
    <x:row r="231" ht="72" customHeight="1">
      <x:c r="A231" s="50" t="str">
        <x:v>V4-R-Q029-C06</x:v>
      </x:c>
      <x:c r="B231" s="50" t="str">
        <x:v>V4-E-Q029-C06</x:v>
      </x:c>
      <x:c r="C231" s="50" t="str">
        <x:v>V4-Q029</x:v>
      </x:c>
      <x:c r="D231" s="49" t="str">
        <x:v>云南白药</x:v>
      </x:c>
      <x:c r="E231" s="50" t="str">
        <x:v>000538</x:v>
      </x:c>
      <x:c r="F231" s="81" t="n">
        <x:v>46260.75</x:v>
      </x:c>
      <x:c r="G231" s="65" t="str">
        <x:v>核心产品销售恢复能否改善收入与毛利表现</x:v>
      </x:c>
      <x:c r="H231" s="50" t="str">
        <x:v>DOC-EVT-000538-00029</x:v>
      </x:c>
      <x:c r="I231" s="65" t="str">
        <x:v>2023年年度报告摘要</x:v>
      </x:c>
      <x:c r="J231" s="81" t="n">
        <x:v>45381</x:v>
      </x:c>
      <x:c r="K231" s="87" t="str">
        <x:v>http://static.cninfo.com.cn/finalpage/2024-03-30/1219474059.PDF</x:v>
      </x:c>
      <x:c r="L231" s="49" t="str">
        <x:v>第3页</x:v>
      </x:c>
      <x:c r="M231" s="65" t="str">
        <x:v>云南白药集团股份有限公司 2023 年年度报告摘要 3 （2） 分季度主要会计数据 单位：元 第一季度 第二季度 第三季度 第四季度 营业收入 10,512,750,996.14 9,796,621,853.93 9,379,159,224.37 9,422,760,081.56 归属于上市公司股东的净利润 1,517,988,356.56 1,310,023,258.74 1,295,465,799.15 -29,695,340.43 归属于上市公司股东的扣除非 经常性损益的净利润 1,402,680,418.31 1,334,375,367.59 1,116,150,641.76 -89,601,066.59 经营活动产生的现金流量净额 733,744,202.46 1,518,207,167.64 337,635,107.01 913,155,870.91 注：2023 年四季度公司营业收入94.23 亿元，毛利率23.77%，毛利率较2022 年四季度提升2.76%。2023 年四季度促 销活动及应付职工薪酬计提等较前三季度更为集中，且上海医药投资收益下降、二级市场证券投资处置完毕后交易性金融 资产公允价值变动收益下降。 上述财务指标或其加总数是否与公司已披露季度报告、半年度报告相关财务指标存在重大差异 □是 否 4、股本及股东情况 （1） 普通股股东和表决权恢复的优先股股东数量及前 10 名股东持股情况表 单位：股 报告期末普通 股股东总数 199,821 年度…</x:v>
      </x:c>
      <x:c r="N231" s="51" t="str">
        <x:v>2-间接相关</x:v>
      </x:c>
      <x:c r="O231" s="51" t="str">
        <x:v>是</x:v>
      </x:c>
      <x:c r="P231" s="71" t="str">
        <x:v>《2023年年度报告摘要》（第3页）披露“云南白药集团股份有限公司 2023 年年度报告摘要 3 （2） 分季度主要会计数据 单位：元 第一季度 第二季度 第三季度 第四季度 营业收入 10,51…”，可建立公告事项到“核心产品销售恢复能否改善收入与毛利表现”的一阶业务传导链；但未直接给出最终结果，故判2级。</x:v>
      </x:c>
      <x:c r="Q231" s="51" t="str">
        <x:v>FIN-R01</x:v>
      </x:c>
      <x:c r="R231" s="202" t="n">
        <x:v>46260.92880688657</x:v>
      </x:c>
    </x:row>
    <x:row r="232" ht="72" customHeight="1">
      <x:c r="A232" s="50" t="str">
        <x:v>V4-R-Q029-C03</x:v>
      </x:c>
      <x:c r="B232" s="50" t="str">
        <x:v>V4-E-Q029-C03</x:v>
      </x:c>
      <x:c r="C232" s="50" t="str">
        <x:v>V4-Q029</x:v>
      </x:c>
      <x:c r="D232" s="49" t="str">
        <x:v>云南白药</x:v>
      </x:c>
      <x:c r="E232" s="50" t="str">
        <x:v>000538</x:v>
      </x:c>
      <x:c r="F232" s="81" t="n">
        <x:v>46260.75</x:v>
      </x:c>
      <x:c r="G232" s="65" t="str">
        <x:v>核心产品销售恢复能否改善收入与毛利表现</x:v>
      </x:c>
      <x:c r="H232" s="50" t="str">
        <x:v>DOC-EVT-000538-00233</x:v>
      </x:c>
      <x:c r="I232" s="65" t="str">
        <x:v>2026年一季度报告</x:v>
      </x:c>
      <x:c r="J232" s="81" t="n">
        <x:v>46142</x:v>
      </x:c>
      <x:c r="K232" s="87" t="str">
        <x:v>http://static.cninfo.com.cn/finalpage/2026-04-30/1225255634.PDF</x:v>
      </x:c>
      <x:c r="L232" s="49" t="str">
        <x:v>第5页</x:v>
      </x:c>
      <x:c r="M232" s="65" t="str">
        <x:v>云南白药集团股份有限公司 2026 年第一季度报告 5 资产处置收益（损失以 “-”号填列） 1,025,221.36 81,785.84 1153.54% 主要构成为处置使用权资产利得。 加：营业外收入 2,967,869.41 5,038,390.96 -41.09% 主要构成为与日常经营活动无关的收入。 投资活动产生的现金流 量净额 -527,410,833.63 -66,638,307.82 -691.45% 主要原因是本期收回投资收到的现金较上年同期增 加 9.00 亿；本期取得投资收益收到的现金较上年同 期增加 0.95 亿；本期投资支付的现金较上年同期增 加17.50亿元，主要是为提高收益和资金使用效率， 在确保日常经营和资金安全的情况下，购买安全性 较高、流动性较好的银行理财产品及券商理财产品 支付的现金；本期支付其他与投资活动有关的现金 较上年同期减少 1.02 亿元，主要为存入定期存款支 付的现金。 筹资活动产生的现金流 量净额 -185,701,583.73 -471,209,321.07 60.59% 主要原因是本期偿还债务支付的现金较上年同期减 少2.79亿元。 二、股东信息 （一） 普通股股东总数和表决权恢复的优先股股东数量及前十名股东持股情况表 单位：股 报告期末普通股股东总数 169,274 报告期末表决权恢复的优先股股东总数（如有） 0 前10 名股东持股情况（不含通过转融通出借股份） 股东名称 股东性质 持股比例 （%） 持股数量 持有有…</x:v>
      </x:c>
      <x:c r="N232" s="51" t="str">
        <x:v>0-无关</x:v>
      </x:c>
      <x:c r="O232" s="51" t="str">
        <x:v>否</x:v>
      </x:c>
      <x:c r="P232" s="71" t="str">
        <x:v>《2026年一季度报告》（第5页）内容为“云南白药集团股份有限公司 2026 年第一季度报告 5 资产处置收益（损失以 “-”号填列） 1,025,221.36 81,785.84 1153.54…”，属于治理、证券程序或其他非核心事项，不能帮助判断“核心产品销售恢复能否改善收入与毛利表现”，故判0级。</x:v>
      </x:c>
      <x:c r="Q232" s="51" t="str">
        <x:v>FIN-R01</x:v>
      </x:c>
      <x:c r="R232" s="202" t="n">
        <x:v>46260.92880688657</x:v>
      </x:c>
    </x:row>
    <x:row r="233" ht="72" customHeight="1">
      <x:c r="A233" s="50" t="str">
        <x:v>V4-R-Q029-C02</x:v>
      </x:c>
      <x:c r="B233" s="50" t="str">
        <x:v>V4-E-Q029-C02</x:v>
      </x:c>
      <x:c r="C233" s="50" t="str">
        <x:v>V4-Q029</x:v>
      </x:c>
      <x:c r="D233" s="49" t="str">
        <x:v>云南白药</x:v>
      </x:c>
      <x:c r="E233" s="50" t="str">
        <x:v>000538</x:v>
      </x:c>
      <x:c r="F233" s="81" t="n">
        <x:v>46260.75</x:v>
      </x:c>
      <x:c r="G233" s="65" t="str">
        <x:v>核心产品销售恢复能否改善收入与毛利表现</x:v>
      </x:c>
      <x:c r="H233" s="50" t="str">
        <x:v>DOC-EVT-000538-00014</x:v>
      </x:c>
      <x:c r="I233" s="65" t="str">
        <x:v>关于变更项目质量控制复核合伙人的公告</x:v>
      </x:c>
      <x:c r="J233" s="81" t="n">
        <x:v>45371</x:v>
      </x:c>
      <x:c r="K233" s="87" t="str">
        <x:v>http://static.cninfo.com.cn/finalpage/2024-03-20/1219345717.PDF</x:v>
      </x:c>
      <x:c r="L233" s="49" t="str">
        <x:v>第1页</x:v>
      </x:c>
      <x:c r="M233" s="65" t="str">
        <x:v>1 / 2 股票代码：000538 股票简称：云南白药 公告编号：2024-13 云南白药集团股份有限公司 关于变更项目质量控制复核合伙人的公告 本公司及董事会全体成员保证信息披露内容的真实、准确、完整，没有虚 假记载、误导性陈述或重大遗漏。 云南白药集团股份有限公司（以下简称“公司”）分别于 2023 年 3 月 29 日、2023 年5 月9 日召开第十届董事会2023 年第二次会议、2022 年度股 东大会，审议通过了 《关于续聘公司2023 年度审计机构 （含内部控制审计） 的议案》，同意公司续聘中审众环会计师事务所（特殊普通合伙）（以下简 称“中审众环”）为公司2023 年度审计机构。具体内容详见公司于2023 年 3 月31 日、2023 年5 月10 日在巨潮资讯网 （网址：http://www.cninfo.com.cn） 披露的《第十届董事会2023 年第二次会议决议公告》（公告编号：2023-07）、 《关于拟续聘2023 年度审计机构（含内部控制审计）的公告》（公告编号： 2023-10）、《2022 年度股东大会决议公告》（公告编号：2023-19）。 一、项目质量控制复核合伙人的变更情况 2024 年3 月 19 日，公司收到中审众环《关于变更云南白药集团股份有 限公司项目质量控制复核合伙人的函》，中审众环作为公司 2023 年度财务 报表和内部控制的审计机构，原委派杨健女士作为项目质量控制复核合伙人。 因杨健女士个人客观原因退伙，根据《会计师事务…</x:v>
      </x:c>
      <x:c r="N233" s="51" t="str">
        <x:v>0-无关</x:v>
      </x:c>
      <x:c r="O233" s="51" t="str">
        <x:v>否</x:v>
      </x:c>
      <x:c r="P233" s="71" t="str">
        <x:v>《关于变更项目质量控制复核合伙人的公告》（第1页）内容为“1 / 2 股票代码：000538 股票简称：云南白药 公告编号：2024-13 云南白药集团股份有限公司 关于变更项目质量控制复核合伙人的公告 本公司及…”，属于治理、证券程序或其他非核心事项，不能帮助判断“核心产品销售恢复能否改善收入与毛利表现”，故判0级。</x:v>
      </x:c>
      <x:c r="Q233" s="51" t="str">
        <x:v>FIN-R01</x:v>
      </x:c>
      <x:c r="R233" s="202" t="n">
        <x:v>46260.92880688657</x:v>
      </x:c>
    </x:row>
    <x:row r="234" ht="72" customHeight="1">
      <x:c r="A234" s="50" t="str">
        <x:v>V4-R-Q030-C07</x:v>
      </x:c>
      <x:c r="B234" s="50" t="str">
        <x:v>V4-E-Q030-C07</x:v>
      </x:c>
      <x:c r="C234" s="50" t="str">
        <x:v>V4-Q030</x:v>
      </x:c>
      <x:c r="D234" s="49" t="str">
        <x:v>云南白药</x:v>
      </x:c>
      <x:c r="E234" s="50" t="str">
        <x:v>000538</x:v>
      </x:c>
      <x:c r="F234" s="81" t="n">
        <x:v>46260.75</x:v>
      </x:c>
      <x:c r="G234" s="65" t="str">
        <x:v>关联交易与渠道调整是否会影响经营独立性</x:v>
      </x:c>
      <x:c r="H234" s="50" t="str">
        <x:v>DOC-EVT-000538-00228</x:v>
      </x:c>
      <x:c r="I234" s="65" t="str">
        <x:v>2025年年度报告（英文版）</x:v>
      </x:c>
      <x:c r="J234" s="81" t="n">
        <x:v>46133</x:v>
      </x:c>
      <x:c r="K234" s="87" t="str">
        <x:v>http://static.cninfo.com.cn/finalpage/2026-04-21/1225126914.PDF</x:v>
      </x:c>
      <x:c r="L234" s="49" t="str">
        <x:v>第2页</x:v>
      </x:c>
      <x:c r="M234" s="65" t="str">
        <x:v>on to “XI. Outlook of the Company” in the “Section III Management Discussion and Analysis .” This part does not constitute our substantial commitments to investors. Investors are advised to pay attention to investment risks. The cash dividend to be implemented this time will be combined with the special dividend already distributed in 2025. The total accumulated cash dividends for 2025 represent 90.09% of the net profit attributable to shareholders of the listed company for 2025, with the total accumulated cash dividends amounting to RMB 4,642,651,293.01 (tax inclusive). The Company completed the distribution of the 2025 special dividend p…</x:v>
      </x:c>
      <x:c r="N234" s="51" t="str">
        <x:v>1-弱相关</x:v>
      </x:c>
      <x:c r="O234" s="51" t="str">
        <x:v>否</x:v>
      </x:c>
      <x:c r="P234" s="71" t="str">
        <x:v>《2025年年度报告（英文版）》（第2页）仅披露“on to “XI. Outlook of the Company” in the “Section III Management Discussion …”，虽与公司经营或相邻主题有关，但不足以验证“关联交易与渠道调整是否会影响经营独立性”的关键路径，故判1级。</x:v>
      </x:c>
      <x:c r="Q234" s="51" t="str">
        <x:v>FIN-R01</x:v>
      </x:c>
      <x:c r="R234" s="202" t="n">
        <x:v>46260.92880688657</x:v>
      </x:c>
    </x:row>
    <x:row r="235" ht="72" customHeight="1">
      <x:c r="A235" s="50" t="str">
        <x:v>V4-R-Q030-C05</x:v>
      </x:c>
      <x:c r="B235" s="50" t="str">
        <x:v>V4-E-Q030-C05</x:v>
      </x:c>
      <x:c r="C235" s="50" t="str">
        <x:v>V4-Q030</x:v>
      </x:c>
      <x:c r="D235" s="49" t="str">
        <x:v>云南白药</x:v>
      </x:c>
      <x:c r="E235" s="50" t="str">
        <x:v>000538</x:v>
      </x:c>
      <x:c r="F235" s="81" t="n">
        <x:v>46260.75</x:v>
      </x:c>
      <x:c r="G235" s="65" t="str">
        <x:v>关联交易与渠道调整是否会影响经营独立性</x:v>
      </x:c>
      <x:c r="H235" s="50" t="str">
        <x:v>DOC-EVT-000538-00106</x:v>
      </x:c>
      <x:c r="I235" s="65" t="str">
        <x:v>董事会对独立董事独立性评估的专项意见</x:v>
      </x:c>
      <x:c r="J235" s="81" t="n">
        <x:v>45748</x:v>
      </x:c>
      <x:c r="K235" s="87" t="str">
        <x:v>http://static.cninfo.com.cn/finalpage/2025-04-01/1222975573.PDF</x:v>
      </x:c>
      <x:c r="L235" s="49" t="str">
        <x:v>第1页</x:v>
      </x:c>
      <x:c r="M235" s="65" t="str">
        <x:v>云南白药集团股份有限公司董事会 关于 2024 年度独立董事独立性自查情况的专项意见 根据中国证券监督管理委员会 《上市公司独立董事管理办法》 《深 圳证券交易所股票上市规则》 《深圳证券交易所上市公司自律监管指 引第1 号—主板上市公司规范运作》等要求，云南白药集团股份有限 公司（以下简称“公司”）董事会就公司 2024 年度在任独立董事刘 国恩、戴扬、张永良、何勇的独立性情况进行评估并出具如下专项意 见： 经公司独立董事自查以及董事会核查公司独立董事刘国恩、 戴扬、 张永良、何勇在公司的履职情况以及签署的相关独立性自查文件，董 事会认为上述人员未在公司担任除董事以外的其他职务， 也未在公司 主要股东公司担任任何职务， 与公司及公司主要股东之间不存在直接 或间接利害关系，或者其他可能影响其进行独立客观判断的关系，在 2024 年度不存在《上市公司独立董事管理办法》及公司《独立董事 工作制度》第六条规定的不得担任独立董事的任意一种情形。 因此公司独立董事符合《上市公司独立董事管理办法》《深圳证 券交易所股票上市规则》 《深圳证券交易所上市公司自律监管指引第 1 号——主板上市公司规范运作》等法律法规以及《公司章程》、公 司《独立董事工作制度》中关于独立性的相关要求。 云南白药集团股份有限公司 董 事 会 2025 年3 月31 日</x:v>
      </x:c>
      <x:c r="N235" s="51" t="str">
        <x:v>0-无关</x:v>
      </x:c>
      <x:c r="O235" s="51" t="str">
        <x:v>否</x:v>
      </x:c>
      <x:c r="P235" s="71" t="str">
        <x:v>《董事会对独立董事独立性评估的专项意见》（第1页）内容为“云南白药集团股份有限公司董事会 关于 2024 年度独立董事独立性自查情况的专项意见 根据中国证券监督管理委员会 《上市公司独立董事管理办法》 《深 圳证…”，属于治理、证券程序或其他非核心事项，不能帮助判断“关联交易与渠道调整是否会影响经营独立性”，故判0级。</x:v>
      </x:c>
      <x:c r="Q235" s="51" t="str">
        <x:v>FIN-R01</x:v>
      </x:c>
      <x:c r="R235" s="202" t="n">
        <x:v>46260.92880688657</x:v>
      </x:c>
    </x:row>
    <x:row r="236" ht="72" customHeight="1">
      <x:c r="A236" s="50" t="str">
        <x:v>V4-R-Q030-C06</x:v>
      </x:c>
      <x:c r="B236" s="50" t="str">
        <x:v>V4-E-Q030-C06</x:v>
      </x:c>
      <x:c r="C236" s="50" t="str">
        <x:v>V4-Q030</x:v>
      </x:c>
      <x:c r="D236" s="49" t="str">
        <x:v>云南白药</x:v>
      </x:c>
      <x:c r="E236" s="50" t="str">
        <x:v>000538</x:v>
      </x:c>
      <x:c r="F236" s="81" t="n">
        <x:v>46260.75</x:v>
      </x:c>
      <x:c r="G236" s="65" t="str">
        <x:v>关联交易与渠道调整是否会影响经营独立性</x:v>
      </x:c>
      <x:c r="H236" s="50" t="str">
        <x:v>DOC-EVT-000538-00233</x:v>
      </x:c>
      <x:c r="I236" s="65" t="str">
        <x:v>2026年一季度报告</x:v>
      </x:c>
      <x:c r="J236" s="81" t="n">
        <x:v>46142</x:v>
      </x:c>
      <x:c r="K236" s="87" t="str">
        <x:v>http://static.cninfo.com.cn/finalpage/2026-04-30/1225255634.PDF</x:v>
      </x:c>
      <x:c r="L236" s="49" t="str">
        <x:v>第3页</x:v>
      </x:c>
      <x:c r="M236" s="65" t="str">
        <x:v>云南白药集团股份有限公司 2026 年第一季度报告 3 一、主要财务数据 （一） 主要会计数据和财务指标 公司是否需追溯调整或重述以前年度会计数据 □是 否 本报告期 上年同期 本报告期比上年同期增减（%） 营业收入（元） 11,602,596,895.18 10,841,237,721.29 7.02% 归属于上市公司股东的净利润（元） 2,037,306,990.13 1,934,639,584.60 5.31% 归属于上市公司股东的扣除非经常性损益 的净利润（元） 1,965,172,511.31 1,887,406,845.46 4.12% 经营活动产生的现金流量净额（元） 829,016,119.34 713,597,559.65 16.17% 基本每股收益（元/股） 1.14 1.08 5.56% 稀释每股收益（元/股） 1.14 1.08 5.56% 加权平均净资产收益率 4.96% 4.86% 增加 0.10 个百分点 本报告期末 上年度末 本报告期末比上年度末增减（%） 总资产（元） 56,457,228,477.67 54,268,581,131.82 4.03% 归属于上市公司股东的所有者权益（元） 42,096,489,419.57 40,044,058,844.44 5.13% 截至披露前一交易日的公司总股本（股） 1,784,262,603 用最新股本计算的全面摊薄每股收益： 支付的优先股股利（元） 0 支付的永续债利息（元） 0 用最新股本计…</x:v>
      </x:c>
      <x:c r="N236" s="51" t="str">
        <x:v>1-弱相关</x:v>
      </x:c>
      <x:c r="O236" s="51" t="str">
        <x:v>否</x:v>
      </x:c>
      <x:c r="P236" s="71" t="str">
        <x:v>《2026年一季度报告》（第3页）仅披露“云南白药集团股份有限公司 2026 年第一季度报告 3 一、主要财务数据 （一） 主要会计数据和财务指标 公司是否需追溯调整或重述以前年度会计数据 □是 …”，虽与公司经营或相邻主题有关，但不足以验证“关联交易与渠道调整是否会影响经营独立性”的关键路径，故判1级。</x:v>
      </x:c>
      <x:c r="Q236" s="51" t="str">
        <x:v>FIN-R01</x:v>
      </x:c>
      <x:c r="R236" s="202" t="n">
        <x:v>46260.92880688657</x:v>
      </x:c>
    </x:row>
    <x:row r="237" ht="72" customHeight="1">
      <x:c r="A237" s="50" t="str">
        <x:v>V4-R-Q030-C04</x:v>
      </x:c>
      <x:c r="B237" s="50" t="str">
        <x:v>V4-E-Q030-C04</x:v>
      </x:c>
      <x:c r="C237" s="50" t="str">
        <x:v>V4-Q030</x:v>
      </x:c>
      <x:c r="D237" s="49" t="str">
        <x:v>云南白药</x:v>
      </x:c>
      <x:c r="E237" s="50" t="str">
        <x:v>000538</x:v>
      </x:c>
      <x:c r="F237" s="81" t="n">
        <x:v>46260.75</x:v>
      </x:c>
      <x:c r="G237" s="65" t="str">
        <x:v>关联交易与渠道调整是否会影响经营独立性</x:v>
      </x:c>
      <x:c r="H237" s="50" t="str">
        <x:v>DOC-EVT-000538-00095</x:v>
      </x:c>
      <x:c r="I237" s="65" t="str">
        <x:v>关于2025年度预计日常关联交易的公告</x:v>
      </x:c>
      <x:c r="J237" s="81" t="n">
        <x:v>45654</x:v>
      </x:c>
      <x:c r="K237" s="87" t="str">
        <x:v>http://static.cninfo.com.cn/finalpage/2024-12-28/1222166321.PDF</x:v>
      </x:c>
      <x:c r="L237" s="49" t="str">
        <x:v>第1页</x:v>
      </x:c>
      <x:c r="M237" s="65" t="str">
        <x:v>1 / 5 股票代码：000538 股票简称：云南白药 公告编号：2024-62 云南白药集团股份有限公司 关于 2025 年度预计日常关联交易的公告 本公司及董事会全体成员保证信息披露内容的真实、准确、完整，没 有虚假记载、误导性陈述或重大遗漏。 一、日常关联交易基本情况 （一）日常关联交易概述 1、云南白药集团股份有限公司（以下简称“公司”）根据 2025 年 度日常经营需要，对包括采购、销售商品等与日常经营相关的其他各项 关联交易进行了合理预计，预计公司 2025 年与上海医药集团股份有限公 司（以下简称“上海医药”）发生的日常关联交易合计总额为 190,000.00 万元，占公司最近一期经审计净资产 3,987,912.20 万元的 4.76%，无需报股东大会审议。截至 2024 年 11 月末，公司 2024 年与上 海医药实际发生日常关联交易总额为 114,070.25 万元，未超过 2024 年经 董事会、股东大会审议通过的额度。 2、本事项已经于 2024 年 12 月 20 日召开的公司独立董事专门会议 2024 年第四次会议审议通过，公司全体独立董事一致同意本议案，并同 意将该议案提交公司第十届董事会 2024 年第十二次会议审议，关联董事 应回避表决。 公司第十届董事会2024 年第十二次会议于2024 年12 月27 日以通讯 表决方式召开，会议以 9 票同意、0 票反对、0 票弃权审议通过了《关于 2025 年度预计日常关联交易的议案》，本议案相关…</x:v>
      </x:c>
      <x:c r="N237" s="51" t="str">
        <x:v>3-直接相关</x:v>
      </x:c>
      <x:c r="O237" s="51" t="str">
        <x:v>是</x:v>
      </x:c>
      <x:c r="P237" s="71" t="str">
        <x:v>《关于2025年度预计日常关联交易的公告》（第1页）直接披露“1 / 5 股票代码：000538 股票简称：云南白药 公告编号：2024-62 云南白药集团股份有限公司 关于 2025 年度预计日常关联交易的公告 本…”，与“关联交易与渠道调整是否会影响经营独立性”的核心变量或结果同口径，可直接用于判断，故判3级。</x:v>
      </x:c>
      <x:c r="Q237" s="51" t="str">
        <x:v>FIN-R01</x:v>
      </x:c>
      <x:c r="R237" s="202" t="n">
        <x:v>46260.92880688657</x:v>
      </x:c>
    </x:row>
    <x:row r="238" ht="72" customHeight="1">
      <x:c r="A238" s="50" t="str">
        <x:v>V4-R-Q030-C03</x:v>
      </x:c>
      <x:c r="B238" s="50" t="str">
        <x:v>V4-E-Q030-C03</x:v>
      </x:c>
      <x:c r="C238" s="50" t="str">
        <x:v>V4-Q030</x:v>
      </x:c>
      <x:c r="D238" s="49" t="str">
        <x:v>云南白药</x:v>
      </x:c>
      <x:c r="E238" s="50" t="str">
        <x:v>000538</x:v>
      </x:c>
      <x:c r="F238" s="81" t="n">
        <x:v>46260.75</x:v>
      </x:c>
      <x:c r="G238" s="65" t="str">
        <x:v>关联交易与渠道调整是否会影响经营独立性</x:v>
      </x:c>
      <x:c r="H238" s="50" t="str">
        <x:v>DOC-EVT-000538-00027</x:v>
      </x:c>
      <x:c r="I238" s="65" t="str">
        <x:v>关于2024年度预计日常关联交易的公告</x:v>
      </x:c>
      <x:c r="J238" s="81" t="n">
        <x:v>45381</x:v>
      </x:c>
      <x:c r="K238" s="87" t="str">
        <x:v>http://static.cninfo.com.cn/finalpage/2024-03-30/1219474043.PDF</x:v>
      </x:c>
      <x:c r="L238" s="49" t="str">
        <x:v>第1页</x:v>
      </x:c>
      <x:c r="M238" s="65" t="str">
        <x:v>1 / 7 股票代码：000538 股票简称：云南白药 公告编号：2024-18 云南白药集团股份有限公司 关于 2024 年度预计日常关联交易的公告 本公司及董事会全体成员保证信息披露内容的真实、准确、完整，没有虚 假记载、误导性陈述或重大遗漏。 一、日常关联交易基本情况 （一）日常关联交易概述 1、董事会已审议通过的2024 年预计日常关联交易额度 2023年12月27日，经云南白药集团股份有限公司（以下简称“公司”） 第十届董事会 2023 年第七次会议审议通过，公司预计 2024 年度与上海医药 集团股份有限公司（以下简称“上海医药”）发生的日常关联交易合计总额 为 190,000 万元，其中，公司向上海医药采购商品的预计金额为120,000 万元， 公司向上海医药销售商品的预计金额为70,000 万元。 2、本次董事会审议的其他2024 年预计日常关联交易额度 公司根据 2024 年度日常经营需要，对包括采购、销售商品等与日常经营 相关的其他各项关联交易再次进行了合理预计，预计公司 2024 年向西藏久实 致和营销有限公司（以下简称“西藏久实”）销售商品的金额为 28,000 万元， 向江苏鱼跃医疗设备股份有限公司（以下简称“鱼跃医疗”）采购商品的金 额为 5,000 万元，预计 2024 年公司与西藏久实、鱼跃医疗发生的日常关联交 易合计总额为33,000 万元。 3、公司2024 年预计日常关联交易总额度 经2023 年12 月27 日召开的公司第十届董事会2…</x:v>
      </x:c>
      <x:c r="N238" s="51" t="str">
        <x:v>3-直接相关</x:v>
      </x:c>
      <x:c r="O238" s="51" t="str">
        <x:v>是</x:v>
      </x:c>
      <x:c r="P238" s="71" t="str">
        <x:v>《关于2024年度预计日常关联交易的公告》（第1页）直接披露“1 / 7 股票代码：000538 股票简称：云南白药 公告编号：2024-18 云南白药集团股份有限公司 关于 2024 年度预计日常关联交易的公告 本…”，与“关联交易与渠道调整是否会影响经营独立性”的核心变量或结果同口径，可直接用于判断，故判3级。</x:v>
      </x:c>
      <x:c r="Q238" s="51" t="str">
        <x:v>FIN-R01</x:v>
      </x:c>
      <x:c r="R238" s="202" t="n">
        <x:v>46260.92880688657</x:v>
      </x:c>
    </x:row>
    <x:row r="239" ht="72" customHeight="1">
      <x:c r="A239" s="50" t="str">
        <x:v>V4-R-Q030-C01</x:v>
      </x:c>
      <x:c r="B239" s="50" t="str">
        <x:v>V4-E-Q030-C01</x:v>
      </x:c>
      <x:c r="C239" s="50" t="str">
        <x:v>V4-Q030</x:v>
      </x:c>
      <x:c r="D239" s="49" t="str">
        <x:v>云南白药</x:v>
      </x:c>
      <x:c r="E239" s="50" t="str">
        <x:v>000538</x:v>
      </x:c>
      <x:c r="F239" s="81" t="n">
        <x:v>46260.75</x:v>
      </x:c>
      <x:c r="G239" s="65" t="str">
        <x:v>关联交易与渠道调整是否会影响经营独立性</x:v>
      </x:c>
      <x:c r="H239" s="50" t="str">
        <x:v>DOC-EVT-000538-00205</x:v>
      </x:c>
      <x:c r="I239" s="65" t="str">
        <x:v>关于2026年度预计日常关联交易的公告</x:v>
      </x:c>
      <x:c r="J239" s="81" t="n">
        <x:v>46113</x:v>
      </x:c>
      <x:c r="K239" s="87" t="str">
        <x:v>http://static.cninfo.com.cn/finalpage/2026-04-01/1225067986.PDF</x:v>
      </x:c>
      <x:c r="L239" s="49" t="str">
        <x:v>第1页</x:v>
      </x:c>
      <x:c r="M239" s="65" t="str">
        <x:v>1 / 7 股票代码：000538 股票简称：云南白药 公告编号：2026-11 云南白药集团股份有限公司 关于2026 年度预计日常关联交易的公告 本公司及董事会全体成员保证信息披露内容的真实、准确、完整，没 有虚假记载、误导性陈述或重大遗漏。 一、日常关联交易基本情况 （一）日常关联交易概述 1、董事会已审议通过的2026 年预计日常关联交易额度 2025 年 12 月 31 日，经云南白药集团股份有限公司（以下简称“公 司”）第十一届董事会2025 年第二次会议审议通过，公司预计2026 年度 与上海医药集团股份有限公司（以下简称“上海医药”）发生的日常关联 交易合计总额为190,000 万元，其中，公司向上海医药采购商品的预计金 额为120,000万元，公司向上海医药销售商品的预计金额为70,000万元。 2、本次董事会审议的其他2026 年预计日常关联交易额度 公司根据 2026 年度日常经营需要，对包括采购、销售商品等与日常 经营相关的其他各项关联交易再次进行了合理预计，预计公司 2026 年向 西藏久实致和营销有限公司（以下简称“西藏久实”）销售商品的金额 为40,000.00 万元。 3、公司 2026 年预计日常关联交易总额度 经2025年12月31日召开的公司第十一届董事会2025年第二次会议、 2026 年 3 月 31 日召开的公司第十一届董事会 2026 年第二次会议审议， 2026 年预计公司与上海医药、西藏久实发生的日常关联交易合计总额为 23…</x:v>
      </x:c>
      <x:c r="N239" s="51" t="str">
        <x:v>3-直接相关</x:v>
      </x:c>
      <x:c r="O239" s="51" t="str">
        <x:v>是</x:v>
      </x:c>
      <x:c r="P239" s="71" t="str">
        <x:v>《关于2026年度预计日常关联交易的公告》（第1页）直接披露“1 / 7 股票代码：000538 股票简称：云南白药 公告编号：2026-11 云南白药集团股份有限公司 关于2026 年度预计日常关联交易的公告 本公…”，与“关联交易与渠道调整是否会影响经营独立性”的核心变量或结果同口径，可直接用于判断，故判3级。</x:v>
      </x:c>
      <x:c r="Q239" s="51" t="str">
        <x:v>FIN-R01</x:v>
      </x:c>
      <x:c r="R239" s="202" t="n">
        <x:v>46260.92880688657</x:v>
      </x:c>
    </x:row>
    <x:row r="240" ht="72" customHeight="1">
      <x:c r="A240" s="50" t="str">
        <x:v>V4-R-Q030-C08</x:v>
      </x:c>
      <x:c r="B240" s="50" t="str">
        <x:v>V4-E-Q030-C08</x:v>
      </x:c>
      <x:c r="C240" s="50" t="str">
        <x:v>V4-Q030</x:v>
      </x:c>
      <x:c r="D240" s="49" t="str">
        <x:v>云南白药</x:v>
      </x:c>
      <x:c r="E240" s="50" t="str">
        <x:v>000538</x:v>
      </x:c>
      <x:c r="F240" s="81" t="n">
        <x:v>46260.75</x:v>
      </x:c>
      <x:c r="G240" s="65" t="str">
        <x:v>关联交易与渠道调整是否会影响经营独立性</x:v>
      </x:c>
      <x:c r="H240" s="50" t="str">
        <x:v>DOC-EVT-000538-00198</x:v>
      </x:c>
      <x:c r="I240" s="65" t="str">
        <x:v>董事会关于2025年度独立董事独立性自查情况的专项意见</x:v>
      </x:c>
      <x:c r="J240" s="81" t="n">
        <x:v>46113</x:v>
      </x:c>
      <x:c r="K240" s="87" t="str">
        <x:v>http://static.cninfo.com.cn/finalpage/2026-04-01/1225067978.PDF</x:v>
      </x:c>
      <x:c r="L240" s="49" t="str">
        <x:v>第1页</x:v>
      </x:c>
      <x:c r="M240" s="65" t="str">
        <x:v>云南白药集团股份有限公司董事会 关于2025 年度独立董事独立性自查情况的专项意见 根据中国证券监督管理委员会《上市公司独立董事管理办法》《深圳 证券交易所股票上市规则》《深圳证券交易所上市公司自律监管指引第1 号—主板上市公司规范运作》等相关规定，云南白药集团股份有限公司（以 下简称“公司”）董事会就公司2025 年度届满离任的第十届董事会独立董 事戴扬、张永良、何勇及在任的第十一届董事会独立董事刘国恩、纳超洪、 胡明星、曹仰锋的独立性情况进行评估并出具如下专项意见： 经公司上述七位独立董事自查以及董事会核查其在公司的履职情况 以及签署的相关独立性自查文件，董事会认为上述人员未在公司担任除董 事以外的其他职务，也未在公司主要股东公司担任任何职务，与公司及公 司主要股东之间不存在直接或间接利害关系，或者其他可能影响其进行独 立客观判断的关系，在2025 年度任期内不存在《上市公司独立董事管理办 法》及公司《独立董事工作制度》第六条规定的不得担任独立董事的任意 一种情形。 因此公司独立董事符合《上市公司独立董事管理办法》《深圳证券交 易所股票上市规则》《深圳证券交易所上市公司自律监管指引第1 号—— 主板上市公司规范运作》等法律法规以及《公司章程》、公司《独立董事 工作制度》中关于独立性的相关要求。 云南白药集团股份有限公司 董 事 会 2026年3月31 日</x:v>
      </x:c>
      <x:c r="N240" s="51" t="str">
        <x:v>0-无关</x:v>
      </x:c>
      <x:c r="O240" s="51" t="str">
        <x:v>否</x:v>
      </x:c>
      <x:c r="P240" s="71" t="str">
        <x:v>《董事会关于2025年度独立董事独立性自查情况的专项意见》（第1页）内容为“云南白药集团股份有限公司董事会 关于2025 年度独立董事独立性自查情况的专项意见 根据中国证券监督管理委员会《上市公司独立董事管理办法》《深圳 证券交易…”，属于治理、证券程序或其他非核心事项，不能帮助判断“关联交易与渠道调整是否会影响经营独立性”，故判0级。</x:v>
      </x:c>
      <x:c r="Q240" s="51" t="str">
        <x:v>FIN-R01</x:v>
      </x:c>
      <x:c r="R240" s="202" t="n">
        <x:v>46260.92880688657</x:v>
      </x:c>
    </x:row>
    <x:row r="241" ht="72" customHeight="1">
      <x:c r="A241" s="53" t="str">
        <x:v>V4-R-Q030-C02</x:v>
      </x:c>
      <x:c r="B241" s="53" t="str">
        <x:v>V4-E-Q030-C02</x:v>
      </x:c>
      <x:c r="C241" s="53" t="str">
        <x:v>V4-Q030</x:v>
      </x:c>
      <x:c r="D241" s="52" t="str">
        <x:v>云南白药</x:v>
      </x:c>
      <x:c r="E241" s="53" t="str">
        <x:v>000538</x:v>
      </x:c>
      <x:c r="F241" s="82" t="n">
        <x:v>46260.75</x:v>
      </x:c>
      <x:c r="G241" s="66" t="str">
        <x:v>关联交易与渠道调整是否会影响经营独立性</x:v>
      </x:c>
      <x:c r="H241" s="53" t="str">
        <x:v>DOC-EVT-000538-00122</x:v>
      </x:c>
      <x:c r="I241" s="66" t="str">
        <x:v>关于2025年度预计日常关联交易的公告</x:v>
      </x:c>
      <x:c r="J241" s="82" t="n">
        <x:v>45748</x:v>
      </x:c>
      <x:c r="K241" s="88" t="str">
        <x:v>http://static.cninfo.com.cn/finalpage/2025-04-01/1222975570.PDF</x:v>
      </x:c>
      <x:c r="L241" s="52" t="str">
        <x:v>第1页</x:v>
      </x:c>
      <x:c r="M241" s="66" t="str">
        <x:v>1 / 7 股票代码：000538 股票简称：云南白药 公告编号：2025-12 云南白药集团股份有限公司 关于 2025 年度预计日常关联交易的公告 本公司及董事会全体成员保证信息披露内容的真实、准确、完整，没有虚 假记载、误导性陈述或重大遗漏。 一、日常关联交易基本情况 （一）日常关联交易概述 1、董事会已审议通过的2025 年预计日常关联交易额度 2024年12月27日，经云南白药集团股份有限公司（以下简称“公司”） 第十届董事会 2024 年第十二次会议审议通过，公司预计 2025 年度与上海医 药集团股份有限公司（以下简称“上海医药”）发生的日常关联交易合计总 额为 190,000 万元，其中，公司向上海医药采购商品的预计金额为120,000 万 元，公司向上海医药销售商品的预计金额为70,000 万元。 2、本次董事会审议的其他2025 年预计日常关联交易额度 公司根据 2025 年度日常经营需要，对包括采购、销售商品等与日常经营相 关的其他各项关联交易再次进行了合理预计，预计公司 2025 年向西藏久实致和 营销有限公司（以下简称“西藏久实”）销售商品的金额为35,000.00 万元。 3、公司2025 年预计日常关联交易总额度 经2024 年12 月27 召开的公司第十届董事会2024 年第十二次会议、2025 年 3 月 31 日召开的公司第十届董事会 2025 年第一次会议审议，2025 年预计 公司与上海医药、西藏久实发生的日常关联交易合计总额为 22…</x:v>
      </x:c>
      <x:c r="N241" s="54" t="str">
        <x:v>3-直接相关</x:v>
      </x:c>
      <x:c r="O241" s="54" t="str">
        <x:v>是</x:v>
      </x:c>
      <x:c r="P241" s="72" t="str">
        <x:v>《关于2025年度预计日常关联交易的公告》（第1页）直接披露“1 / 7 股票代码：000538 股票简称：云南白药 公告编号：2025-12 云南白药集团股份有限公司 关于 2025 年度预计日常关联交易的公告 本…”，与“关联交易与渠道调整是否会影响经营独立性”的核心变量或结果同口径，可直接用于判断，故判3级。</x:v>
      </x:c>
      <x:c r="Q241" s="54" t="str">
        <x:v>FIN-R01</x:v>
      </x:c>
      <x:c r="R241" s="203" t="n">
        <x:v>46260.92880688657</x:v>
      </x:c>
    </x:row>
  </x:sheetData>
  <x:conditionalFormatting sqref="N2:N241">
    <x:cfRule type="containsBlanks" dxfId="0" priority="1"/>
    <x:cfRule type="containsText" dxfId="5" priority="6" operator="containsText" text="3-直接相关"/>
    <x:cfRule type="containsText" dxfId="6" priority="7" operator="containsText" text="2-间接相关"/>
    <x:cfRule type="containsText" dxfId="7" priority="8" operator="containsText" text="1-弱相关"/>
    <x:cfRule type="containsText" dxfId="8" priority="9" operator="containsText" text="0-无关"/>
  </x:conditionalFormatting>
  <x:conditionalFormatting sqref="O2:O241">
    <x:cfRule type="containsBlanks" dxfId="1" priority="2"/>
    <x:cfRule type="containsText" dxfId="9" priority="10" operator="containsText" text="是"/>
    <x:cfRule type="containsText" dxfId="10" priority="11" operator="containsText" text="否"/>
  </x:conditionalFormatting>
  <x:conditionalFormatting sqref="P2:P241">
    <x:cfRule type="containsBlanks" dxfId="2" priority="3"/>
  </x:conditionalFormatting>
  <x:conditionalFormatting sqref="Q2:Q241">
    <x:cfRule type="containsBlanks" dxfId="3" priority="4"/>
  </x:conditionalFormatting>
  <x:conditionalFormatting sqref="R2:R241">
    <x:cfRule type="containsBlanks" dxfId="4" priority="5"/>
  </x:conditionalFormatting>
  <x:dataValidations count="2">
    <x:dataValidation type="list" sqref="N2:N241">
      <x:formula1>"0-无关,1-弱相关,2-间接相关,3-直接相关"</x:formula1>
    </x:dataValidation>
    <x:dataValidation type="list" sqref="O2:O241">
      <x:formula1>"是,否"</x:formula1>
    </x:dataValidation>
  </x:dataValidations>
  <x:pageMargins left="0.7" right="0.7" top="0.75" bottom="0.75" header="0.3" footer="0.3"/>
  <x:legacyDrawing xmlns:r="http://schemas.openxmlformats.org/officeDocument/2006/relationships" r:id="Ra4e9fcb9bebc467c"/>
  <x:tableParts count="1">
    <x:tablePart xmlns:r="http://schemas.openxmlformats.org/officeDocument/2006/relationships" r:id="R4d1e48f698a34ac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18" hidden="0" customWidth="1"/>
    <x:col min="4" max="4" width="38" hidden="0" customWidth="1"/>
    <x:col min="5" max="5" width="13" hidden="0" customWidth="1"/>
    <x:col min="6" max="6" width="13" hidden="0" customWidth="1"/>
    <x:col min="7" max="7" width="13" hidden="0" customWidth="1"/>
    <x:col min="8" max="8" width="13" hidden="0" customWidth="1"/>
  </x:cols>
  <x:sheetData>
    <x:row r="1">
      <x:c r="A1" s="106" t="str">
        <x:v>Graph RAG v4 专业研究员独立盲标说明</x:v>
      </x:c>
      <x:c r="B1" s="106" t="str">
        <x:v>Graph RAG v4 专业研究员独立盲标说明</x:v>
      </x:c>
      <x:c r="C1" s="106" t="str">
        <x:v>Graph RAG v4 专业研究员独立盲标说明</x:v>
      </x:c>
      <x:c r="D1" s="106" t="str">
        <x:v>Graph RAG v4 专业研究员独立盲标说明</x:v>
      </x:c>
      <x:c r="E1" s="106" t="str">
        <x:v>Graph RAG v4 专业研究员独立盲标说明</x:v>
      </x:c>
      <x:c r="F1" s="106" t="str">
        <x:v>Graph RAG v4 专业研究员独立盲标说明</x:v>
      </x:c>
      <x:c r="G1" s="106" t="str">
        <x:v>Graph RAG v4 专业研究员独立盲标说明</x:v>
      </x:c>
      <x:c r="H1" s="106" t="str">
        <x:v>Graph RAG v4 专业研究员独立盲标说明</x:v>
      </x:c>
    </x:row>
    <x:row r="2">
      <x:c r="A2" s="106" t="str">
        <x:v>Graph RAG v4 专业研究员独立盲标说明</x:v>
      </x:c>
      <x:c r="B2" s="106" t="str">
        <x:v>Graph RAG v4 专业研究员独立盲标说明</x:v>
      </x:c>
      <x:c r="C2" s="106" t="str">
        <x:v>Graph RAG v4 专业研究员独立盲标说明</x:v>
      </x:c>
      <x:c r="D2" s="106" t="str">
        <x:v>Graph RAG v4 专业研究员独立盲标说明</x:v>
      </x:c>
      <x:c r="E2" s="106" t="str">
        <x:v>Graph RAG v4 专业研究员独立盲标说明</x:v>
      </x:c>
      <x:c r="F2" s="106" t="str">
        <x:v>Graph RAG v4 专业研究员独立盲标说明</x:v>
      </x:c>
      <x:c r="G2" s="106" t="str">
        <x:v>Graph RAG v4 专业研究员独立盲标说明</x:v>
      </x:c>
      <x:c r="H2" s="106" t="str">
        <x:v>Graph RAG v4 专业研究员独立盲标说明</x:v>
      </x:c>
    </x:row>
    <x:row r="4">
      <x:c r="A4" s="136" t="str">
        <x:v>本工作簿包含 30 个全新查询、每个查询 8 个候选，共 240 行。候选题面已冻结且模型已锁定；请独立阅读证据和原文后完成 N:R 五个黄色字段，禁止修改 A:M。</x:v>
      </x:c>
      <x:c r="B4" s="137" t="str">
        <x:v>本工作簿包含 30 个全新查询、每个查询 8 个候选，共 240 行。候选题面已冻结且模型已锁定；请独立阅读证据和原文后完成 N:R 五个黄色字段，禁止修改 A:M。</x:v>
      </x:c>
      <x:c r="C4" s="137" t="str">
        <x:v>本工作簿包含 30 个全新查询、每个查询 8 个候选，共 240 行。候选题面已冻结且模型已锁定；请独立阅读证据和原文后完成 N:R 五个黄色字段，禁止修改 A:M。</x:v>
      </x:c>
      <x:c r="D4" s="137" t="str">
        <x:v>本工作簿包含 30 个全新查询、每个查询 8 个候选，共 240 行。候选题面已冻结且模型已锁定；请独立阅读证据和原文后完成 N:R 五个黄色字段，禁止修改 A:M。</x:v>
      </x:c>
      <x:c r="E4" s="137" t="str">
        <x:v>本工作簿包含 30 个全新查询、每个查询 8 个候选，共 240 行。候选题面已冻结且模型已锁定；请独立阅读证据和原文后完成 N:R 五个黄色字段，禁止修改 A:M。</x:v>
      </x:c>
      <x:c r="F4" s="137" t="str">
        <x:v>本工作簿包含 30 个全新查询、每个查询 8 个候选，共 240 行。候选题面已冻结且模型已锁定；请独立阅读证据和原文后完成 N:R 五个黄色字段，禁止修改 A:M。</x:v>
      </x:c>
      <x:c r="G4" s="137" t="str">
        <x:v>本工作簿包含 30 个全新查询、每个查询 8 个候选，共 240 行。候选题面已冻结且模型已锁定；请独立阅读证据和原文后完成 N:R 五个黄色字段，禁止修改 A:M。</x:v>
      </x:c>
      <x:c r="H4" s="138" t="str">
        <x:v>本工作簿包含 30 个全新查询、每个查询 8 个候选，共 240 行。候选题面已冻结且模型已锁定；请独立阅读证据和原文后完成 N:R 五个黄色字段，禁止修改 A:M。</x:v>
      </x:c>
    </x:row>
    <x:row r="5">
      <x:c r="A5" s="139" t="str">
        <x:v>本工作簿包含 30 个全新查询、每个查询 8 个候选，共 240 行。候选题面已冻结且模型已锁定；请独立阅读证据和原文后完成 N:R 五个黄色字段，禁止修改 A:M。</x:v>
      </x:c>
      <x:c r="B5" s="140" t="str">
        <x:v>本工作簿包含 30 个全新查询、每个查询 8 个候选，共 240 行。候选题面已冻结且模型已锁定；请独立阅读证据和原文后完成 N:R 五个黄色字段，禁止修改 A:M。</x:v>
      </x:c>
      <x:c r="C5" s="140" t="str">
        <x:v>本工作簿包含 30 个全新查询、每个查询 8 个候选，共 240 行。候选题面已冻结且模型已锁定；请独立阅读证据和原文后完成 N:R 五个黄色字段，禁止修改 A:M。</x:v>
      </x:c>
      <x:c r="D5" s="140" t="str">
        <x:v>本工作簿包含 30 个全新查询、每个查询 8 个候选，共 240 行。候选题面已冻结且模型已锁定；请独立阅读证据和原文后完成 N:R 五个黄色字段，禁止修改 A:M。</x:v>
      </x:c>
      <x:c r="E5" s="140" t="str">
        <x:v>本工作簿包含 30 个全新查询、每个查询 8 个候选，共 240 行。候选题面已冻结且模型已锁定；请独立阅读证据和原文后完成 N:R 五个黄色字段，禁止修改 A:M。</x:v>
      </x:c>
      <x:c r="F5" s="140" t="str">
        <x:v>本工作簿包含 30 个全新查询、每个查询 8 个候选，共 240 行。候选题面已冻结且模型已锁定；请独立阅读证据和原文后完成 N:R 五个黄色字段，禁止修改 A:M。</x:v>
      </x:c>
      <x:c r="G5" s="140" t="str">
        <x:v>本工作簿包含 30 个全新查询、每个查询 8 个候选，共 240 行。候选题面已冻结且模型已锁定；请独立阅读证据和原文后完成 N:R 五个黄色字段，禁止修改 A:M。</x:v>
      </x:c>
      <x:c r="H5" s="141" t="str">
        <x:v>本工作簿包含 30 个全新查询、每个查询 8 个候选，共 240 行。候选题面已冻结且模型已锁定；请独立阅读证据和原文后完成 N:R 五个黄色字段，禁止修改 A:M。</x:v>
      </x:c>
    </x:row>
    <x:row r="6">
      <x:c r="A6" s="4"/>
      <x:c r="B6" s="4"/>
      <x:c r="C6" s="4"/>
      <x:c r="D6" s="4"/>
      <x:c r="E6" s="4"/>
      <x:c r="F6" s="4"/>
      <x:c r="G6" s="4"/>
      <x:c r="H6" s="4"/>
    </x:row>
    <x:row r="7">
      <x:c r="A7" s="152" t="str">
        <x:v>数据版本</x:v>
      </x:c>
      <x:c r="B7" s="153" t="str">
        <x:v>graph-relevance-v4-blind</x:v>
      </x:c>
      <x:c r="C7" s="4"/>
      <x:c r="D7" s="4"/>
      <x:c r="E7" s="4"/>
      <x:c r="F7" s="4"/>
      <x:c r="G7" s="4"/>
      <x:c r="H7" s="4"/>
    </x:row>
    <x:row r="8">
      <x:c r="A8" s="152" t="str">
        <x:v>查询数</x:v>
      </x:c>
      <x:c r="B8" s="153" t="n">
        <x:v>30</x:v>
      </x:c>
      <x:c r="C8" s="4"/>
      <x:c r="D8" s="4"/>
      <x:c r="E8" s="4"/>
      <x:c r="F8" s="4"/>
      <x:c r="G8" s="4"/>
      <x:c r="H8" s="4"/>
    </x:row>
    <x:row r="9">
      <x:c r="A9" s="152" t="str">
        <x:v>每查询候选数</x:v>
      </x:c>
      <x:c r="B9" s="153" t="n">
        <x:v>8</x:v>
      </x:c>
      <x:c r="C9" s="4"/>
      <x:c r="D9" s="4"/>
      <x:c r="E9" s="4"/>
      <x:c r="F9" s="4"/>
      <x:c r="G9" s="4"/>
      <x:c r="H9" s="4"/>
    </x:row>
    <x:row r="10">
      <x:c r="A10" s="152" t="str">
        <x:v>候选关系数</x:v>
      </x:c>
      <x:c r="B10" s="153" t="n">
        <x:v>240</x:v>
      </x:c>
      <x:c r="C10" s="4"/>
      <x:c r="D10" s="4"/>
      <x:c r="E10" s="4"/>
      <x:c r="F10" s="4"/>
      <x:c r="G10" s="4"/>
      <x:c r="H10" s="4"/>
    </x:row>
    <x:row r="11">
      <x:c r="A11" s="152" t="str">
        <x:v>覆盖公司数</x:v>
      </x:c>
      <x:c r="B11" s="153" t="n">
        <x:v>9</x:v>
      </x:c>
      <x:c r="C11" s="4"/>
      <x:c r="D11" s="4"/>
      <x:c r="E11" s="4"/>
      <x:c r="F11" s="4"/>
      <x:c r="G11" s="4"/>
      <x:c r="H11" s="4"/>
    </x:row>
    <x:row r="12">
      <x:c r="A12" s="152" t="str">
        <x:v>检索截止时间</x:v>
      </x:c>
      <x:c r="B12" s="153" t="str">
        <x:v>2026-08-26 18:00:00（UTC+08:00）</x:v>
      </x:c>
      <x:c r="C12" s="4"/>
      <x:c r="D12" s="4"/>
      <x:c r="E12" s="4"/>
      <x:c r="F12" s="4"/>
      <x:c r="G12" s="4"/>
      <x:c r="H12" s="4"/>
    </x:row>
    <x:row r="13">
      <x:c r="A13" s="152" t="str">
        <x:v>需要填写</x:v>
      </x:c>
      <x:c r="B13" s="153" t="str">
        <x:v>相关性等级、关系路径、理由、标注员、标注时间</x:v>
      </x:c>
      <x:c r="C13" s="4"/>
      <x:c r="D13" s="4"/>
      <x:c r="E13" s="4"/>
      <x:c r="F13" s="4"/>
      <x:c r="G13" s="4"/>
      <x:c r="H13" s="4"/>
    </x:row>
    <x:row r="14">
      <x:c r="A14" s="4"/>
      <x:c r="B14" s="4"/>
      <x:c r="C14" s="4"/>
      <x:c r="D14" s="4"/>
      <x:c r="E14" s="4"/>
      <x:c r="F14" s="4"/>
      <x:c r="G14" s="4"/>
      <x:c r="H14" s="4"/>
    </x:row>
    <x:row r="15">
      <x:c r="A15" s="158" t="str">
        <x:v>相关性等级口径</x:v>
      </x:c>
      <x:c r="B15" s="158" t="str">
        <x:v>相关性等级口径</x:v>
      </x:c>
      <x:c r="C15" s="158" t="str">
        <x:v>相关性等级口径</x:v>
      </x:c>
      <x:c r="D15" s="158" t="str">
        <x:v>相关性等级口径</x:v>
      </x:c>
      <x:c r="E15" s="158" t="str">
        <x:v>相关性等级口径</x:v>
      </x:c>
      <x:c r="F15" s="158" t="str">
        <x:v>相关性等级口径</x:v>
      </x:c>
      <x:c r="G15" s="158" t="str">
        <x:v>相关性等级口径</x:v>
      </x:c>
      <x:c r="H15" s="158" t="str">
        <x:v>相关性等级口径</x:v>
      </x:c>
    </x:row>
    <x:row r="16">
      <x:c r="A16" s="168" t="str">
        <x:v>等级</x:v>
      </x:c>
      <x:c r="B16" s="168" t="str">
        <x:v>定义</x:v>
      </x:c>
      <x:c r="C16" s="168" t="str">
        <x:v>路径通常判断</x:v>
      </x:c>
      <x:c r="D16" s="168" t="str">
        <x:v>示例判断方式</x:v>
      </x:c>
      <x:c r="E16" s="4"/>
      <x:c r="F16" s="4"/>
      <x:c r="G16" s="4"/>
      <x:c r="H16" s="4"/>
    </x:row>
    <x:row r="17">
      <x:c r="A17" s="169" t="str">
        <x:v>3-直接相关</x:v>
      </x:c>
      <x:c r="B17" s="169" t="str">
        <x:v>候选直接测量、披露或决定查询中的核心变量</x:v>
      </x:c>
      <x:c r="C17" s="169" t="str">
        <x:v>是</x:v>
      </x:c>
      <x:c r="D17" s="169" t="str">
        <x:v>销量表直接披露交付量；财报直接披露毛利率</x:v>
      </x:c>
      <x:c r="E17" s="4"/>
      <x:c r="F17" s="4"/>
      <x:c r="G17" s="4"/>
      <x:c r="H17" s="4"/>
    </x:row>
    <x:row r="18">
      <x:c r="A18" s="169" t="str">
        <x:v>2-间接相关</x:v>
      </x:c>
      <x:c r="B18" s="169" t="str">
        <x:v>可通过一条清晰且有业务依据的因果链影响查询</x:v>
      </x:c>
      <x:c r="C18" s="169" t="str">
        <x:v>是</x:v>
      </x:c>
      <x:c r="D18" s="169" t="str">
        <x:v>产品获批可经商业化放量影响收入，但尚未披露销售</x:v>
      </x:c>
      <x:c r="E18" s="4"/>
      <x:c r="F18" s="4"/>
      <x:c r="G18" s="4"/>
      <x:c r="H18" s="4"/>
    </x:row>
    <x:row r="19">
      <x:c r="A19" s="169" t="str">
        <x:v>1-弱相关</x:v>
      </x:c>
      <x:c r="B19" s="169" t="str">
        <x:v>主题相近，但缺少可靠或充分的传导链</x:v>
      </x:c>
      <x:c r="C19" s="169" t="str">
        <x:v>通常否</x:v>
      </x:c>
      <x:c r="D19" s="169" t="str">
        <x:v>同属该业务领域，但只披露程序性进展</x:v>
      </x:c>
      <x:c r="E19" s="4"/>
      <x:c r="F19" s="4"/>
      <x:c r="G19" s="4"/>
      <x:c r="H19" s="4"/>
    </x:row>
    <x:row r="20">
      <x:c r="A20" s="169" t="str">
        <x:v>0-无关</x:v>
      </x:c>
      <x:c r="B20" s="169" t="str">
        <x:v>不能帮助判断查询，或仅为治理/证券程序事项</x:v>
      </x:c>
      <x:c r="C20" s="169" t="str">
        <x:v>否</x:v>
      </x:c>
      <x:c r="D20" s="169" t="str">
        <x:v>股东持股变化无法判断产品收入</x:v>
      </x:c>
      <x:c r="E20" s="4"/>
      <x:c r="F20" s="4"/>
      <x:c r="G20" s="4"/>
      <x:c r="H20" s="4"/>
    </x:row>
    <x:row r="21">
      <x:c r="A21" s="4"/>
      <x:c r="B21" s="4"/>
      <x:c r="C21" s="4"/>
      <x:c r="D21" s="4"/>
      <x:c r="E21" s="4"/>
      <x:c r="F21" s="4"/>
      <x:c r="G21" s="4"/>
      <x:c r="H21" s="4"/>
    </x:row>
    <x:row r="22">
      <x:c r="A22" s="158" t="str">
        <x:v>填写与回收规则</x:v>
      </x:c>
      <x:c r="B22" s="158" t="str">
        <x:v>填写与回收规则</x:v>
      </x:c>
      <x:c r="C22" s="158" t="str">
        <x:v>填写与回收规则</x:v>
      </x:c>
      <x:c r="D22" s="158" t="str">
        <x:v>填写与回收规则</x:v>
      </x:c>
      <x:c r="E22" s="158" t="str">
        <x:v>填写与回收规则</x:v>
      </x:c>
      <x:c r="F22" s="158" t="str">
        <x:v>填写与回收规则</x:v>
      </x:c>
      <x:c r="G22" s="158" t="str">
        <x:v>填写与回收规则</x:v>
      </x:c>
      <x:c r="H22" s="158" t="str">
        <x:v>填写与回收规则</x:v>
      </x:c>
    </x:row>
    <x:row r="23" ht="38" customHeight="1">
      <x:c r="A23" s="178" t="str">
        <x:v>1</x:v>
      </x:c>
      <x:c r="B23" s="179" t="str">
        <x:v>只填写 v4盲标 工作表的 N:R 黄色区域；A:M 是冻结题面，不得修改。</x:v>
      </x:c>
      <x:c r="C23" s="179"/>
      <x:c r="D23" s="179"/>
      <x:c r="E23" s="179"/>
      <x:c r="F23" s="179"/>
      <x:c r="G23" s="179"/>
      <x:c r="H23" s="179"/>
    </x:row>
    <x:row r="24" ht="38" customHeight="1">
      <x:c r="A24" s="178" t="str">
        <x:v>2</x:v>
      </x:c>
      <x:c r="B24" s="179" t="str">
        <x:v>先阅读查询假设、公告标题、关键证据原文；有疑问时打开候选原文链接并核对页码。</x:v>
      </x:c>
      <x:c r="C24" s="179"/>
      <x:c r="D24" s="179"/>
      <x:c r="E24" s="179"/>
      <x:c r="F24" s="179"/>
      <x:c r="G24" s="179"/>
      <x:c r="H24" s="179"/>
    </x:row>
    <x:row r="25" ht="38" customHeight="1">
      <x:c r="A25" s="178" t="str">
        <x:v>3</x:v>
      </x:c>
      <x:c r="B25" s="179" t="str">
        <x:v>每行必须选择相关性等级和路径判断，并填写可复核的具体理由。</x:v>
      </x:c>
      <x:c r="C25" s="179"/>
      <x:c r="D25" s="179"/>
      <x:c r="E25" s="179"/>
      <x:c r="F25" s="179"/>
      <x:c r="G25" s="179"/>
      <x:c r="H25" s="179"/>
    </x:row>
    <x:row r="26" ht="38" customHeight="1">
      <x:c r="A26" s="178" t="str">
        <x:v>4</x:v>
      </x:c>
      <x:c r="B26" s="179" t="str">
        <x:v>标注员填写稳定的研究员代号；标注时间使用带时区 ISO 8601，例如 2026-08-27T10:30:00+08:00。</x:v>
      </x:c>
      <x:c r="C26" s="179"/>
      <x:c r="D26" s="179"/>
      <x:c r="E26" s="179"/>
      <x:c r="F26" s="179"/>
      <x:c r="G26" s="179"/>
      <x:c r="H26" s="179"/>
    </x:row>
    <x:row r="27" ht="38" customHeight="1">
      <x:c r="A27" s="178" t="str">
        <x:v>5</x:v>
      </x:c>
      <x:c r="B27" s="179" t="str">
        <x:v>可以筛选和临时排序，但回传前不要删除、增加或合并任何候选行。</x:v>
      </x:c>
      <x:c r="C27" s="179"/>
      <x:c r="D27" s="179"/>
      <x:c r="E27" s="179"/>
      <x:c r="F27" s="179"/>
      <x:c r="G27" s="179"/>
      <x:c r="H27" s="179"/>
    </x:row>
    <x:row r="28" ht="38" customHeight="1">
      <x:c r="A28" s="178" t="str">
        <x:v>6</x:v>
      </x:c>
      <x:c r="B28" s="179" t="str">
        <x:v>完成后查看 质检概览：完成数应为 240，剩余数和无效选项均应为 0。</x:v>
      </x:c>
      <x:c r="C28" s="179"/>
      <x:c r="D28" s="179"/>
      <x:c r="E28" s="179"/>
      <x:c r="F28" s="179"/>
      <x:c r="G28" s="179"/>
      <x:c r="H28" s="179"/>
    </x:row>
    <x:row r="29" ht="38" customHeight="1">
      <x:c r="A29" s="178" t="str">
        <x:v>7</x:v>
      </x:c>
      <x:c r="B29" s="179" t="str">
        <x:v>回传原始 XLSX 文件，不要复制到新表或用其他软件改变字段名。</x:v>
      </x:c>
      <x:c r="C29" s="179"/>
      <x:c r="D29" s="179"/>
      <x:c r="E29" s="179"/>
      <x:c r="F29" s="179"/>
      <x:c r="G29" s="179"/>
      <x:c r="H29" s="179"/>
    </x:row>
  </x:sheetData>
  <x:mergeCells>
    <x:mergeCell ref="A1:H2"/>
    <x:mergeCell ref="A4:H5"/>
    <x:mergeCell ref="A15:H15"/>
    <x:mergeCell ref="A22:H22"/>
    <x:mergeCell ref="B23:H23"/>
    <x:mergeCell ref="B24:H24"/>
    <x:mergeCell ref="B25:H25"/>
    <x:mergeCell ref="B26:H26"/>
    <x:mergeCell ref="B27:H27"/>
    <x:mergeCell ref="B28:H28"/>
    <x:mergeCell ref="B29:H2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16" hidden="0" customWidth="1"/>
  </x:cols>
  <x:sheetData>
    <x:row r="1">
      <x:c r="A1" s="184" t="str">
        <x:v>v4 盲标完成度与回收质检</x:v>
      </x:c>
      <x:c r="B1" s="184" t="str">
        <x:v>v4 盲标完成度与回收质检</x:v>
      </x:c>
      <x:c r="C1" s="184" t="str">
        <x:v>v4 盲标完成度与回收质检</x:v>
      </x:c>
      <x:c r="D1" s="184" t="str">
        <x:v>v4 盲标完成度与回收质检</x:v>
      </x:c>
      <x:c r="E1" s="184" t="str">
        <x:v>v4 盲标完成度与回收质检</x:v>
      </x:c>
      <x:c r="F1" s="184" t="str">
        <x:v>v4 盲标完成度与回收质检</x:v>
      </x:c>
    </x:row>
    <x:row r="2">
      <x:c r="A2" s="184" t="str">
        <x:v>v4 盲标完成度与回收质检</x:v>
      </x:c>
      <x:c r="B2" s="184" t="str">
        <x:v>v4 盲标完成度与回收质检</x:v>
      </x:c>
      <x:c r="C2" s="184" t="str">
        <x:v>v4 盲标完成度与回收质检</x:v>
      </x:c>
      <x:c r="D2" s="184" t="str">
        <x:v>v4 盲标完成度与回收质检</x:v>
      </x:c>
      <x:c r="E2" s="184" t="str">
        <x:v>v4 盲标完成度与回收质检</x:v>
      </x:c>
      <x:c r="F2" s="184" t="str">
        <x:v>v4 盲标完成度与回收质检</x:v>
      </x:c>
    </x:row>
    <x:row r="4">
      <x:c r="A4" s="192" t="str">
        <x:v>检查项</x:v>
      </x:c>
      <x:c r="B4" s="192" t="str">
        <x:v>结果</x:v>
      </x:c>
      <x:c r="C4" s="4"/>
      <x:c r="D4" s="4"/>
    </x:row>
    <x:row r="5">
      <x:c r="A5" s="193" t="str">
        <x:v>候选总数</x:v>
      </x:c>
      <x:c r="B5" s="153" t="n">
        <x:v>240</x:v>
      </x:c>
      <x:c r="C5" s="4"/>
      <x:c r="D5" s="4"/>
    </x:row>
    <x:row r="6">
      <x:c r="A6" s="193" t="str">
        <x:v>相关性等级已填</x:v>
      </x:c>
      <x:c r="B6" s="153" t="n">
        <x:f>COUNTA('v4盲标'!N2:N241)</x:f>
        <x:v>240</x:v>
      </x:c>
      <x:c r="C6" s="4"/>
      <x:c r="D6" s="4"/>
    </x:row>
    <x:row r="7">
      <x:c r="A7" s="193" t="str">
        <x:v>关系路径已填</x:v>
      </x:c>
      <x:c r="B7" s="153" t="n">
        <x:f>COUNTA('v4盲标'!O2:O241)</x:f>
        <x:v>240</x:v>
      </x:c>
      <x:c r="C7" s="4"/>
      <x:c r="D7" s="4"/>
    </x:row>
    <x:row r="8">
      <x:c r="A8" s="193" t="str">
        <x:v>标注理由已填</x:v>
      </x:c>
      <x:c r="B8" s="153" t="n">
        <x:f>COUNTA('v4盲标'!P2:P241)</x:f>
        <x:v>240</x:v>
      </x:c>
      <x:c r="C8" s="4"/>
      <x:c r="D8" s="4"/>
    </x:row>
    <x:row r="9">
      <x:c r="A9" s="193" t="str">
        <x:v>标注员已填</x:v>
      </x:c>
      <x:c r="B9" s="153" t="n">
        <x:f>COUNTA('v4盲标'!Q2:Q241)</x:f>
        <x:v>240</x:v>
      </x:c>
      <x:c r="C9" s="4"/>
      <x:c r="D9" s="4"/>
    </x:row>
    <x:row r="10">
      <x:c r="A10" s="193" t="str">
        <x:v>标注时间已填</x:v>
      </x:c>
      <x:c r="B10" s="153" t="n">
        <x:f>COUNTA('v4盲标'!R2:R241)</x:f>
        <x:v>240</x:v>
      </x:c>
      <x:c r="C10" s="4"/>
      <x:c r="D10" s="4"/>
    </x:row>
    <x:row r="11">
      <x:c r="A11" s="193" t="str">
        <x:v>五项全部完成</x:v>
      </x:c>
      <x:c r="B11" s="153" t="n">
        <x:f>COUNTIFS('v4盲标'!N2:N241,"&lt;&gt;",'v4盲标'!O2:O241,"&lt;&gt;",'v4盲标'!P2:P241,"&lt;&gt;",'v4盲标'!Q2:Q241,"&lt;&gt;",'v4盲标'!R2:R241,"&lt;&gt;")</x:f>
        <x:v>240</x:v>
      </x:c>
      <x:c r="C11" s="4"/>
      <x:c r="D11" s="4"/>
    </x:row>
    <x:row r="12">
      <x:c r="A12" s="193" t="str">
        <x:v>剩余未完成</x:v>
      </x:c>
      <x:c r="B12" s="153" t="n">
        <x:f>B5-B11</x:f>
        <x:v>0</x:v>
      </x:c>
      <x:c r="C12" s="4"/>
      <x:c r="D12" s="4"/>
    </x:row>
    <x:row r="13">
      <x:c r="A13" s="193" t="str">
        <x:v>完成率</x:v>
      </x:c>
      <x:c r="B13" s="194" t="n">
        <x:f>B11/B5</x:f>
        <x:v>1</x:v>
      </x:c>
      <x:c r="C13" s="4"/>
      <x:c r="D13" s="4"/>
    </x:row>
    <x:row r="14">
      <x:c r="A14" s="193" t="str">
        <x:v>无效相关性等级</x:v>
      </x:c>
      <x:c r="B14" s="153" t="n">
        <x:f>B6-COUNTIF('v4盲标'!N2:N241,"0-无关")-COUNTIF('v4盲标'!N2:N241,"1-弱相关")-COUNTIF('v4盲标'!N2:N241,"2-间接相关")-COUNTIF('v4盲标'!N2:N241,"3-直接相关")</x:f>
        <x:v>0</x:v>
      </x:c>
      <x:c r="C14" s="4"/>
      <x:c r="D14" s="4"/>
    </x:row>
    <x:row r="15">
      <x:c r="A15" s="193" t="str">
        <x:v>无效路径选项</x:v>
      </x:c>
      <x:c r="B15" s="153" t="n">
        <x:f>B7-COUNTIF('v4盲标'!O2:O241,"是")-COUNTIF('v4盲标'!O2:O241,"否")</x:f>
        <x:v>0</x:v>
      </x:c>
      <x:c r="C15" s="4"/>
      <x:c r="D15" s="4"/>
    </x:row>
    <x:row r="16">
      <x:c r="A16" s="4"/>
      <x:c r="B16" s="4"/>
      <x:c r="C16" s="4"/>
      <x:c r="D16" s="4"/>
    </x:row>
    <x:row r="17">
      <x:c r="A17" s="4"/>
      <x:c r="B17" s="4"/>
      <x:c r="C17" s="4"/>
      <x:c r="D17" s="4"/>
    </x:row>
    <x:row r="18">
      <x:c r="A18" s="200" t="str">
        <x:v>查询ID</x:v>
      </x:c>
      <x:c r="B18" s="200" t="str">
        <x:v>公司</x:v>
      </x:c>
      <x:c r="C18" s="200" t="str">
        <x:v>完成候选数</x:v>
      </x:c>
      <x:c r="D18" s="200" t="str">
        <x:v>状态</x:v>
      </x:c>
    </x:row>
    <x:row r="19">
      <x:c r="A19" s="153" t="str">
        <x:v>V4-Q001</x:v>
      </x:c>
      <x:c r="B19" s="153" t="str">
        <x:f>'v4盲标'!D2</x:f>
        <x:v>比亚迪</x:v>
      </x:c>
      <x:c r="C19" s="153" t="n">
        <x:f>COUNTIFS('v4盲标'!C2:C241,"V4-Q001",'v4盲标'!N2:N241,"&lt;&gt;",'v4盲标'!O2:O241,"&lt;&gt;",'v4盲标'!P2:P241,"&lt;&gt;",'v4盲标'!Q2:Q241,"&lt;&gt;",'v4盲标'!R2:R241,"&lt;&gt;")</x:f>
        <x:v>8</x:v>
      </x:c>
      <x:c r="D19" s="153" t="str">
        <x:f>IF(C19=8,"已完成","待标注")</x:f>
        <x:v>已完成</x:v>
      </x:c>
    </x:row>
    <x:row r="20">
      <x:c r="A20" s="153" t="str">
        <x:v>V4-Q002</x:v>
      </x:c>
      <x:c r="B20" s="153" t="str">
        <x:f>'v4盲标'!D10</x:f>
        <x:v>比亚迪</x:v>
      </x:c>
      <x:c r="C20" s="153" t="n">
        <x:f>COUNTIFS('v4盲标'!C2:C241,"V4-Q002",'v4盲标'!N2:N241,"&lt;&gt;",'v4盲标'!O2:O241,"&lt;&gt;",'v4盲标'!P2:P241,"&lt;&gt;",'v4盲标'!Q2:Q241,"&lt;&gt;",'v4盲标'!R2:R241,"&lt;&gt;")</x:f>
        <x:v>8</x:v>
      </x:c>
      <x:c r="D20" s="153" t="str">
        <x:f>IF(C20=8,"已完成","待标注")</x:f>
        <x:v>已完成</x:v>
      </x:c>
    </x:row>
    <x:row r="21">
      <x:c r="A21" s="153" t="str">
        <x:v>V4-Q003</x:v>
      </x:c>
      <x:c r="B21" s="153" t="str">
        <x:f>'v4盲标'!D18</x:f>
        <x:v>比亚迪</x:v>
      </x:c>
      <x:c r="C21" s="153" t="n">
        <x:f>COUNTIFS('v4盲标'!C2:C241,"V4-Q003",'v4盲标'!N2:N241,"&lt;&gt;",'v4盲标'!O2:O241,"&lt;&gt;",'v4盲标'!P2:P241,"&lt;&gt;",'v4盲标'!Q2:Q241,"&lt;&gt;",'v4盲标'!R2:R241,"&lt;&gt;")</x:f>
        <x:v>8</x:v>
      </x:c>
      <x:c r="D21" s="153" t="str">
        <x:f>IF(C21=8,"已完成","待标注")</x:f>
        <x:v>已完成</x:v>
      </x:c>
    </x:row>
    <x:row r="22">
      <x:c r="A22" s="153" t="str">
        <x:v>V4-Q004</x:v>
      </x:c>
      <x:c r="B22" s="153" t="str">
        <x:f>'v4盲标'!D26</x:f>
        <x:v>比亚迪</x:v>
      </x:c>
      <x:c r="C22" s="153" t="n">
        <x:f>COUNTIFS('v4盲标'!C2:C241,"V4-Q004",'v4盲标'!N2:N241,"&lt;&gt;",'v4盲标'!O2:O241,"&lt;&gt;",'v4盲标'!P2:P241,"&lt;&gt;",'v4盲标'!Q2:Q241,"&lt;&gt;",'v4盲标'!R2:R241,"&lt;&gt;")</x:f>
        <x:v>8</x:v>
      </x:c>
      <x:c r="D22" s="153" t="str">
        <x:f>IF(C22=8,"已完成","待标注")</x:f>
        <x:v>已完成</x:v>
      </x:c>
    </x:row>
    <x:row r="23">
      <x:c r="A23" s="153" t="str">
        <x:v>V4-Q005</x:v>
      </x:c>
      <x:c r="B23" s="153" t="str">
        <x:f>'v4盲标'!D34</x:f>
        <x:v>吉利汽车</x:v>
      </x:c>
      <x:c r="C23" s="153" t="n">
        <x:f>COUNTIFS('v4盲标'!C2:C241,"V4-Q005",'v4盲标'!N2:N241,"&lt;&gt;",'v4盲标'!O2:O241,"&lt;&gt;",'v4盲标'!P2:P241,"&lt;&gt;",'v4盲标'!Q2:Q241,"&lt;&gt;",'v4盲标'!R2:R241,"&lt;&gt;")</x:f>
        <x:v>8</x:v>
      </x:c>
      <x:c r="D23" s="153" t="str">
        <x:f>IF(C23=8,"已完成","待标注")</x:f>
        <x:v>已完成</x:v>
      </x:c>
    </x:row>
    <x:row r="24">
      <x:c r="A24" s="153" t="str">
        <x:v>V4-Q006</x:v>
      </x:c>
      <x:c r="B24" s="153" t="str">
        <x:f>'v4盲标'!D42</x:f>
        <x:v>吉利汽车</x:v>
      </x:c>
      <x:c r="C24" s="153" t="n">
        <x:f>COUNTIFS('v4盲标'!C2:C241,"V4-Q006",'v4盲标'!N2:N241,"&lt;&gt;",'v4盲标'!O2:O241,"&lt;&gt;",'v4盲标'!P2:P241,"&lt;&gt;",'v4盲标'!Q2:Q241,"&lt;&gt;",'v4盲标'!R2:R241,"&lt;&gt;")</x:f>
        <x:v>8</x:v>
      </x:c>
      <x:c r="D24" s="153" t="str">
        <x:f>IF(C24=8,"已完成","待标注")</x:f>
        <x:v>已完成</x:v>
      </x:c>
    </x:row>
    <x:row r="25">
      <x:c r="A25" s="153" t="str">
        <x:v>V4-Q007</x:v>
      </x:c>
      <x:c r="B25" s="153" t="str">
        <x:f>'v4盲标'!D50</x:f>
        <x:v>吉利汽车</x:v>
      </x:c>
      <x:c r="C25" s="153" t="n">
        <x:f>COUNTIFS('v4盲标'!C2:C241,"V4-Q007",'v4盲标'!N2:N241,"&lt;&gt;",'v4盲标'!O2:O241,"&lt;&gt;",'v4盲标'!P2:P241,"&lt;&gt;",'v4盲标'!Q2:Q241,"&lt;&gt;",'v4盲标'!R2:R241,"&lt;&gt;")</x:f>
        <x:v>8</x:v>
      </x:c>
      <x:c r="D25" s="153" t="str">
        <x:f>IF(C25=8,"已完成","待标注")</x:f>
        <x:v>已完成</x:v>
      </x:c>
    </x:row>
    <x:row r="26">
      <x:c r="A26" s="153" t="str">
        <x:v>V4-Q008</x:v>
      </x:c>
      <x:c r="B26" s="153" t="str">
        <x:f>'v4盲标'!D58</x:f>
        <x:v>小鹏汽车</x:v>
      </x:c>
      <x:c r="C26" s="153" t="n">
        <x:f>COUNTIFS('v4盲标'!C2:C241,"V4-Q008",'v4盲标'!N2:N241,"&lt;&gt;",'v4盲标'!O2:O241,"&lt;&gt;",'v4盲标'!P2:P241,"&lt;&gt;",'v4盲标'!Q2:Q241,"&lt;&gt;",'v4盲标'!R2:R241,"&lt;&gt;")</x:f>
        <x:v>8</x:v>
      </x:c>
      <x:c r="D26" s="153" t="str">
        <x:f>IF(C26=8,"已完成","待标注")</x:f>
        <x:v>已完成</x:v>
      </x:c>
    </x:row>
    <x:row r="27">
      <x:c r="A27" s="153" t="str">
        <x:v>V4-Q009</x:v>
      </x:c>
      <x:c r="B27" s="153" t="str">
        <x:f>'v4盲标'!D66</x:f>
        <x:v>小鹏汽车</x:v>
      </x:c>
      <x:c r="C27" s="153" t="n">
        <x:f>COUNTIFS('v4盲标'!C2:C241,"V4-Q009",'v4盲标'!N2:N241,"&lt;&gt;",'v4盲标'!O2:O241,"&lt;&gt;",'v4盲标'!P2:P241,"&lt;&gt;",'v4盲标'!Q2:Q241,"&lt;&gt;",'v4盲标'!R2:R241,"&lt;&gt;")</x:f>
        <x:v>8</x:v>
      </x:c>
      <x:c r="D27" s="153" t="str">
        <x:f>IF(C27=8,"已完成","待标注")</x:f>
        <x:v>已完成</x:v>
      </x:c>
    </x:row>
    <x:row r="28">
      <x:c r="A28" s="153" t="str">
        <x:v>V4-Q010</x:v>
      </x:c>
      <x:c r="B28" s="153" t="str">
        <x:f>'v4盲标'!D74</x:f>
        <x:v>小鹏汽车</x:v>
      </x:c>
      <x:c r="C28" s="153" t="n">
        <x:f>COUNTIFS('v4盲标'!C2:C241,"V4-Q010",'v4盲标'!N2:N241,"&lt;&gt;",'v4盲标'!O2:O241,"&lt;&gt;",'v4盲标'!P2:P241,"&lt;&gt;",'v4盲标'!Q2:Q241,"&lt;&gt;",'v4盲标'!R2:R241,"&lt;&gt;")</x:f>
        <x:v>8</x:v>
      </x:c>
      <x:c r="D28" s="153" t="str">
        <x:f>IF(C28=8,"已完成","待标注")</x:f>
        <x:v>已完成</x:v>
      </x:c>
    </x:row>
    <x:row r="29">
      <x:c r="A29" s="153" t="str">
        <x:v>V4-Q011</x:v>
      </x:c>
      <x:c r="B29" s="153" t="str">
        <x:f>'v4盲标'!D82</x:f>
        <x:v>北方华创</x:v>
      </x:c>
      <x:c r="C29" s="153" t="n">
        <x:f>COUNTIFS('v4盲标'!C2:C241,"V4-Q011",'v4盲标'!N2:N241,"&lt;&gt;",'v4盲标'!O2:O241,"&lt;&gt;",'v4盲标'!P2:P241,"&lt;&gt;",'v4盲标'!Q2:Q241,"&lt;&gt;",'v4盲标'!R2:R241,"&lt;&gt;")</x:f>
        <x:v>8</x:v>
      </x:c>
      <x:c r="D29" s="153" t="str">
        <x:f>IF(C29=8,"已完成","待标注")</x:f>
        <x:v>已完成</x:v>
      </x:c>
    </x:row>
    <x:row r="30">
      <x:c r="A30" s="153" t="str">
        <x:v>V4-Q012</x:v>
      </x:c>
      <x:c r="B30" s="153" t="str">
        <x:f>'v4盲标'!D90</x:f>
        <x:v>北方华创</x:v>
      </x:c>
      <x:c r="C30" s="153" t="n">
        <x:f>COUNTIFS('v4盲标'!C2:C241,"V4-Q012",'v4盲标'!N2:N241,"&lt;&gt;",'v4盲标'!O2:O241,"&lt;&gt;",'v4盲标'!P2:P241,"&lt;&gt;",'v4盲标'!Q2:Q241,"&lt;&gt;",'v4盲标'!R2:R241,"&lt;&gt;")</x:f>
        <x:v>8</x:v>
      </x:c>
      <x:c r="D30" s="153" t="str">
        <x:f>IF(C30=8,"已完成","待标注")</x:f>
        <x:v>已完成</x:v>
      </x:c>
    </x:row>
    <x:row r="31">
      <x:c r="A31" s="153" t="str">
        <x:v>V4-Q013</x:v>
      </x:c>
      <x:c r="B31" s="153" t="str">
        <x:f>'v4盲标'!D98</x:f>
        <x:v>北方华创</x:v>
      </x:c>
      <x:c r="C31" s="153" t="n">
        <x:f>COUNTIFS('v4盲标'!C2:C241,"V4-Q013",'v4盲标'!N2:N241,"&lt;&gt;",'v4盲标'!O2:O241,"&lt;&gt;",'v4盲标'!P2:P241,"&lt;&gt;",'v4盲标'!Q2:Q241,"&lt;&gt;",'v4盲标'!R2:R241,"&lt;&gt;")</x:f>
        <x:v>8</x:v>
      </x:c>
      <x:c r="D31" s="153" t="str">
        <x:f>IF(C31=8,"已完成","待标注")</x:f>
        <x:v>已完成</x:v>
      </x:c>
    </x:row>
    <x:row r="32">
      <x:c r="A32" s="153" t="str">
        <x:v>V4-Q014</x:v>
      </x:c>
      <x:c r="B32" s="153" t="str">
        <x:f>'v4盲标'!D106</x:f>
        <x:v>中芯国际</x:v>
      </x:c>
      <x:c r="C32" s="153" t="n">
        <x:f>COUNTIFS('v4盲标'!C2:C241,"V4-Q014",'v4盲标'!N2:N241,"&lt;&gt;",'v4盲标'!O2:O241,"&lt;&gt;",'v4盲标'!P2:P241,"&lt;&gt;",'v4盲标'!Q2:Q241,"&lt;&gt;",'v4盲标'!R2:R241,"&lt;&gt;")</x:f>
        <x:v>8</x:v>
      </x:c>
      <x:c r="D32" s="153" t="str">
        <x:f>IF(C32=8,"已完成","待标注")</x:f>
        <x:v>已完成</x:v>
      </x:c>
    </x:row>
    <x:row r="33">
      <x:c r="A33" s="153" t="str">
        <x:v>V4-Q015</x:v>
      </x:c>
      <x:c r="B33" s="153" t="str">
        <x:f>'v4盲标'!D114</x:f>
        <x:v>中芯国际</x:v>
      </x:c>
      <x:c r="C33" s="153" t="n">
        <x:f>COUNTIFS('v4盲标'!C2:C241,"V4-Q015",'v4盲标'!N2:N241,"&lt;&gt;",'v4盲标'!O2:O241,"&lt;&gt;",'v4盲标'!P2:P241,"&lt;&gt;",'v4盲标'!Q2:Q241,"&lt;&gt;",'v4盲标'!R2:R241,"&lt;&gt;")</x:f>
        <x:v>8</x:v>
      </x:c>
      <x:c r="D33" s="153" t="str">
        <x:f>IF(C33=8,"已完成","待标注")</x:f>
        <x:v>已完成</x:v>
      </x:c>
    </x:row>
    <x:row r="34">
      <x:c r="A34" s="153" t="str">
        <x:v>V4-Q016</x:v>
      </x:c>
      <x:c r="B34" s="153" t="str">
        <x:f>'v4盲标'!D122</x:f>
        <x:v>中芯国际</x:v>
      </x:c>
      <x:c r="C34" s="153" t="n">
        <x:f>COUNTIFS('v4盲标'!C2:C241,"V4-Q016",'v4盲标'!N2:N241,"&lt;&gt;",'v4盲标'!O2:O241,"&lt;&gt;",'v4盲标'!P2:P241,"&lt;&gt;",'v4盲标'!Q2:Q241,"&lt;&gt;",'v4盲标'!R2:R241,"&lt;&gt;")</x:f>
        <x:v>8</x:v>
      </x:c>
      <x:c r="D34" s="153" t="str">
        <x:f>IF(C34=8,"已完成","待标注")</x:f>
        <x:v>已完成</x:v>
      </x:c>
    </x:row>
    <x:row r="35">
      <x:c r="A35" s="153" t="str">
        <x:v>V4-Q017</x:v>
      </x:c>
      <x:c r="B35" s="153" t="str">
        <x:f>'v4盲标'!D130</x:f>
        <x:v>中芯国际</x:v>
      </x:c>
      <x:c r="C35" s="153" t="n">
        <x:f>COUNTIFS('v4盲标'!C2:C241,"V4-Q017",'v4盲标'!N2:N241,"&lt;&gt;",'v4盲标'!O2:O241,"&lt;&gt;",'v4盲标'!P2:P241,"&lt;&gt;",'v4盲标'!Q2:Q241,"&lt;&gt;",'v4盲标'!R2:R241,"&lt;&gt;")</x:f>
        <x:v>8</x:v>
      </x:c>
      <x:c r="D35" s="153" t="str">
        <x:f>IF(C35=8,"已完成","待标注")</x:f>
        <x:v>已完成</x:v>
      </x:c>
    </x:row>
    <x:row r="36">
      <x:c r="A36" s="153" t="str">
        <x:v>V4-Q018</x:v>
      </x:c>
      <x:c r="B36" s="153" t="str">
        <x:f>'v4盲标'!D138</x:f>
        <x:v>兆易创新</x:v>
      </x:c>
      <x:c r="C36" s="153" t="n">
        <x:f>COUNTIFS('v4盲标'!C2:C241,"V4-Q018",'v4盲标'!N2:N241,"&lt;&gt;",'v4盲标'!O2:O241,"&lt;&gt;",'v4盲标'!P2:P241,"&lt;&gt;",'v4盲标'!Q2:Q241,"&lt;&gt;",'v4盲标'!R2:R241,"&lt;&gt;")</x:f>
        <x:v>8</x:v>
      </x:c>
      <x:c r="D36" s="153" t="str">
        <x:f>IF(C36=8,"已完成","待标注")</x:f>
        <x:v>已完成</x:v>
      </x:c>
    </x:row>
    <x:row r="37">
      <x:c r="A37" s="153" t="str">
        <x:v>V4-Q019</x:v>
      </x:c>
      <x:c r="B37" s="153" t="str">
        <x:f>'v4盲标'!D146</x:f>
        <x:v>兆易创新</x:v>
      </x:c>
      <x:c r="C37" s="153" t="n">
        <x:f>COUNTIFS('v4盲标'!C2:C241,"V4-Q019",'v4盲标'!N2:N241,"&lt;&gt;",'v4盲标'!O2:O241,"&lt;&gt;",'v4盲标'!P2:P241,"&lt;&gt;",'v4盲标'!Q2:Q241,"&lt;&gt;",'v4盲标'!R2:R241,"&lt;&gt;")</x:f>
        <x:v>8</x:v>
      </x:c>
      <x:c r="D37" s="153" t="str">
        <x:f>IF(C37=8,"已完成","待标注")</x:f>
        <x:v>已完成</x:v>
      </x:c>
    </x:row>
    <x:row r="38">
      <x:c r="A38" s="153" t="str">
        <x:v>V4-Q020</x:v>
      </x:c>
      <x:c r="B38" s="153" t="str">
        <x:f>'v4盲标'!D154</x:f>
        <x:v>兆易创新</x:v>
      </x:c>
      <x:c r="C38" s="153" t="n">
        <x:f>COUNTIFS('v4盲标'!C2:C241,"V4-Q020",'v4盲标'!N2:N241,"&lt;&gt;",'v4盲标'!O2:O241,"&lt;&gt;",'v4盲标'!P2:P241,"&lt;&gt;",'v4盲标'!Q2:Q241,"&lt;&gt;",'v4盲标'!R2:R241,"&lt;&gt;")</x:f>
        <x:v>8</x:v>
      </x:c>
      <x:c r="D38" s="153" t="str">
        <x:f>IF(C38=8,"已完成","待标注")</x:f>
        <x:v>已完成</x:v>
      </x:c>
    </x:row>
    <x:row r="39">
      <x:c r="A39" s="153" t="str">
        <x:v>V4-Q021</x:v>
      </x:c>
      <x:c r="B39" s="153" t="str">
        <x:f>'v4盲标'!D162</x:f>
        <x:v>恒瑞医药</x:v>
      </x:c>
      <x:c r="C39" s="153" t="n">
        <x:f>COUNTIFS('v4盲标'!C2:C241,"V4-Q021",'v4盲标'!N2:N241,"&lt;&gt;",'v4盲标'!O2:O241,"&lt;&gt;",'v4盲标'!P2:P241,"&lt;&gt;",'v4盲标'!Q2:Q241,"&lt;&gt;",'v4盲标'!R2:R241,"&lt;&gt;")</x:f>
        <x:v>8</x:v>
      </x:c>
      <x:c r="D39" s="153" t="str">
        <x:f>IF(C39=8,"已完成","待标注")</x:f>
        <x:v>已完成</x:v>
      </x:c>
    </x:row>
    <x:row r="40">
      <x:c r="A40" s="153" t="str">
        <x:v>V4-Q022</x:v>
      </x:c>
      <x:c r="B40" s="153" t="str">
        <x:f>'v4盲标'!D170</x:f>
        <x:v>恒瑞医药</x:v>
      </x:c>
      <x:c r="C40" s="153" t="n">
        <x:f>COUNTIFS('v4盲标'!C2:C241,"V4-Q022",'v4盲标'!N2:N241,"&lt;&gt;",'v4盲标'!O2:O241,"&lt;&gt;",'v4盲标'!P2:P241,"&lt;&gt;",'v4盲标'!Q2:Q241,"&lt;&gt;",'v4盲标'!R2:R241,"&lt;&gt;")</x:f>
        <x:v>8</x:v>
      </x:c>
      <x:c r="D40" s="153" t="str">
        <x:f>IF(C40=8,"已完成","待标注")</x:f>
        <x:v>已完成</x:v>
      </x:c>
    </x:row>
    <x:row r="41">
      <x:c r="A41" s="153" t="str">
        <x:v>V4-Q023</x:v>
      </x:c>
      <x:c r="B41" s="153" t="str">
        <x:f>'v4盲标'!D178</x:f>
        <x:v>恒瑞医药</x:v>
      </x:c>
      <x:c r="C41" s="153" t="n">
        <x:f>COUNTIFS('v4盲标'!C2:C241,"V4-Q023",'v4盲标'!N2:N241,"&lt;&gt;",'v4盲标'!O2:O241,"&lt;&gt;",'v4盲标'!P2:P241,"&lt;&gt;",'v4盲标'!Q2:Q241,"&lt;&gt;",'v4盲标'!R2:R241,"&lt;&gt;")</x:f>
        <x:v>8</x:v>
      </x:c>
      <x:c r="D41" s="153" t="str">
        <x:f>IF(C41=8,"已完成","待标注")</x:f>
        <x:v>已完成</x:v>
      </x:c>
    </x:row>
    <x:row r="42">
      <x:c r="A42" s="153" t="str">
        <x:v>V4-Q024</x:v>
      </x:c>
      <x:c r="B42" s="153" t="str">
        <x:f>'v4盲标'!D186</x:f>
        <x:v>恒瑞医药</x:v>
      </x:c>
      <x:c r="C42" s="153" t="n">
        <x:f>COUNTIFS('v4盲标'!C2:C241,"V4-Q024",'v4盲标'!N2:N241,"&lt;&gt;",'v4盲标'!O2:O241,"&lt;&gt;",'v4盲标'!P2:P241,"&lt;&gt;",'v4盲标'!Q2:Q241,"&lt;&gt;",'v4盲标'!R2:R241,"&lt;&gt;")</x:f>
        <x:v>8</x:v>
      </x:c>
      <x:c r="D42" s="153" t="str">
        <x:f>IF(C42=8,"已完成","待标注")</x:f>
        <x:v>已完成</x:v>
      </x:c>
    </x:row>
    <x:row r="43">
      <x:c r="A43" s="153" t="str">
        <x:v>V4-Q025</x:v>
      </x:c>
      <x:c r="B43" s="153" t="str">
        <x:f>'v4盲标'!D194</x:f>
        <x:v>药明康德</x:v>
      </x:c>
      <x:c r="C43" s="153" t="n">
        <x:f>COUNTIFS('v4盲标'!C2:C241,"V4-Q025",'v4盲标'!N2:N241,"&lt;&gt;",'v4盲标'!O2:O241,"&lt;&gt;",'v4盲标'!P2:P241,"&lt;&gt;",'v4盲标'!Q2:Q241,"&lt;&gt;",'v4盲标'!R2:R241,"&lt;&gt;")</x:f>
        <x:v>8</x:v>
      </x:c>
      <x:c r="D43" s="153" t="str">
        <x:f>IF(C43=8,"已完成","待标注")</x:f>
        <x:v>已完成</x:v>
      </x:c>
    </x:row>
    <x:row r="44">
      <x:c r="A44" s="153" t="str">
        <x:v>V4-Q026</x:v>
      </x:c>
      <x:c r="B44" s="153" t="str">
        <x:f>'v4盲标'!D202</x:f>
        <x:v>药明康德</x:v>
      </x:c>
      <x:c r="C44" s="153" t="n">
        <x:f>COUNTIFS('v4盲标'!C2:C241,"V4-Q026",'v4盲标'!N2:N241,"&lt;&gt;",'v4盲标'!O2:O241,"&lt;&gt;",'v4盲标'!P2:P241,"&lt;&gt;",'v4盲标'!Q2:Q241,"&lt;&gt;",'v4盲标'!R2:R241,"&lt;&gt;")</x:f>
        <x:v>8</x:v>
      </x:c>
      <x:c r="D44" s="153" t="str">
        <x:f>IF(C44=8,"已完成","待标注")</x:f>
        <x:v>已完成</x:v>
      </x:c>
    </x:row>
    <x:row r="45">
      <x:c r="A45" s="153" t="str">
        <x:v>V4-Q027</x:v>
      </x:c>
      <x:c r="B45" s="153" t="str">
        <x:f>'v4盲标'!D210</x:f>
        <x:v>药明康德</x:v>
      </x:c>
      <x:c r="C45" s="153" t="n">
        <x:f>COUNTIFS('v4盲标'!C2:C241,"V4-Q027",'v4盲标'!N2:N241,"&lt;&gt;",'v4盲标'!O2:O241,"&lt;&gt;",'v4盲标'!P2:P241,"&lt;&gt;",'v4盲标'!Q2:Q241,"&lt;&gt;",'v4盲标'!R2:R241,"&lt;&gt;")</x:f>
        <x:v>8</x:v>
      </x:c>
      <x:c r="D45" s="153" t="str">
        <x:f>IF(C45=8,"已完成","待标注")</x:f>
        <x:v>已完成</x:v>
      </x:c>
    </x:row>
    <x:row r="46">
      <x:c r="A46" s="153" t="str">
        <x:v>V4-Q028</x:v>
      </x:c>
      <x:c r="B46" s="153" t="str">
        <x:f>'v4盲标'!D218</x:f>
        <x:v>云南白药</x:v>
      </x:c>
      <x:c r="C46" s="153" t="n">
        <x:f>COUNTIFS('v4盲标'!C2:C241,"V4-Q028",'v4盲标'!N2:N241,"&lt;&gt;",'v4盲标'!O2:O241,"&lt;&gt;",'v4盲标'!P2:P241,"&lt;&gt;",'v4盲标'!Q2:Q241,"&lt;&gt;",'v4盲标'!R2:R241,"&lt;&gt;")</x:f>
        <x:v>8</x:v>
      </x:c>
      <x:c r="D46" s="153" t="str">
        <x:f>IF(C46=8,"已完成","待标注")</x:f>
        <x:v>已完成</x:v>
      </x:c>
    </x:row>
    <x:row r="47">
      <x:c r="A47" s="153" t="str">
        <x:v>V4-Q029</x:v>
      </x:c>
      <x:c r="B47" s="153" t="str">
        <x:f>'v4盲标'!D226</x:f>
        <x:v>云南白药</x:v>
      </x:c>
      <x:c r="C47" s="153" t="n">
        <x:f>COUNTIFS('v4盲标'!C2:C241,"V4-Q029",'v4盲标'!N2:N241,"&lt;&gt;",'v4盲标'!O2:O241,"&lt;&gt;",'v4盲标'!P2:P241,"&lt;&gt;",'v4盲标'!Q2:Q241,"&lt;&gt;",'v4盲标'!R2:R241,"&lt;&gt;")</x:f>
        <x:v>8</x:v>
      </x:c>
      <x:c r="D47" s="153" t="str">
        <x:f>IF(C47=8,"已完成","待标注")</x:f>
        <x:v>已完成</x:v>
      </x:c>
    </x:row>
    <x:row r="48">
      <x:c r="A48" s="153" t="str">
        <x:v>V4-Q030</x:v>
      </x:c>
      <x:c r="B48" s="153" t="str">
        <x:f>'v4盲标'!D234</x:f>
        <x:v>云南白药</x:v>
      </x:c>
      <x:c r="C48" s="153" t="n">
        <x:f>COUNTIFS('v4盲标'!C2:C241,"V4-Q030",'v4盲标'!N2:N241,"&lt;&gt;",'v4盲标'!O2:O241,"&lt;&gt;",'v4盲标'!P2:P241,"&lt;&gt;",'v4盲标'!Q2:Q241,"&lt;&gt;",'v4盲标'!R2:R241,"&lt;&gt;")</x:f>
        <x:v>8</x:v>
      </x:c>
      <x:c r="D48" s="153" t="str">
        <x:f>IF(C48=8,"已完成","待标注")</x:f>
        <x:v>已完成</x:v>
      </x:c>
    </x:row>
  </x:sheetData>
  <x:mergeCells>
    <x:mergeCell ref="A1:F2"/>
  </x:mergeCells>
  <x:conditionalFormatting sqref="B11:B11">
    <x:cfRule type="cellIs" dxfId="11" priority="1" operator="equal">
      <x:formula>240</x:formula>
    </x:cfRule>
  </x:conditionalFormatting>
  <x:conditionalFormatting sqref="B12:B12">
    <x:cfRule type="cellIs" dxfId="12" priority="2" operator="greaterThan">
      <x:formula>0</x:formula>
    </x:cfRule>
  </x:conditionalFormatting>
  <x:conditionalFormatting sqref="B14:B15">
    <x:cfRule type="cellIs" dxfId="13" priority="3" operator="greaterThan">
      <x:formula>0</x:formula>
    </x:cfRule>
  </x:conditionalFormatting>
  <x:conditionalFormatting sqref="D19:D48">
    <x:cfRule type="containsText" dxfId="14" priority="4" operator="containsText" text="已完成"/>
    <x:cfRule type="containsText" dxfId="15" priority="5" operator="containsText" text="待标注"/>
  </x:conditionalFormatting>
  <x:pageMargins left="0.7" right="0.7" top="0.75" bottom="0.75" header="0.3" footer="0.3"/>
</x:worksheet>
</file>