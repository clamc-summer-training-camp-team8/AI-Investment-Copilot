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f0771adcd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85cf5866ee847a9"/>
    <x:sheet xmlns:r="http://schemas.openxmlformats.org/officeDocument/2006/relationships" name="复核结论" sheetId="2" r:id="R1ba38f9e008049dc"/>
    <x:sheet xmlns:r="http://schemas.openxmlformats.org/officeDocument/2006/relationships" name="一手数据核对" sheetId="3" r:id="Ra62ea8256f3e4457"/>
    <x:sheet xmlns:r="http://schemas.openxmlformats.org/officeDocument/2006/relationships" name="冻结快照" sheetId="4" r:id="R25d84cdc8b87488e"/>
    <x:sheet xmlns:r="http://schemas.openxmlformats.org/officeDocument/2006/relationships" name="候选池概览" sheetId="5" r:id="R18dc76567d2e4c46"/>
    <x:sheet xmlns:r="http://schemas.openxmlformats.org/officeDocument/2006/relationships" name="质量检查" sheetId="6" r:id="Rf7bf287521cf4054"/>
  </x:sheets>
</x:workbook>
</file>

<file path=xl/comments1.xml><?xml version="1.0" encoding="utf-8"?>
<x:comments xmlns:x="http://schemas.openxmlformats.org/spreadsheetml/2006/main">
  <x:authors>
    <x:author>tc={DBD658C9-A6FB-461C-80FE-A185804E1178}</x:author>
    <x:author>tc={3BE0FF27-1F01-4127-B3E0-554FA2BA8BCC}</x:author>
  </x:authors>
  <x:commentList>
    <x:comment ref="B2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理由必须同时写明支持事实、相反事实、来源限制，以及为什么选择当前方向和强度。</x:t>
        </x:r>
      </x:text>
    </x:comment>
    <x:comment ref="B2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请填写带时区的 ISO 8601 时间，例如 2026-09-01T10:30:00+08:00。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;[Red](0.0%);-"/>
    <x:numFmt numFmtId="202" formatCode="#,##0;[Red](#,##0);-"/>
    <x:numFmt numFmtId="203" formatCode="0.0%"/>
    <x:numFmt numFmtId="204" formatCode="yyyy-mm-dd&quot;T&quot;hh:mm:ss.000&quot;+08:00&quot;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1"/>
      <x:color rgb="FF9C0006"/>
      <x:name val="Carlito"/>
    </x:font>
    <x:font>
      <x:sz val="11"/>
      <x:color rgb="FF0000FF"/>
      <x:name val="Carlito"/>
    </x:font>
    <x:font>
      <x:i/>
      <x:sz val="11"/>
      <x:color rgb="FF17365D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0F6B67"/>
      </x:patternFill>
    </x:fill>
    <x:fill>
      <x:patternFill patternType="solid">
        <x:fgColor rgb="FFE2F0D9"/>
      </x:patternFill>
    </x:fill>
  </x:fills>
  <x:borders count="1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D6B656"/>
      </x:left>
      <x:top style="thin">
        <x:color rgb="FFD6B656"/>
      </x:top>
      <x:bottom style="thin">
        <x:color rgb="FFD9E2F3"/>
      </x:bottom>
    </x:border>
    <x:border>
      <x:top style="thin">
        <x:color rgb="FFD6B656"/>
      </x:top>
      <x:bottom style="thin">
        <x:color rgb="FFD9E2F3"/>
      </x:bottom>
    </x:border>
    <x:border>
      <x:right style="thin">
        <x:color rgb="FFD6B656"/>
      </x:right>
      <x:top style="thin">
        <x:color rgb="FFD6B656"/>
      </x:top>
      <x:bottom style="thin">
        <x:color rgb="FFD9E2F3"/>
      </x:bottom>
    </x:border>
    <x:border>
      <x:left style="thin">
        <x:color rgb="FFD6B656"/>
      </x:left>
      <x:top style="thin">
        <x:color rgb="FFD9E2F3"/>
      </x:top>
      <x:bottom style="thin">
        <x:color rgb="FFD9E2F3"/>
      </x:bottom>
    </x:border>
    <x:border>
      <x:right style="thin">
        <x:color rgb="FFD6B656"/>
      </x:right>
      <x:top style="thin">
        <x:color rgb="FFD9E2F3"/>
      </x:top>
      <x:bottom style="thin">
        <x:color rgb="FFD9E2F3"/>
      </x:bottom>
    </x:border>
    <x:border>
      <x:left style="thin">
        <x:color rgb="FFD6B656"/>
      </x:left>
      <x:top style="thin">
        <x:color rgb="FFD9E2F3"/>
      </x:top>
      <x:bottom style="thin">
        <x:color rgb="FFD6B656"/>
      </x:bottom>
    </x:border>
    <x:border>
      <x:top style="thin">
        <x:color rgb="FFD9E2F3"/>
      </x:top>
      <x:bottom style="thin">
        <x:color rgb="FFD6B656"/>
      </x:bottom>
    </x:border>
    <x:border>
      <x:right style="thin">
        <x:color rgb="FFD6B656"/>
      </x:right>
      <x:top style="thin">
        <x:color rgb="FFD9E2F3"/>
      </x:top>
      <x:bottom style="thin">
        <x:color rgb="FFD6B656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8" fillId="3" borderId="6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vertical="top" wrapText="1"/>
    </x:xf>
    <x:xf numFmtId="0" fontId="8" fillId="3" borderId="9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vertical="top" wrapText="1"/>
    </x:xf>
    <x:xf numFmtId="0" fontId="8" fillId="3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2" xfId="0" applyNumberFormat="1" applyFont="1" applyFill="1" applyBorder="1"/>
    <x:xf numFmtId="0" fontId="3" fillId="8" borderId="12" xfId="0" applyNumberFormat="1" applyFont="1" applyFill="1" applyBorder="1" applyAlignment="1">
      <x:alignment wrapText="1"/>
    </x:xf>
    <x:xf numFmtId="0" fontId="3" fillId="8" borderId="12" xfId="0" applyNumberFormat="1" applyFont="1" applyFill="1" applyBorder="1" applyAlignment="1">
      <x:alignment horizontal="center" wrapText="1"/>
    </x:xf>
    <x:xf numFmtId="0" fontId="3" fillId="8" borderId="12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1" fontId="0" fillId="9" borderId="1" xfId="0" applyNumberFormat="1" applyFont="1" applyFill="1" applyBorder="1" applyAlignment="1">
      <x:alignment vertical="top" wrapText="1"/>
    </x:xf>
    <x:xf numFmtId="201" fontId="0" fillId="9" borderId="2" xfId="0" applyNumberFormat="1" applyFont="1" applyFill="1" applyBorder="1" applyAlignment="1">
      <x:alignment vertical="top" wrapText="1"/>
    </x:xf>
    <x:xf numFmtId="202" fontId="0" fillId="9" borderId="3" xfId="0" applyNumberFormat="1" applyFont="1" applyFill="1" applyBorder="1" applyAlignment="1">
      <x:alignment vertical="top" wrapText="1"/>
    </x:xf>
    <x:xf numFmtId="201" fontId="10" fillId="9" borderId="1" xfId="0" applyNumberFormat="1" applyFont="1" applyFill="1" applyBorder="1" applyAlignment="1">
      <x:alignment vertical="top" wrapText="1"/>
    </x:xf>
    <x:xf numFmtId="201" fontId="10" fillId="9" borderId="2" xfId="0" applyNumberFormat="1" applyFont="1" applyFill="1" applyBorder="1" applyAlignment="1">
      <x:alignment vertical="top" wrapText="1"/>
    </x:xf>
    <x:xf numFmtId="202" fontId="10" fillId="9" borderId="3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2" fontId="0" fillId="5" borderId="3" xfId="0" applyNumberFormat="1" applyFont="1" applyFill="1" applyBorder="1" applyAlignment="1">
      <x:alignment vertical="top" wrapText="1"/>
    </x:xf>
    <x:xf numFmtId="201" fontId="11" fillId="5" borderId="1" xfId="0" applyNumberFormat="1" applyFont="1" applyFill="1" applyBorder="1" applyAlignment="1">
      <x:alignment vertical="top" wrapText="1"/>
    </x:xf>
    <x:xf numFmtId="201" fontId="11" fillId="5" borderId="2" xfId="0" applyNumberFormat="1" applyFont="1" applyFill="1" applyBorder="1" applyAlignment="1">
      <x:alignment vertical="top" wrapText="1"/>
    </x:xf>
    <x:xf numFmtId="202" fontId="11" fillId="5" borderId="3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3" borderId="2" xfId="0" applyNumberFormat="1" applyFont="1" applyFill="1" applyBorder="1" applyAlignment="1">
      <x:alignment vertical="top" wrapText="1"/>
    </x:xf>
    <x:xf numFmtId="202" fontId="0" fillId="3" borderId="3" xfId="0" applyNumberFormat="1" applyFont="1" applyFill="1" applyBorder="1" applyAlignment="1">
      <x:alignment vertical="top" wrapText="1"/>
    </x:xf>
    <x:xf numFmtId="201" fontId="10" fillId="3" borderId="1" xfId="0" applyNumberFormat="1" applyFont="1" applyFill="1" applyBorder="1" applyAlignment="1">
      <x:alignment vertical="top" wrapText="1"/>
    </x:xf>
    <x:xf numFmtId="201" fontId="10" fillId="3" borderId="2" xfId="0" applyNumberFormat="1" applyFont="1" applyFill="1" applyBorder="1" applyAlignment="1">
      <x:alignment vertical="top" wrapText="1"/>
    </x:xf>
    <x:xf numFmtId="202" fontId="10" fillId="3" borderId="3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203" fontId="0" fillId="5" borderId="2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200" fontId="0" fillId="9" borderId="1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4" fontId="8" fillId="3" borderId="9" xfId="0" applyNumberFormat="1" applyFont="1" applyFill="1" applyBorder="1" applyAlignment="1">
      <x:alignment vertical="top" wrapText="1"/>
    </x:xf>
    <x:xf numFmtId="204" fontId="8" fillId="3" borderId="10" xfId="0" applyNumberFormat="1" applyFont="1" applyFill="1" applyBorder="1" applyAlignment="1">
      <x:alignment vertical="top" wrapText="1"/>
    </x:xf>
    <x:xf numFmtId="204" fontId="8" fillId="3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304b7397c4884" /><Relationship Type="http://schemas.openxmlformats.org/officeDocument/2006/relationships/theme" Target="/xl/theme/theme1.xml" Id="R41c91846c44f4276" /><Relationship Type="http://schemas.openxmlformats.org/officeDocument/2006/relationships/sharedStrings" Target="/xl/sharedStrings.xml" Id="Rf7e5f55f93ce4d6b" /><Relationship Type="http://schemas.openxmlformats.org/officeDocument/2006/relationships/worksheet" Target="/xl/worksheets/sheet1.xml" Id="Rb85cf5866ee847a9" /><Relationship Type="http://schemas.openxmlformats.org/officeDocument/2006/relationships/worksheet" Target="/xl/worksheets/sheet2.xml" Id="R1ba38f9e008049dc" /><Relationship Type="http://schemas.openxmlformats.org/officeDocument/2006/relationships/worksheet" Target="/xl/worksheets/sheet3.xml" Id="Ra62ea8256f3e4457" /><Relationship Type="http://schemas.openxmlformats.org/officeDocument/2006/relationships/worksheet" Target="/xl/worksheets/sheet4.xml" Id="R25d84cdc8b87488e" /><Relationship Type="http://schemas.openxmlformats.org/officeDocument/2006/relationships/worksheet" Target="/xl/worksheets/sheet5.xml" Id="R18dc76567d2e4c46" /><Relationship Type="http://schemas.openxmlformats.org/officeDocument/2006/relationships/worksheet" Target="/xl/worksheets/sheet6.xml" Id="Rf7bf287521cf4054" /><Relationship Type="http://schemas.microsoft.com/office/2017/10/relationships/person" Target="/xl/persons/person.xml" Id="Rbe0b6f6fdca34403" /></Relationships>
</file>

<file path=xl/persons/person.xml><?xml version="1.0" encoding="utf-8"?>
<xltc:personList xmlns:xltc="http://schemas.microsoft.com/office/spreadsheetml/2018/threadedcomments">
  <xltc:person displayName="Jun Liao" id="{85F18754-9F59-4A66-8EA9-690C46CB431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4" dT="2026-08-31T09:54:15.642" personId="{85F18754-9F59-4A66-8EA9-690C46CB4319}" id="{DBD658C9-A6FB-461C-80FE-A185804E1178}">
    <xltc:text>理由必须同时写明支持事实、相反事实、来源限制，以及为什么选择当前方向和强度。</xltc:text>
  </xltc:threadedComment>
  <xltc:threadedComment ref="B27" dT="2026-08-31T09:54:15.643" personId="{85F18754-9F59-4A66-8EA9-690C46CB4319}" id="{3BE0FF27-1F01-4127-B3E0-554FA2BA8BCC}">
    <xltc:text>请填写带时区的 ISO 8601 时间，例如 2026-09-01T10:30:00+08:00。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ec39eb59b5e4fda" /><Relationship Type="http://schemas.openxmlformats.org/officeDocument/2006/relationships/vmlDrawing" Target="/xl/drawings/vmldrawing.vml" Id="Red52b5a70d914c79" /><Relationship Type="http://schemas.microsoft.com/office/2017/10/relationships/threadedComment" Target="/xl/threadedcomments/threadedcomment.xml" Id="R17b0c574ea4d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第三只 A 股候选关系 · 专业研究员复核包</x:v>
      </x:c>
      <x:c r="B1" s="4" t="str">
        <x:v>第三只 A 股候选关系 · 专业研究员复核包</x:v>
      </x:c>
      <x:c r="C1" s="4" t="str">
        <x:v>第三只 A 股候选关系 · 专业研究员复核包</x:v>
      </x:c>
      <x:c r="D1" s="4" t="str">
        <x:v>第三只 A 股候选关系 · 专业研究员复核包</x:v>
      </x:c>
      <x:c r="E1" s="4" t="str">
        <x:v>第三只 A 股候选关系 · 专业研究员复核包</x:v>
      </x:c>
      <x:c r="F1" s="4" t="str">
        <x:v>第三只 A 股候选关系 · 专业研究员复核包</x:v>
      </x:c>
      <x:c r="G1" s="4" t="str">
        <x:v>第三只 A 股候选关系 · 专业研究员复核包</x:v>
      </x:c>
      <x:c r="H1" s="4" t="str">
        <x:v>第三只 A 股候选关系 · 专业研究员复核包</x:v>
      </x:c>
    </x:row>
    <x:row r="3" ht="25" customHeight="1">
      <x:c r="A3" s="7" t="str">
        <x:v>候选证券：比亚迪（002594）｜候选关系：REL-ea2dd5a4df3547af｜当前状态：待确认</x:v>
      </x:c>
      <x:c r="B3" s="7" t="str">
        <x:v>候选证券：比亚迪（002594）｜候选关系：REL-ea2dd5a4df3547af｜当前状态：待确认</x:v>
      </x:c>
      <x:c r="C3" s="7" t="str">
        <x:v>候选证券：比亚迪（002594）｜候选关系：REL-ea2dd5a4df3547af｜当前状态：待确认</x:v>
      </x:c>
      <x:c r="D3" s="7" t="str">
        <x:v>候选证券：比亚迪（002594）｜候选关系：REL-ea2dd5a4df3547af｜当前状态：待确认</x:v>
      </x:c>
      <x:c r="E3" s="7" t="str">
        <x:v>候选证券：比亚迪（002594）｜候选关系：REL-ea2dd5a4df3547af｜当前状态：待确认</x:v>
      </x:c>
      <x:c r="F3" s="7" t="str">
        <x:v>候选证券：比亚迪（002594）｜候选关系：REL-ea2dd5a4df3547af｜当前状态：待确认</x:v>
      </x:c>
      <x:c r="G3" s="7" t="str">
        <x:v>候选证券：比亚迪（002594）｜候选关系：REL-ea2dd5a4df3547af｜当前状态：待确认</x:v>
      </x:c>
      <x:c r="H3" s="7" t="str">
        <x:v>候选证券：比亚迪（002594）｜候选关系：REL-ea2dd5a4df3547af｜当前状态：待确认</x:v>
      </x:c>
    </x:row>
    <x:row r="5" ht="24" customHeight="1">
      <x:c r="A5" s="11" t="str">
        <x:v>任务边界</x:v>
      </x:c>
      <x:c r="B5" s="11" t="str">
        <x:v>任务边界</x:v>
      </x:c>
      <x:c r="C5" s="11" t="str">
        <x:v>任务边界</x:v>
      </x:c>
      <x:c r="D5" s="11" t="str">
        <x:v>任务边界</x:v>
      </x:c>
      <x:c r="E5" s="11" t="str">
        <x:v>任务边界</x:v>
      </x:c>
      <x:c r="F5" s="11" t="str">
        <x:v>任务边界</x:v>
      </x:c>
      <x:c r="G5" s="11" t="str">
        <x:v>任务边界</x:v>
      </x:c>
      <x:c r="H5" s="11" t="str">
        <x:v>任务边界</x:v>
      </x:c>
    </x:row>
    <x:row r="6" ht="34" customHeight="1">
      <x:c r="A6" s="24" t="str">
        <x:v>1</x:v>
      </x:c>
      <x:c r="B6" s="27" t="str">
        <x:v>只做人工复核</x:v>
      </x:c>
      <x:c r="C6" s="18" t="str">
        <x:v>本工作簿不会修改数据库、确认关系、冻结信号或触发回测。</x:v>
      </x:c>
      <x:c r="D6" s="18"/>
      <x:c r="E6" s="18"/>
      <x:c r="F6" s="18"/>
      <x:c r="G6" s="18"/>
      <x:c r="H6" s="18"/>
    </x:row>
    <x:row r="7" ht="34" customHeight="1">
      <x:c r="A7" s="25" t="str">
        <x:v>2</x:v>
      </x:c>
      <x:c r="B7" s="28" t="str">
        <x:v>先看一手来源</x:v>
      </x:c>
      <x:c r="C7" s="19" t="str">
        <x:v>必须同时核验 2026 年和 2025 年 7 月产销快报，不得只抄二手研报。</x:v>
      </x:c>
      <x:c r="D7" s="19"/>
      <x:c r="E7" s="19"/>
      <x:c r="F7" s="19"/>
      <x:c r="G7" s="19"/>
      <x:c r="H7" s="19"/>
    </x:row>
    <x:row r="8" ht="34" customHeight="1">
      <x:c r="A8" s="25" t="str">
        <x:v>3</x:v>
      </x:c>
      <x:c r="B8" s="28" t="str">
        <x:v>保留相反事实</x:v>
      </x:c>
      <x:c r="C8" s="19" t="str">
        <x:v>单月销量同比上升，但 1—7 月累计销量同比下降；两者必须同时进入理由。</x:v>
      </x:c>
      <x:c r="D8" s="19"/>
      <x:c r="E8" s="19"/>
      <x:c r="F8" s="19"/>
      <x:c r="G8" s="19"/>
      <x:c r="H8" s="19"/>
    </x:row>
    <x:row r="9" ht="34" customHeight="1">
      <x:c r="A9" s="25" t="str">
        <x:v>4</x:v>
      </x:c>
      <x:c r="B9" s="28" t="str">
        <x:v>区分代理与直接证据</x:v>
      </x:c>
      <x:c r="C9" s="19" t="str">
        <x:v>销量是收入的领先代理指标，不能直接证明营业收入失效条件未触发。</x:v>
      </x:c>
      <x:c r="D9" s="19"/>
      <x:c r="E9" s="19"/>
      <x:c r="F9" s="19"/>
      <x:c r="G9" s="19"/>
      <x:c r="H9" s="19"/>
    </x:row>
    <x:row r="10" ht="34" customHeight="1">
      <x:c r="A10" s="26" t="str">
        <x:v>5</x:v>
      </x:c>
      <x:c r="B10" s="29" t="str">
        <x:v>禁止倒签</x:v>
      </x:c>
      <x:c r="C10" s="20" t="str">
        <x:v>研究员结论形成后，新信号生成时间不得早于实际人工确认时间。</x:v>
      </x:c>
      <x:c r="D10" s="20"/>
      <x:c r="E10" s="20"/>
      <x:c r="F10" s="20"/>
      <x:c r="G10" s="20"/>
      <x:c r="H10" s="20"/>
    </x:row>
    <x:row r="12" ht="24" customHeight="1">
      <x:c r="A12" s="11" t="str">
        <x:v>填写顺序</x:v>
      </x:c>
      <x:c r="B12" s="11" t="str">
        <x:v>填写顺序</x:v>
      </x:c>
      <x:c r="C12" s="11" t="str">
        <x:v>填写顺序</x:v>
      </x:c>
      <x:c r="D12" s="11" t="str">
        <x:v>填写顺序</x:v>
      </x:c>
      <x:c r="E12" s="11" t="str">
        <x:v>填写顺序</x:v>
      </x:c>
      <x:c r="F12" s="11" t="str">
        <x:v>填写顺序</x:v>
      </x:c>
      <x:c r="G12" s="11" t="str">
        <x:v>填写顺序</x:v>
      </x:c>
      <x:c r="H12" s="11" t="str">
        <x:v>填写顺序</x:v>
      </x:c>
    </x:row>
    <x:row r="13" ht="32" customHeight="1">
      <x:c r="A13" s="24" t="str">
        <x:v>步骤 1</x:v>
      </x:c>
      <x:c r="B13" s="18" t="str">
        <x:v>打开“一手数据核对”，复算销量、累计销量、出口及出口占比。</x:v>
      </x:c>
      <x:c r="C13" s="18"/>
      <x:c r="D13" s="18"/>
      <x:c r="E13" s="18"/>
      <x:c r="F13" s="18"/>
      <x:c r="G13" s="18"/>
      <x:c r="H13" s="18"/>
    </x:row>
    <x:row r="14" ht="32" customHeight="1">
      <x:c r="A14" s="25" t="str">
        <x:v>步骤 2</x:v>
      </x:c>
      <x:c r="B14" s="19" t="str">
        <x:v>打开两份巨潮资讯公告，记录页码、表格和未经审核限制。</x:v>
      </x:c>
      <x:c r="C14" s="19"/>
      <x:c r="D14" s="19"/>
      <x:c r="E14" s="19"/>
      <x:c r="F14" s="19"/>
      <x:c r="G14" s="19"/>
      <x:c r="H14" s="19"/>
    </x:row>
    <x:row r="15" ht="32" customHeight="1">
      <x:c r="A15" s="25" t="str">
        <x:v>步骤 3</x:v>
      </x:c>
      <x:c r="B15" s="19" t="str">
        <x:v>阅读“冻结快照”中的候选关系、假设和二手原文定位。</x:v>
      </x:c>
      <x:c r="C15" s="19"/>
      <x:c r="D15" s="19"/>
      <x:c r="E15" s="19"/>
      <x:c r="F15" s="19"/>
      <x:c r="G15" s="19"/>
      <x:c r="H15" s="19"/>
    </x:row>
    <x:row r="16" ht="32" customHeight="1">
      <x:c r="A16" s="25" t="str">
        <x:v>步骤 4</x:v>
      </x:c>
      <x:c r="B16" s="19" t="str">
        <x:v>只填写“复核结论”中的黄色输入区域；蓝色文字表示人工输入。</x:v>
      </x:c>
      <x:c r="C16" s="19"/>
      <x:c r="D16" s="19"/>
      <x:c r="E16" s="19"/>
      <x:c r="F16" s="19"/>
      <x:c r="G16" s="19"/>
      <x:c r="H16" s="19"/>
    </x:row>
    <x:row r="17" ht="32" customHeight="1">
      <x:c r="A17" s="25" t="str">
        <x:v>步骤 5</x:v>
      </x:c>
      <x:c r="B17" s="19" t="str">
        <x:v>查看“质量检查”，所有必填检查为 OK 后回传工作簿。</x:v>
      </x:c>
      <x:c r="C17" s="19"/>
      <x:c r="D17" s="19"/>
      <x:c r="E17" s="19"/>
      <x:c r="F17" s="19"/>
      <x:c r="G17" s="19"/>
      <x:c r="H17" s="19"/>
    </x:row>
    <x:row r="18" ht="32" customHeight="1">
      <x:c r="A18" s="26" t="str">
        <x:v>注意</x:v>
      </x:c>
      <x:c r="B18" s="20" t="str">
        <x:v>“修改”表示研究员认为关系可保留，但需要修改方向、强度或理由；不得直接改冻结快照。</x:v>
      </x:c>
      <x:c r="C18" s="20"/>
      <x:c r="D18" s="20"/>
      <x:c r="E18" s="20"/>
      <x:c r="F18" s="20"/>
      <x:c r="G18" s="20"/>
      <x:c r="H18" s="20"/>
    </x:row>
    <x:row r="20" ht="24" customHeight="1">
      <x:c r="A20" s="11" t="str">
        <x:v>颜色图例</x:v>
      </x:c>
      <x:c r="B20" s="11" t="str">
        <x:v>颜色图例</x:v>
      </x:c>
      <x:c r="C20" s="11" t="str">
        <x:v>颜色图例</x:v>
      </x:c>
      <x:c r="D20" s="11" t="str">
        <x:v>颜色图例</x:v>
      </x:c>
      <x:c r="E20" s="11" t="str">
        <x:v>颜色图例</x:v>
      </x:c>
      <x:c r="F20" s="11" t="str">
        <x:v>颜色图例</x:v>
      </x:c>
      <x:c r="G20" s="11" t="str">
        <x:v>颜色图例</x:v>
      </x:c>
      <x:c r="H20" s="11" t="str">
        <x:v>颜色图例</x:v>
      </x:c>
    </x:row>
    <x:row r="21">
      <x:c r="A21" s="31" t="str">
        <x:v>黄色底 / 蓝字</x:v>
      </x:c>
      <x:c r="B21" s="18" t="str">
        <x:v>研究员可填写</x:v>
      </x:c>
      <x:c r="C21" s="18"/>
      <x:c r="D21" s="18"/>
      <x:c r="E21" s="18"/>
      <x:c r="F21" s="18"/>
      <x:c r="G21" s="18"/>
      <x:c r="H21" s="18"/>
    </x:row>
    <x:row r="22">
      <x:c r="A22" s="32" t="str">
        <x:v>浅蓝底</x:v>
      </x:c>
      <x:c r="B22" s="19" t="str">
        <x:v>数据库冻结快照或公式复算，不应修改</x:v>
      </x:c>
      <x:c r="C22" s="19"/>
      <x:c r="D22" s="19"/>
      <x:c r="E22" s="19"/>
      <x:c r="F22" s="19"/>
      <x:c r="G22" s="19"/>
      <x:c r="H22" s="19"/>
    </x:row>
    <x:row r="23">
      <x:c r="A23" s="33" t="str">
        <x:v>浅红底</x:v>
      </x:c>
      <x:c r="B23" s="20" t="str">
        <x:v>限制、差异或阻断项，必须在理由中回应</x:v>
      </x:c>
      <x:c r="C23" s="20"/>
      <x:c r="D23" s="20"/>
      <x:c r="E23" s="20"/>
      <x:c r="F23" s="20"/>
      <x:c r="G23" s="20"/>
      <x:c r="H23" s="20"/>
    </x:row>
  </x:sheetData>
  <x:mergeCells>
    <x:mergeCell ref="A1:H1"/>
    <x:mergeCell ref="A3:H3"/>
    <x:mergeCell ref="A5:H5"/>
    <x:mergeCell ref="C6:H6"/>
    <x:mergeCell ref="C7:H7"/>
    <x:mergeCell ref="C8:H8"/>
    <x:mergeCell ref="C9:H9"/>
    <x:mergeCell ref="C10:H10"/>
    <x:mergeCell ref="A12:H12"/>
    <x:mergeCell ref="B13:H13"/>
    <x:mergeCell ref="B14:H14"/>
    <x:mergeCell ref="B15:H15"/>
    <x:mergeCell ref="B16:H16"/>
    <x:mergeCell ref="B17:H17"/>
    <x:mergeCell ref="B18:H18"/>
    <x:mergeCell ref="A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复核结论表（黄色区域由研究员填写）</x:v>
      </x:c>
      <x:c r="B1" s="4" t="str">
        <x:v>复核结论表（黄色区域由研究员填写）</x:v>
      </x:c>
      <x:c r="C1" s="4" t="str">
        <x:v>复核结论表（黄色区域由研究员填写）</x:v>
      </x:c>
      <x:c r="D1" s="4" t="str">
        <x:v>复核结论表（黄色区域由研究员填写）</x:v>
      </x:c>
      <x:c r="E1" s="4" t="str">
        <x:v>复核结论表（黄色区域由研究员填写）</x:v>
      </x:c>
      <x:c r="F1" s="4" t="str">
        <x:v>复核结论表（黄色区域由研究员填写）</x:v>
      </x:c>
      <x:c r="G1" s="4" t="str">
        <x:v>复核结论表（黄色区域由研究员填写）</x:v>
      </x:c>
      <x:c r="H1" s="4" t="str">
        <x:v>复核结论表（黄色区域由研究员填写）</x:v>
      </x:c>
    </x:row>
    <x:row r="3" ht="34" customHeight="1">
      <x:c r="A3" s="36" t="str">
        <x:v>本页不预设结论：研究员必须同时处理“单月改善”与“累计下降”，并判断候选强度是否过高。</x:v>
      </x:c>
      <x:c r="B3" s="36" t="str">
        <x:v>本页不预设结论：研究员必须同时处理“单月改善”与“累计下降”，并判断候选强度是否过高。</x:v>
      </x:c>
      <x:c r="C3" s="36" t="str">
        <x:v>本页不预设结论：研究员必须同时处理“单月改善”与“累计下降”，并判断候选强度是否过高。</x:v>
      </x:c>
      <x:c r="D3" s="36" t="str">
        <x:v>本页不预设结论：研究员必须同时处理“单月改善”与“累计下降”，并判断候选强度是否过高。</x:v>
      </x:c>
      <x:c r="E3" s="36" t="str">
        <x:v>本页不预设结论：研究员必须同时处理“单月改善”与“累计下降”，并判断候选强度是否过高。</x:v>
      </x:c>
      <x:c r="F3" s="36" t="str">
        <x:v>本页不预设结论：研究员必须同时处理“单月改善”与“累计下降”，并判断候选强度是否过高。</x:v>
      </x:c>
      <x:c r="G3" s="36" t="str">
        <x:v>本页不预设结论：研究员必须同时处理“单月改善”与“累计下降”，并判断候选强度是否过高。</x:v>
      </x:c>
      <x:c r="H3" s="36" t="str">
        <x:v>本页不预设结论：研究员必须同时处理“单月改善”与“累计下降”，并判断候选强度是否过高。</x:v>
      </x:c>
    </x:row>
    <x:row r="5" ht="24" customHeight="1">
      <x:c r="A5" s="11" t="str">
        <x:v>冻结候选摘要</x:v>
      </x:c>
      <x:c r="B5" s="11" t="str">
        <x:v>冻结候选摘要</x:v>
      </x:c>
      <x:c r="C5" s="11" t="str">
        <x:v>冻结候选摘要</x:v>
      </x:c>
      <x:c r="D5" s="11" t="str">
        <x:v>冻结候选摘要</x:v>
      </x:c>
      <x:c r="E5" s="11" t="str">
        <x:v>冻结候选摘要</x:v>
      </x:c>
      <x:c r="F5" s="11" t="str">
        <x:v>冻结候选摘要</x:v>
      </x:c>
      <x:c r="G5" s="11" t="str">
        <x:v>冻结候选摘要</x:v>
      </x:c>
      <x:c r="H5" s="11" t="str">
        <x:v>冻结候选摘要</x:v>
      </x:c>
    </x:row>
    <x:row r="6" ht="34" customHeight="1">
      <x:c r="A6" s="40" t="str">
        <x:v>关系编号</x:v>
      </x:c>
      <x:c r="B6" s="43" t="str">
        <x:v>REL-ea2dd5a4df3547af</x:v>
      </x:c>
      <x:c r="C6" s="43"/>
      <x:c r="D6" s="43"/>
      <x:c r="E6" s="43"/>
      <x:c r="F6" s="43"/>
      <x:c r="G6" s="43"/>
      <x:c r="H6" s="43"/>
    </x:row>
    <x:row r="7" ht="34" customHeight="1">
      <x:c r="A7" s="41" t="str">
        <x:v>证券</x:v>
      </x:c>
      <x:c r="B7" s="32" t="str">
        <x:v>比亚迪（002594）</x:v>
      </x:c>
      <x:c r="C7" s="32"/>
      <x:c r="D7" s="32"/>
      <x:c r="E7" s="32"/>
      <x:c r="F7" s="32"/>
      <x:c r="G7" s="32"/>
      <x:c r="H7" s="32"/>
    </x:row>
    <x:row r="8" ht="34" customHeight="1">
      <x:c r="A8" s="41" t="str">
        <x:v>证据编号</x:v>
      </x:c>
      <x:c r="B8" s="32" t="str">
        <x:v>EVD-962d09caf6a7c55f52f10cc9</x:v>
      </x:c>
      <x:c r="C8" s="32"/>
      <x:c r="D8" s="32"/>
      <x:c r="E8" s="32"/>
      <x:c r="F8" s="32"/>
      <x:c r="G8" s="32"/>
      <x:c r="H8" s="32"/>
    </x:row>
    <x:row r="9" ht="34" customHeight="1">
      <x:c r="A9" s="41" t="str">
        <x:v>假设编号</x:v>
      </x:c>
      <x:c r="B9" s="32" t="str">
        <x:v>THS-002594-2026Q1-H1-需求与出货</x:v>
      </x:c>
      <x:c r="C9" s="32"/>
      <x:c r="D9" s="32"/>
      <x:c r="E9" s="32"/>
      <x:c r="F9" s="32"/>
      <x:c r="G9" s="32"/>
      <x:c r="H9" s="32"/>
    </x:row>
    <x:row r="10" ht="42" customHeight="1">
      <x:c r="A10" s="41" t="str">
        <x:v>假设陈述</x:v>
      </x:c>
      <x:c r="B10" s="32" t="str">
        <x:v>新能源汽车销量保持增长，出口占比提升对冲国内价格压力</x:v>
      </x:c>
      <x:c r="C10" s="32"/>
      <x:c r="D10" s="32"/>
      <x:c r="E10" s="32"/>
      <x:c r="F10" s="32"/>
      <x:c r="G10" s="32"/>
      <x:c r="H10" s="32"/>
    </x:row>
    <x:row r="11" ht="34" customHeight="1">
      <x:c r="A11" s="41" t="str">
        <x:v>候选方向 / 强度</x:v>
      </x:c>
      <x:c r="B11" s="32" t="str">
        <x:v>支持 / 高</x:v>
      </x:c>
      <x:c r="C11" s="32"/>
      <x:c r="D11" s="32"/>
      <x:c r="E11" s="32"/>
      <x:c r="F11" s="32"/>
      <x:c r="G11" s="32"/>
      <x:c r="H11" s="32"/>
    </x:row>
    <x:row r="12" ht="34" customHeight="1">
      <x:c r="A12" s="41" t="str">
        <x:v>候选生成</x:v>
      </x:c>
      <x:c r="B12" s="32" t="str">
        <x:v>local-rule-v1；AI 置信度 0.8000；尚未人工确认</x:v>
      </x:c>
      <x:c r="C12" s="32"/>
      <x:c r="D12" s="32"/>
      <x:c r="E12" s="32"/>
      <x:c r="F12" s="32"/>
      <x:c r="G12" s="32"/>
      <x:c r="H12" s="32"/>
    </x:row>
    <x:row r="13" ht="48" customHeight="1">
      <x:c r="A13" s="41" t="str">
        <x:v>一手事实</x:v>
      </x:c>
      <x:c r="B13" s="32" t="str">
        <x:v>2026 年 7 月销量 419,211 辆，同比约 +21.8%；出口 180,538 辆，占当月销量约 43.1%。</x:v>
      </x:c>
      <x:c r="C13" s="32"/>
      <x:c r="D13" s="32"/>
      <x:c r="E13" s="32"/>
      <x:c r="F13" s="32"/>
      <x:c r="G13" s="32"/>
      <x:c r="H13" s="32"/>
    </x:row>
    <x:row r="14" ht="48" customHeight="1">
      <x:c r="A14" s="41" t="str">
        <x:v>相反事实</x:v>
      </x:c>
      <x:c r="B14" s="32" t="str">
        <x:v>2026 年 1—7 月累计销量 2,227,722 辆，同比约 -10.5%。</x:v>
      </x:c>
      <x:c r="C14" s="32"/>
      <x:c r="D14" s="32"/>
      <x:c r="E14" s="32"/>
      <x:c r="F14" s="32"/>
      <x:c r="G14" s="32"/>
      <x:c r="H14" s="32"/>
    </x:row>
    <x:row r="15" ht="48" customHeight="1">
      <x:c r="A15" s="41" t="str">
        <x:v>关系限制</x:v>
      </x:c>
      <x:c r="B15" s="32" t="str">
        <x:v>销量是收入的领先代理指标；无法单独证明“营业收入连续两个季度未转负”。</x:v>
      </x:c>
      <x:c r="C15" s="32"/>
      <x:c r="D15" s="32"/>
      <x:c r="E15" s="32"/>
      <x:c r="F15" s="32"/>
      <x:c r="G15" s="32"/>
      <x:c r="H15" s="32"/>
    </x:row>
    <x:row r="16" ht="48" customHeight="1">
      <x:c r="A16" s="42" t="str">
        <x:v>来源限制</x:v>
      </x:c>
      <x:c r="B16" s="44" t="str">
        <x:v>公司公告注明产销量未经审核、未经审计，可能调整并有待最终确认。</x:v>
      </x:c>
      <x:c r="C16" s="44"/>
      <x:c r="D16" s="44"/>
      <x:c r="E16" s="44"/>
      <x:c r="F16" s="44"/>
      <x:c r="G16" s="44"/>
      <x:c r="H16" s="44"/>
    </x:row>
    <x:row r="18" ht="24" customHeight="1">
      <x:c r="A18" s="11" t="str">
        <x:v>人工输入</x:v>
      </x:c>
      <x:c r="B18" s="11" t="str">
        <x:v>人工输入</x:v>
      </x:c>
      <x:c r="C18" s="11" t="str">
        <x:v>人工输入</x:v>
      </x:c>
      <x:c r="D18" s="11" t="str">
        <x:v>人工输入</x:v>
      </x:c>
      <x:c r="E18" s="11" t="str">
        <x:v>人工输入</x:v>
      </x:c>
      <x:c r="F18" s="11" t="str">
        <x:v>人工输入</x:v>
      </x:c>
      <x:c r="G18" s="11" t="str">
        <x:v>人工输入</x:v>
      </x:c>
      <x:c r="H18" s="11" t="str">
        <x:v>人工输入</x:v>
      </x:c>
    </x:row>
    <x:row r="19" ht="30" customHeight="1">
      <x:c r="A19" s="40" t="str">
        <x:v>一手来源已核验 *</x:v>
      </x:c>
      <x:c r="B19" s="50" t="str">
        <x:v>是</x:v>
      </x:c>
      <x:c r="C19" s="51"/>
      <x:c r="D19" s="51"/>
      <x:c r="E19" s="51"/>
      <x:c r="F19" s="51"/>
      <x:c r="G19" s="51"/>
      <x:c r="H19" s="52"/>
    </x:row>
    <x:row r="20" ht="30" customHeight="1">
      <x:c r="A20" s="41" t="str">
        <x:v>复核决定 *</x:v>
      </x:c>
      <x:c r="B20" s="53" t="str">
        <x:v>修改</x:v>
      </x:c>
      <x:c r="C20" s="48"/>
      <x:c r="D20" s="48"/>
      <x:c r="E20" s="48"/>
      <x:c r="F20" s="48"/>
      <x:c r="G20" s="48"/>
      <x:c r="H20" s="54"/>
    </x:row>
    <x:row r="21" ht="30" customHeight="1">
      <x:c r="A21" s="41" t="str">
        <x:v>复核方向 *</x:v>
      </x:c>
      <x:c r="B21" s="53" t="str">
        <x:v>支持</x:v>
      </x:c>
      <x:c r="C21" s="48"/>
      <x:c r="D21" s="48"/>
      <x:c r="E21" s="48"/>
      <x:c r="F21" s="48"/>
      <x:c r="G21" s="48"/>
      <x:c r="H21" s="54"/>
    </x:row>
    <x:row r="22" ht="30" customHeight="1">
      <x:c r="A22" s="41" t="str">
        <x:v>复核强度 *</x:v>
      </x:c>
      <x:c r="B22" s="53" t="str">
        <x:v>中</x:v>
      </x:c>
      <x:c r="C22" s="48"/>
      <x:c r="D22" s="48"/>
      <x:c r="E22" s="48"/>
      <x:c r="F22" s="48"/>
      <x:c r="G22" s="48"/>
      <x:c r="H22" s="54"/>
    </x:row>
    <x:row r="23" ht="54" customHeight="1">
      <x:c r="A23" s="41" t="str">
        <x:v>一手定位 *</x:v>
      </x:c>
      <x:c r="B23" s="53" t="str">
        <x:v>2026年7月产销快报第1页“新能源汽车—销量/合计”行及出口注释；2025年7月产销快报第1页同表“新能源汽车—销量/合计”行及出口注释；两份公告第1—2页未经审核、未经审计提示。</x:v>
      </x:c>
      <x:c r="C23" s="48"/>
      <x:c r="D23" s="48"/>
      <x:c r="E23" s="48"/>
      <x:c r="F23" s="48"/>
      <x:c r="G23" s="48"/>
      <x:c r="H23" s="54"/>
    </x:row>
    <x:row r="24" ht="54" customHeight="1">
      <x:c r="A24" s="41" t="str">
        <x:v>复核理由 *</x:v>
      </x:c>
      <x:c r="B24" s="53" t="str">
        <x:v>一手公告主体、代码及单位一致。2026年7月新能源汽车销量419,211辆，较344,296辆增21.76%；1—7月累计2,227,722辆，较2,490,250辆降10.54%。出口180,538辆，较80,737辆增123.61%；二手研报124.3%比公告复算高约0.69个百分点，非单纯一位小数舍入，采用123.6%。出口占比由23.45%升至43.07%，提升19.62个百分点；按总销量减出口估算，境内销量约23.87万辆，同比下降约9.4%，说明出口增长在数量上对冲境内走弱。相反地，累计销量仍下降，且公告未披露地区售价、收入或利润，销量只能作为收入领先代理，不能证明国内价格压力已被完全对冲，也不能验证营业收入连续两个季度未转负。两份公告均声明数据未经审核、未经审计且可能调整。故保留支持方向，但将强度由高降至中。</x:v>
      </x:c>
      <x:c r="C24" s="48"/>
      <x:c r="D24" s="48"/>
      <x:c r="E24" s="48"/>
      <x:c r="F24" s="48"/>
      <x:c r="G24" s="48"/>
      <x:c r="H24" s="54"/>
    </x:row>
    <x:row r="25" ht="54" customHeight="1">
      <x:c r="A25" s="41" t="str">
        <x:v>建议修改内容</x:v>
      </x:c>
      <x:c r="B25" s="53" t="str">
        <x:v>候选方向保留为“支持”，强度由“高”改为“中”；候选理由采用公告复算的出口同比123.6%，并补充累计销量-10.5%、境内销量仅为算术估算、未披露价格/收入及数据未经审核审计等限制。</x:v>
      </x:c>
      <x:c r="C25" s="48"/>
      <x:c r="D25" s="48"/>
      <x:c r="E25" s="48"/>
      <x:c r="F25" s="48"/>
      <x:c r="G25" s="48"/>
      <x:c r="H25" s="54"/>
    </x:row>
    <x:row r="26" ht="30" customHeight="1">
      <x:c r="A26" s="41" t="str">
        <x:v>研究员姓名 *</x:v>
      </x:c>
      <x:c r="B26" s="53" t="str">
        <x:v>FIN-R01</x:v>
      </x:c>
      <x:c r="C26" s="48"/>
      <x:c r="D26" s="48"/>
      <x:c r="E26" s="48"/>
      <x:c r="F26" s="48"/>
      <x:c r="G26" s="48"/>
      <x:c r="H26" s="54"/>
    </x:row>
    <x:row r="27" ht="30" customHeight="1">
      <x:c r="A27" s="42" t="str">
        <x:v>复核时间 *</x:v>
      </x:c>
      <x:c r="B27" s="106" t="n">
        <x:v>46265.75537310185</x:v>
      </x:c>
      <x:c r="C27" s="107"/>
      <x:c r="D27" s="107"/>
      <x:c r="E27" s="107"/>
      <x:c r="F27" s="107"/>
      <x:c r="G27" s="107"/>
      <x:c r="H27" s="108"/>
    </x:row>
  </x:sheetData>
  <x:mergeCells>
    <x:mergeCell ref="A1:H1"/>
    <x:mergeCell ref="A3:H3"/>
    <x:mergeCell ref="A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A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7:H27"/>
  </x:mergeCells>
  <x:dataValidations count="4">
    <x:dataValidation type="list" sqref="B19">
      <x:formula1>"是,否,无法确认"</x:formula1>
    </x:dataValidation>
    <x:dataValidation type="list" sqref="B20">
      <x:formula1>"通过,修改,拒绝,暂不判断"</x:formula1>
    </x:dataValidation>
    <x:dataValidation type="list" sqref="B21">
      <x:formula1>"支持,冲突,中性,无关"</x:formula1>
    </x:dataValidation>
    <x:dataValidation type="list" sqref="B22">
      <x:formula1>"高,中,低"</x:formula1>
    </x:dataValidation>
  </x:dataValidations>
  <x:pageMargins left="0.7" right="0.7" top="0.75" bottom="0.75" header="0.3" footer="0.3"/>
  <x:legacyDrawing xmlns:r="http://schemas.openxmlformats.org/officeDocument/2006/relationships" r:id="Red52b5a70d914c7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3" hidden="0" customWidth="1"/>
  </x:cols>
  <x:sheetData>
    <x:row r="1" ht="34" customHeight="1">
      <x:c r="A1" s="4" t="str">
        <x:v>比亚迪 2026 年 7 月产销事实 · 一手来源复算</x:v>
      </x:c>
      <x:c r="B1" s="4" t="str">
        <x:v>比亚迪 2026 年 7 月产销事实 · 一手来源复算</x:v>
      </x:c>
      <x:c r="C1" s="4" t="str">
        <x:v>比亚迪 2026 年 7 月产销事实 · 一手来源复算</x:v>
      </x:c>
      <x:c r="D1" s="4" t="str">
        <x:v>比亚迪 2026 年 7 月产销事实 · 一手来源复算</x:v>
      </x:c>
      <x:c r="E1" s="4" t="str">
        <x:v>比亚迪 2026 年 7 月产销事实 · 一手来源复算</x:v>
      </x:c>
      <x:c r="F1" s="4" t="str">
        <x:v>比亚迪 2026 年 7 月产销事实 · 一手来源复算</x:v>
      </x:c>
      <x:c r="G1" s="4" t="str">
        <x:v>比亚迪 2026 年 7 月产销事实 · 一手来源复算</x:v>
      </x:c>
      <x:c r="H1" s="4" t="str">
        <x:v>比亚迪 2026 年 7 月产销事实 · 一手来源复算</x:v>
      </x:c>
    </x:row>
    <x:row r="3">
      <x:c r="A3" s="59" t="str">
        <x:v>单位：辆。百分比均由公告原始数值复算；二手研报表述只用于差异核对。</x:v>
      </x:c>
      <x:c r="B3" s="59" t="str">
        <x:v>单位：辆。百分比均由公告原始数值复算；二手研报表述只用于差异核对。</x:v>
      </x:c>
      <x:c r="C3" s="59" t="str">
        <x:v>单位：辆。百分比均由公告原始数值复算；二手研报表述只用于差异核对。</x:v>
      </x:c>
      <x:c r="D3" s="59" t="str">
        <x:v>单位：辆。百分比均由公告原始数值复算；二手研报表述只用于差异核对。</x:v>
      </x:c>
      <x:c r="E3" s="59" t="str">
        <x:v>单位：辆。百分比均由公告原始数值复算；二手研报表述只用于差异核对。</x:v>
      </x:c>
      <x:c r="F3" s="59" t="str">
        <x:v>单位：辆。百分比均由公告原始数值复算；二手研报表述只用于差异核对。</x:v>
      </x:c>
      <x:c r="G3" s="59" t="str">
        <x:v>单位：辆。百分比均由公告原始数值复算；二手研报表述只用于差异核对。</x:v>
      </x:c>
      <x:c r="H3" s="59" t="str">
        <x:v>单位：辆。百分比均由公告原始数值复算；二手研报表述只用于差异核对。</x:v>
      </x:c>
    </x:row>
    <x:row r="5">
      <x:c r="A5" s="65" t="str">
        <x:v>指标</x:v>
      </x:c>
      <x:c r="B5" s="65" t="str">
        <x:v>2026-07 / 当前</x:v>
      </x:c>
      <x:c r="C5" s="65" t="str">
        <x:v>2025-07 / 对比</x:v>
      </x:c>
      <x:c r="D5" s="65" t="str">
        <x:v>复算口径</x:v>
      </x:c>
      <x:c r="E5" s="65" t="str">
        <x:v>复算结果</x:v>
      </x:c>
      <x:c r="F5" s="65" t="str">
        <x:v>二手表述</x:v>
      </x:c>
      <x:c r="G5" s="65" t="str">
        <x:v>差异</x:v>
      </x:c>
      <x:c r="H5" s="65" t="str">
        <x:v>研究提示</x:v>
      </x:c>
    </x:row>
    <x:row r="6" ht="35" customHeight="1">
      <x:c r="A6" s="27" t="str">
        <x:v>新能源汽车当月销量</x:v>
      </x:c>
      <x:c r="B6" s="66" t="n">
        <x:v>419211</x:v>
      </x:c>
      <x:c r="C6" s="66" t="n">
        <x:v>344296</x:v>
      </x:c>
      <x:c r="D6" s="18" t="str">
        <x:v>当前/对比-1</x:v>
      </x:c>
      <x:c r="E6" s="75" t="n">
        <x:f>B6/C6-1</x:f>
        <x:v>0.2175889351023539</x:v>
      </x:c>
      <x:c r="F6" s="81" t="n">
        <x:v>0.218</x:v>
      </x:c>
      <x:c r="G6" s="87" t="n">
        <x:f>E6-F6</x:f>
        <x:v>-0.00041106489764611287</x:v>
      </x:c>
      <x:c r="H6" s="18" t="str">
        <x:v>单月同比改善</x:v>
      </x:c>
    </x:row>
    <x:row r="7" ht="35" customHeight="1">
      <x:c r="A7" s="28" t="str">
        <x:v>新能源汽车 1—7 月累计销量</x:v>
      </x:c>
      <x:c r="B7" s="67" t="n">
        <x:v>2227722</x:v>
      </x:c>
      <x:c r="C7" s="67" t="n">
        <x:v>2490250</x:v>
      </x:c>
      <x:c r="D7" s="19" t="str">
        <x:v>当前/对比-1</x:v>
      </x:c>
      <x:c r="E7" s="76" t="n">
        <x:f>B7/C7-1</x:f>
        <x:v>-0.1054223471539002</x:v>
      </x:c>
      <x:c r="F7" s="82" t="n">
        <x:v>-0.105</x:v>
      </x:c>
      <x:c r="G7" s="88" t="n">
        <x:f>E7-F7</x:f>
        <x:v>-0.0004223471539002016</x:v>
      </x:c>
      <x:c r="H7" s="19" t="str">
        <x:v>累计销量仍下降</x:v>
      </x:c>
    </x:row>
    <x:row r="8" ht="35" customHeight="1">
      <x:c r="A8" s="28" t="str">
        <x:v>新能源汽车当月出口</x:v>
      </x:c>
      <x:c r="B8" s="67" t="n">
        <x:v>180538</x:v>
      </x:c>
      <x:c r="C8" s="67" t="n">
        <x:v>80737</x:v>
      </x:c>
      <x:c r="D8" s="19" t="str">
        <x:v>当前/对比-1</x:v>
      </x:c>
      <x:c r="E8" s="76" t="n">
        <x:f>B8/C8-1</x:f>
        <x:v>1.2361247011902847</x:v>
      </x:c>
      <x:c r="F8" s="82" t="n">
        <x:v>1.243</x:v>
      </x:c>
      <x:c r="G8" s="88" t="n">
        <x:f>E8-F8</x:f>
        <x:v>-0.00687529880971538</x:v>
      </x:c>
      <x:c r="H8" s="19" t="str">
        <x:v>二手口径与公告复算有小幅差异</x:v>
      </x:c>
    </x:row>
    <x:row r="9" ht="35" customHeight="1">
      <x:c r="A9" s="28" t="str">
        <x:v>当月出口占比</x:v>
      </x:c>
      <x:c r="B9" s="67" t="n">
        <x:v>180538</x:v>
      </x:c>
      <x:c r="C9" s="67" t="n">
        <x:v>419211</x:v>
      </x:c>
      <x:c r="D9" s="19" t="str">
        <x:v>出口/总销量</x:v>
      </x:c>
      <x:c r="E9" s="76" t="n">
        <x:f>B9/C9</x:f>
        <x:v>0.43066140917103796</x:v>
      </x:c>
      <x:c r="F9" s="82" t="n">
        <x:v>0.43</x:v>
      </x:c>
      <x:c r="G9" s="88" t="n">
        <x:f>E9-F9</x:f>
        <x:v>0.0006614091710379633</x:v>
      </x:c>
      <x:c r="H9" s="19" t="str">
        <x:v>约 43.1%</x:v>
      </x:c>
    </x:row>
    <x:row r="10" ht="35" customHeight="1">
      <x:c r="A10" s="28" t="str">
        <x:v>上年同期出口占比</x:v>
      </x:c>
      <x:c r="B10" s="67" t="n">
        <x:v>80737</x:v>
      </x:c>
      <x:c r="C10" s="67" t="n">
        <x:v>344296</x:v>
      </x:c>
      <x:c r="D10" s="19" t="str">
        <x:v>出口/总销量</x:v>
      </x:c>
      <x:c r="E10" s="76" t="n">
        <x:f>B10/C10</x:f>
        <x:v>0.23449880335525244</x:v>
      </x:c>
      <x:c r="F10" s="82" t="n">
        <x:v>0.234</x:v>
      </x:c>
      <x:c r="G10" s="88" t="n">
        <x:f>E10-F10</x:f>
        <x:v>0.0004988033552524307</x:v>
      </x:c>
      <x:c r="H10" s="19" t="str">
        <x:v>约 23.4%</x:v>
      </x:c>
    </x:row>
    <x:row r="11" ht="35" customHeight="1">
      <x:c r="A11" s="28" t="str">
        <x:v>出口占比同比提升</x:v>
      </x:c>
      <x:c r="B11" s="67"/>
      <x:c r="C11" s="67"/>
      <x:c r="D11" s="19" t="str">
        <x:v>本期占比-同期占比</x:v>
      </x:c>
      <x:c r="E11" s="76" t="n">
        <x:f>E9-E10</x:f>
        <x:v>0.1961626058157855</x:v>
      </x:c>
      <x:c r="F11" s="82"/>
      <x:c r="G11" s="88" t="n">
        <x:f>E11-F11</x:f>
        <x:v>0.1961626058157855</x:v>
      </x:c>
      <x:c r="H11" s="19" t="str">
        <x:v>约提升 19.6 个百分点</x:v>
      </x:c>
    </x:row>
    <x:row r="12" ht="35" customHeight="1">
      <x:c r="A12" s="29" t="str">
        <x:v>估算境内销量</x:v>
      </x:c>
      <x:c r="B12" s="68" t="n">
        <x:v>419211</x:v>
      </x:c>
      <x:c r="C12" s="68" t="n">
        <x:v>180538</x:v>
      </x:c>
      <x:c r="D12" s="20" t="str">
        <x:v>总销量-出口</x:v>
      </x:c>
      <x:c r="E12" s="77" t="n">
        <x:f>B12-C12</x:f>
        <x:v>238673</x:v>
      </x:c>
      <x:c r="F12" s="83" t="n">
        <x:v>238673</x:v>
      </x:c>
      <x:c r="G12" s="89" t="n">
        <x:f>E12-F12</x:f>
        <x:v>0</x:v>
      </x:c>
      <x:c r="H12" s="20" t="str">
        <x:v>仅为算术拆分，不替代公司分地区披露</x:v>
      </x:c>
    </x:row>
    <x:row r="14" ht="24" customHeight="1">
      <x:c r="A14" s="11" t="str">
        <x:v>来源与口径限制</x:v>
      </x:c>
      <x:c r="B14" s="11" t="str">
        <x:v>来源与口径限制</x:v>
      </x:c>
      <x:c r="C14" s="11" t="str">
        <x:v>来源与口径限制</x:v>
      </x:c>
      <x:c r="D14" s="11" t="str">
        <x:v>来源与口径限制</x:v>
      </x:c>
      <x:c r="E14" s="11" t="str">
        <x:v>来源与口径限制</x:v>
      </x:c>
      <x:c r="F14" s="11" t="str">
        <x:v>来源与口径限制</x:v>
      </x:c>
      <x:c r="G14" s="11" t="str">
        <x:v>来源与口径限制</x:v>
      </x:c>
      <x:c r="H14" s="11" t="str">
        <x:v>来源与口径限制</x:v>
      </x:c>
    </x:row>
    <x:row r="15">
      <x:c r="A15" s="40" t="str">
        <x:v>2026 年一手公告</x:v>
      </x:c>
      <x:c r="B15" s="90" t="str">
        <x:v>https://static.cninfo.com.cn/finalpage/2026-08-03/1225452785.PDF</x:v>
      </x:c>
      <x:c r="C15" s="90"/>
      <x:c r="D15" s="90"/>
      <x:c r="E15" s="90"/>
      <x:c r="F15" s="90"/>
      <x:c r="G15" s="90"/>
      <x:c r="H15" s="90"/>
    </x:row>
    <x:row r="16">
      <x:c r="A16" s="41" t="str">
        <x:v>2025 年同比公告</x:v>
      </x:c>
      <x:c r="B16" s="91" t="str">
        <x:v>https://static.cninfo.com.cn/finalpage/2025-08-02/1224368797.PDF</x:v>
      </x:c>
      <x:c r="C16" s="91"/>
      <x:c r="D16" s="91"/>
      <x:c r="E16" s="91"/>
      <x:c r="F16" s="91"/>
      <x:c r="G16" s="91"/>
      <x:c r="H16" s="91"/>
    </x:row>
    <x:row r="17">
      <x:c r="A17" s="41" t="str">
        <x:v>二手研报快照</x:v>
      </x:c>
      <x:c r="B17" s="91" t="str">
        <x:v>https://data-api.investoday.net/data/report/research?id=2987199</x:v>
      </x:c>
      <x:c r="C17" s="91"/>
      <x:c r="D17" s="91"/>
      <x:c r="E17" s="91"/>
      <x:c r="F17" s="91"/>
      <x:c r="G17" s="91"/>
      <x:c r="H17" s="91"/>
    </x:row>
    <x:row r="18">
      <x:c r="A18" s="42" t="str">
        <x:v>公告限制</x:v>
      </x:c>
      <x:c r="B18" s="92" t="str">
        <x:v>产销量未经审核、未经审计，可能调整并有待最终确认。</x:v>
      </x:c>
      <x:c r="C18" s="92"/>
      <x:c r="D18" s="92"/>
      <x:c r="E18" s="92"/>
      <x:c r="F18" s="92"/>
      <x:c r="G18" s="92"/>
      <x:c r="H18" s="92"/>
    </x:row>
  </x:sheetData>
  <x:mergeCells>
    <x:mergeCell ref="A1:H1"/>
    <x:mergeCell ref="A3:H3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copilot_dev 待确认关系冻结快照</x:v>
      </x:c>
      <x:c r="B1" s="4" t="str">
        <x:v>copilot_dev 待确认关系冻结快照</x:v>
      </x:c>
      <x:c r="C1" s="4" t="str">
        <x:v>copilot_dev 待确认关系冻结快照</x:v>
      </x:c>
      <x:c r="D1" s="4" t="str">
        <x:v>copilot_dev 待确认关系冻结快照</x:v>
      </x:c>
      <x:c r="E1" s="4" t="str">
        <x:v>copilot_dev 待确认关系冻结快照</x:v>
      </x:c>
      <x:c r="F1" s="4" t="str">
        <x:v>copilot_dev 待确认关系冻结快照</x:v>
      </x:c>
      <x:c r="G1" s="4" t="str">
        <x:v>copilot_dev 待确认关系冻结快照</x:v>
      </x:c>
      <x:c r="H1" s="4" t="str">
        <x:v>copilot_dev 待确认关系冻结快照</x:v>
      </x:c>
    </x:row>
    <x:row r="3" ht="24" customHeight="1">
      <x:c r="A3" s="11" t="str">
        <x:v>只读审计字段</x:v>
      </x:c>
      <x:c r="B3" s="11" t="str">
        <x:v>只读审计字段</x:v>
      </x:c>
      <x:c r="C3" s="11" t="str">
        <x:v>只读审计字段</x:v>
      </x:c>
      <x:c r="D3" s="11" t="str">
        <x:v>只读审计字段</x:v>
      </x:c>
      <x:c r="E3" s="11" t="str">
        <x:v>只读审计字段</x:v>
      </x:c>
      <x:c r="F3" s="11" t="str">
        <x:v>只读审计字段</x:v>
      </x:c>
      <x:c r="G3" s="11" t="str">
        <x:v>只读审计字段</x:v>
      </x:c>
      <x:c r="H3" s="11" t="str">
        <x:v>只读审计字段</x:v>
      </x:c>
    </x:row>
    <x:row r="4" ht="30" customHeight="1">
      <x:c r="A4" s="40" t="str">
        <x:v>relation_id</x:v>
      </x:c>
      <x:c r="B4" s="43" t="str">
        <x:v>REL-ea2dd5a4df3547af</x:v>
      </x:c>
      <x:c r="C4" s="43"/>
      <x:c r="D4" s="43"/>
      <x:c r="E4" s="43"/>
      <x:c r="F4" s="43"/>
      <x:c r="G4" s="43"/>
      <x:c r="H4" s="43"/>
    </x:row>
    <x:row r="5" ht="30" customHeight="1">
      <x:c r="A5" s="41" t="str">
        <x:v>evidence_id</x:v>
      </x:c>
      <x:c r="B5" s="32" t="str">
        <x:v>EVD-962d09caf6a7c55f52f10cc9</x:v>
      </x:c>
      <x:c r="C5" s="32"/>
      <x:c r="D5" s="32"/>
      <x:c r="E5" s="32"/>
      <x:c r="F5" s="32"/>
      <x:c r="G5" s="32"/>
      <x:c r="H5" s="32"/>
    </x:row>
    <x:row r="6" ht="30" customHeight="1">
      <x:c r="A6" s="41" t="str">
        <x:v>security_id</x:v>
      </x:c>
      <x:c r="B6" s="32" t="str">
        <x:v>002594（深交所）</x:v>
      </x:c>
      <x:c r="C6" s="32"/>
      <x:c r="D6" s="32"/>
      <x:c r="E6" s="32"/>
      <x:c r="F6" s="32"/>
      <x:c r="G6" s="32"/>
      <x:c r="H6" s="32"/>
    </x:row>
    <x:row r="7" ht="30" customHeight="1">
      <x:c r="A7" s="41" t="str">
        <x:v>security_name</x:v>
      </x:c>
      <x:c r="B7" s="32" t="str">
        <x:v>比亚迪</x:v>
      </x:c>
      <x:c r="C7" s="32"/>
      <x:c r="D7" s="32"/>
      <x:c r="E7" s="32"/>
      <x:c r="F7" s="32"/>
      <x:c r="G7" s="32"/>
      <x:c r="H7" s="32"/>
    </x:row>
    <x:row r="8" ht="30" customHeight="1">
      <x:c r="A8" s="41" t="str">
        <x:v>thesis_id</x:v>
      </x:c>
      <x:c r="B8" s="32" t="str">
        <x:v>THS-002594-2026Q1</x:v>
      </x:c>
      <x:c r="C8" s="32"/>
      <x:c r="D8" s="32"/>
      <x:c r="E8" s="32"/>
      <x:c r="F8" s="32"/>
      <x:c r="G8" s="32"/>
      <x:c r="H8" s="32"/>
    </x:row>
    <x:row r="9" ht="30" customHeight="1">
      <x:c r="A9" s="41" t="str">
        <x:v>hypothesis_id</x:v>
      </x:c>
      <x:c r="B9" s="32" t="str">
        <x:v>THS-002594-2026Q1-H1-需求与出货</x:v>
      </x:c>
      <x:c r="C9" s="32"/>
      <x:c r="D9" s="32"/>
      <x:c r="E9" s="32"/>
      <x:c r="F9" s="32"/>
      <x:c r="G9" s="32"/>
      <x:c r="H9" s="32"/>
    </x:row>
    <x:row r="10" ht="42" customHeight="1">
      <x:c r="A10" s="41" t="str">
        <x:v>hypothesis_statement</x:v>
      </x:c>
      <x:c r="B10" s="32" t="str">
        <x:v>新能源汽车销量保持增长，出口占比提升对冲国内价格压力</x:v>
      </x:c>
      <x:c r="C10" s="32"/>
      <x:c r="D10" s="32"/>
      <x:c r="E10" s="32"/>
      <x:c r="F10" s="32"/>
      <x:c r="G10" s="32"/>
      <x:c r="H10" s="32"/>
    </x:row>
    <x:row r="11" ht="30" customHeight="1">
      <x:c r="A11" s="41" t="str">
        <x:v>candidate_direction</x:v>
      </x:c>
      <x:c r="B11" s="32" t="str">
        <x:v>支持</x:v>
      </x:c>
      <x:c r="C11" s="32"/>
      <x:c r="D11" s="32"/>
      <x:c r="E11" s="32"/>
      <x:c r="F11" s="32"/>
      <x:c r="G11" s="32"/>
      <x:c r="H11" s="32"/>
    </x:row>
    <x:row r="12" ht="30" customHeight="1">
      <x:c r="A12" s="41" t="str">
        <x:v>candidate_strength</x:v>
      </x:c>
      <x:c r="B12" s="32" t="str">
        <x:v>高</x:v>
      </x:c>
      <x:c r="C12" s="32"/>
      <x:c r="D12" s="32"/>
      <x:c r="E12" s="32"/>
      <x:c r="F12" s="32"/>
      <x:c r="G12" s="32"/>
      <x:c r="H12" s="32"/>
    </x:row>
    <x:row r="13" ht="30" customHeight="1">
      <x:c r="A13" s="41" t="str">
        <x:v>candidate_reason</x:v>
      </x:c>
      <x:c r="B13" s="32" t="str">
        <x:v>上传资料自动召回候选关联，待逻辑负责人核验</x:v>
      </x:c>
      <x:c r="C13" s="32"/>
      <x:c r="D13" s="32"/>
      <x:c r="E13" s="32"/>
      <x:c r="F13" s="32"/>
      <x:c r="G13" s="32"/>
      <x:c r="H13" s="32"/>
    </x:row>
    <x:row r="14" ht="54" customHeight="1">
      <x:c r="A14" s="41" t="str">
        <x:v>fact_excerpt</x:v>
      </x:c>
      <x:c r="B14" s="32" t="str">
        <x:v>研报称 2026 年 7 月销量 41.9 万辆、同比 +21.8%；出口约 18.0 万辆、约占总销量 43%；1—7 月累计销量 222.8 万辆、同比 -10.5%。</x:v>
      </x:c>
      <x:c r="C14" s="32"/>
      <x:c r="D14" s="32"/>
      <x:c r="E14" s="32"/>
      <x:c r="F14" s="32"/>
      <x:c r="G14" s="32"/>
      <x:c r="H14" s="32"/>
    </x:row>
    <x:row r="15" ht="30" customHeight="1">
      <x:c r="A15" s="41" t="str">
        <x:v>secondary_title</x:v>
      </x:c>
      <x:c r="B15" s="32" t="str">
        <x:v>比亚迪公司动态研究：7月海外销量续创新高 国内新车放量或开启</x:v>
      </x:c>
      <x:c r="C15" s="32"/>
      <x:c r="D15" s="32"/>
      <x:c r="E15" s="32"/>
      <x:c r="F15" s="32"/>
      <x:c r="G15" s="32"/>
      <x:c r="H15" s="32"/>
    </x:row>
    <x:row r="16" ht="42" customHeight="1">
      <x:c r="A16" s="41" t="str">
        <x:v>secondary_locator</x:v>
      </x:c>
      <x:c r="B16" s="32" t="str">
        <x:v>DOC-068a72d46f33497dac96e317d18d91ce#paragraph-5</x:v>
      </x:c>
      <x:c r="C16" s="32"/>
      <x:c r="D16" s="32"/>
      <x:c r="E16" s="32"/>
      <x:c r="F16" s="32"/>
      <x:c r="G16" s="32"/>
      <x:c r="H16" s="32"/>
    </x:row>
    <x:row r="17" ht="42" customHeight="1">
      <x:c r="A17" s="41" t="str">
        <x:v>secondary_url</x:v>
      </x:c>
      <x:c r="B17" s="32" t="str">
        <x:v>https://data-api.investoday.net/data/report/research?id=2987199</x:v>
      </x:c>
      <x:c r="C17" s="32"/>
      <x:c r="D17" s="32"/>
      <x:c r="E17" s="32"/>
      <x:c r="F17" s="32"/>
      <x:c r="G17" s="32"/>
      <x:c r="H17" s="32"/>
    </x:row>
    <x:row r="18" ht="30" customHeight="1">
      <x:c r="A18" s="41" t="str">
        <x:v>disclosed_at</x:v>
      </x:c>
      <x:c r="B18" s="32" t="str">
        <x:v>ISO 8601: 2026-08-07T18:23:04+08:00</x:v>
      </x:c>
      <x:c r="C18" s="32"/>
      <x:c r="D18" s="32"/>
      <x:c r="E18" s="32"/>
      <x:c r="F18" s="32"/>
      <x:c r="G18" s="32"/>
      <x:c r="H18" s="32"/>
    </x:row>
    <x:row r="19" ht="30" customHeight="1">
      <x:c r="A19" s="41" t="str">
        <x:v>ai_confidence</x:v>
      </x:c>
      <x:c r="B19" s="93" t="n">
        <x:v>0.8</x:v>
      </x:c>
      <x:c r="C19" s="32"/>
      <x:c r="D19" s="32"/>
      <x:c r="E19" s="32"/>
      <x:c r="F19" s="32"/>
      <x:c r="G19" s="32"/>
      <x:c r="H19" s="32"/>
    </x:row>
    <x:row r="20" ht="30" customHeight="1">
      <x:c r="A20" s="41" t="str">
        <x:v>model_version</x:v>
      </x:c>
      <x:c r="B20" s="32" t="str">
        <x:v>local-rule-v1</x:v>
      </x:c>
      <x:c r="C20" s="32"/>
      <x:c r="D20" s="32"/>
      <x:c r="E20" s="32"/>
      <x:c r="F20" s="32"/>
      <x:c r="G20" s="32"/>
      <x:c r="H20" s="32"/>
    </x:row>
    <x:row r="21" ht="30" customHeight="1">
      <x:c r="A21" s="41" t="str">
        <x:v>content_status</x:v>
      </x:c>
      <x:c r="B21" s="32" t="str">
        <x:v>完整正文</x:v>
      </x:c>
      <x:c r="C21" s="32"/>
      <x:c r="D21" s="32"/>
      <x:c r="E21" s="32"/>
      <x:c r="F21" s="32"/>
      <x:c r="G21" s="32"/>
      <x:c r="H21" s="32"/>
    </x:row>
    <x:row r="22" ht="42" customHeight="1">
      <x:c r="A22" s="41" t="str">
        <x:v>content_sha256</x:v>
      </x:c>
      <x:c r="B22" s="32" t="str">
        <x:v>d58c2dfa7cfd7e10c5e533ed8a83c7d178d49a111d29947ac44c0e8cae9b4a6d</x:v>
      </x:c>
      <x:c r="C22" s="32"/>
      <x:c r="D22" s="32"/>
      <x:c r="E22" s="32"/>
      <x:c r="F22" s="32"/>
      <x:c r="G22" s="32"/>
      <x:c r="H22" s="32"/>
    </x:row>
    <x:row r="23" ht="42" customHeight="1">
      <x:c r="A23" s="41" t="str">
        <x:v>revision_id</x:v>
      </x:c>
      <x:c r="B23" s="32" t="str">
        <x:v>DREV-7a27d413e16840c19cc55678af7cc8e3</x:v>
      </x:c>
      <x:c r="C23" s="32"/>
      <x:c r="D23" s="32"/>
      <x:c r="E23" s="32"/>
      <x:c r="F23" s="32"/>
      <x:c r="G23" s="32"/>
      <x:c r="H23" s="32"/>
    </x:row>
    <x:row r="24" ht="42" customHeight="1">
      <x:c r="A24" s="41" t="str">
        <x:v>object_key</x:v>
      </x:c>
      <x:c r="B24" s="32" t="str">
        <x:v>local/documents/4d/4d10ed8d9afaa1d6864d610697b228e326250c8f928cccdedadd52f49489ff1f.txt</x:v>
      </x:c>
      <x:c r="C24" s="32"/>
      <x:c r="D24" s="32"/>
      <x:c r="E24" s="32"/>
      <x:c r="F24" s="32"/>
      <x:c r="G24" s="32"/>
      <x:c r="H24" s="32"/>
    </x:row>
    <x:row r="25" ht="42" customHeight="1">
      <x:c r="A25" s="42" t="str">
        <x:v>object_version_id</x:v>
      </x:c>
      <x:c r="B25" s="44" t="str">
        <x:v>761f61b3-0ecc-47e5-a1b7-88894984919e</x:v>
      </x:c>
      <x:c r="C25" s="44"/>
      <x:c r="D25" s="44"/>
      <x:c r="E25" s="44"/>
      <x:c r="F25" s="44"/>
      <x:c r="G25" s="44"/>
      <x:c r="H25" s="44"/>
    </x:row>
  </x:sheetData>
  <x:mergeCells>
    <x:mergeCell ref="A1:H1"/>
    <x:mergeCell ref="A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5" hidden="0" customWidth="1"/>
    <x:col min="9" max="9" width="48" hidden="0" customWidth="1"/>
  </x:cols>
  <x:sheetData>
    <x:row r="1" ht="34" customHeight="1">
      <x:c r="A1" s="4" t="str">
        <x:v>第三只 A 股候选池概览（披露时间不晚于 2026-08-28）</x:v>
      </x:c>
      <x:c r="B1" s="4" t="str">
        <x:v>第三只 A 股候选池概览（披露时间不晚于 2026-08-28）</x:v>
      </x:c>
      <x:c r="C1" s="4" t="str">
        <x:v>第三只 A 股候选池概览（披露时间不晚于 2026-08-28）</x:v>
      </x:c>
      <x:c r="D1" s="4" t="str">
        <x:v>第三只 A 股候选池概览（披露时间不晚于 2026-08-28）</x:v>
      </x:c>
      <x:c r="E1" s="4" t="str">
        <x:v>第三只 A 股候选池概览（披露时间不晚于 2026-08-28）</x:v>
      </x:c>
      <x:c r="F1" s="4" t="str">
        <x:v>第三只 A 股候选池概览（披露时间不晚于 2026-08-28）</x:v>
      </x:c>
      <x:c r="G1" s="4" t="str">
        <x:v>第三只 A 股候选池概览（披露时间不晚于 2026-08-28）</x:v>
      </x:c>
      <x:c r="H1" s="4" t="str">
        <x:v>第三只 A 股候选池概览（披露时间不晚于 2026-08-28）</x:v>
      </x:c>
      <x:c r="I1" s="4" t="str">
        <x:v>第三只 A 股候选池概览（披露时间不晚于 2026-08-28）</x:v>
      </x:c>
    </x:row>
    <x:row r="3">
      <x:c r="A3" s="59" t="str">
        <x:v>统计来自 copilot_dev 只读查询；数量代表候选关系，不代表独立事实或有效信号。</x:v>
      </x:c>
      <x:c r="B3" s="59" t="str">
        <x:v>统计来自 copilot_dev 只读查询；数量代表候选关系，不代表独立事实或有效信号。</x:v>
      </x:c>
      <x:c r="C3" s="59" t="str">
        <x:v>统计来自 copilot_dev 只读查询；数量代表候选关系，不代表独立事实或有效信号。</x:v>
      </x:c>
      <x:c r="D3" s="59" t="str">
        <x:v>统计来自 copilot_dev 只读查询；数量代表候选关系，不代表独立事实或有效信号。</x:v>
      </x:c>
      <x:c r="E3" s="59" t="str">
        <x:v>统计来自 copilot_dev 只读查询；数量代表候选关系，不代表独立事实或有效信号。</x:v>
      </x:c>
      <x:c r="F3" s="59" t="str">
        <x:v>统计来自 copilot_dev 只读查询；数量代表候选关系，不代表独立事实或有效信号。</x:v>
      </x:c>
      <x:c r="G3" s="59" t="str">
        <x:v>统计来自 copilot_dev 只读查询；数量代表候选关系，不代表独立事实或有效信号。</x:v>
      </x:c>
      <x:c r="H3" s="59" t="str">
        <x:v>统计来自 copilot_dev 只读查询；数量代表候选关系，不代表独立事实或有效信号。</x:v>
      </x:c>
      <x:c r="I3" s="59" t="str">
        <x:v>统计来自 copilot_dev 只读查询；数量代表候选关系，不代表独立事实或有效信号。</x:v>
      </x:c>
    </x:row>
    <x:row r="5">
      <x:c r="A5" s="65" t="str">
        <x:v>证券</x:v>
      </x:c>
      <x:c r="B5" s="65" t="str">
        <x:v>名称</x:v>
      </x:c>
      <x:c r="C5" s="65" t="str">
        <x:v>合格待确认</x:v>
      </x:c>
      <x:c r="D5" s="65" t="str">
        <x:v>高强度</x:v>
      </x:c>
      <x:c r="E5" s="65" t="str">
        <x:v>核心假设</x:v>
      </x:c>
      <x:c r="F5" s="65" t="str">
        <x:v>完整正文</x:v>
      </x:c>
      <x:c r="G5" s="65" t="str">
        <x:v>AI≥0.90</x:v>
      </x:c>
      <x:c r="H5" s="65" t="str">
        <x:v>最新披露</x:v>
      </x:c>
      <x:c r="I5" s="65" t="str">
        <x:v>选择说明</x:v>
      </x:c>
    </x:row>
    <x:row r="6" ht="42" customHeight="1">
      <x:c r="A6" s="94" t="str">
        <x:v>SZSE:002594</x:v>
      </x:c>
      <x:c r="B6" s="94" t="str">
        <x:v>比亚迪</x:v>
      </x:c>
      <x:c r="C6" s="95" t="n">
        <x:v>81</x:v>
      </x:c>
      <x:c r="D6" s="95" t="n">
        <x:v>6</x:v>
      </x:c>
      <x:c r="E6" s="95" t="n">
        <x:v>66</x:v>
      </x:c>
      <x:c r="F6" s="95" t="n">
        <x:v>45</x:v>
      </x:c>
      <x:c r="G6" s="95" t="n">
        <x:v>0</x:v>
      </x:c>
      <x:c r="H6" s="94" t="str">
        <x:v>2026-08-28 18:03:58+08</x:v>
      </x:c>
      <x:c r="I6" s="94" t="str">
        <x:v>已选：行业分散；有一手月度产销公告可交叉核验</x:v>
      </x:c>
    </x:row>
    <x:row r="7" ht="42" customHeight="1">
      <x:c r="A7" s="32" t="str">
        <x:v>SZSE:002371</x:v>
      </x:c>
      <x:c r="B7" s="32" t="str">
        <x:v>北方华创</x:v>
      </x:c>
      <x:c r="C7" s="96" t="n">
        <x:v>114</x:v>
      </x:c>
      <x:c r="D7" s="96" t="n">
        <x:v>6</x:v>
      </x:c>
      <x:c r="E7" s="96" t="n">
        <x:v>78</x:v>
      </x:c>
      <x:c r="F7" s="96" t="n">
        <x:v>96</x:v>
      </x:c>
      <x:c r="G7" s="96" t="n">
        <x:v>3</x:v>
      </x:c>
      <x:c r="H7" s="32" t="str">
        <x:v>2026-08-28 22:22:01+08</x:v>
      </x:c>
      <x:c r="I7" s="32" t="str">
        <x:v>备选：证据更完整，但与现有中芯国际同属半导体链</x:v>
      </x:c>
    </x:row>
    <x:row r="8" ht="42" customHeight="1">
      <x:c r="A8" s="19" t="str">
        <x:v>SZSE:000538</x:v>
      </x:c>
      <x:c r="B8" s="19" t="str">
        <x:v>云南白药</x:v>
      </x:c>
      <x:c r="C8" s="67" t="n">
        <x:v>14</x:v>
      </x:c>
      <x:c r="D8" s="67" t="n">
        <x:v>0</x:v>
      </x:c>
      <x:c r="E8" s="67" t="n">
        <x:v>13</x:v>
      </x:c>
      <x:c r="F8" s="67" t="n">
        <x:v>0</x:v>
      </x:c>
      <x:c r="G8" s="67" t="n">
        <x:v>0</x:v>
      </x:c>
      <x:c r="H8" s="19" t="str">
        <x:v>2026-04-21 00:00:00+08</x:v>
      </x:c>
      <x:c r="I8" s="19" t="str">
        <x:v>未选：没有完整正文或高强度候选</x:v>
      </x:c>
    </x:row>
    <x:row r="9" ht="42" customHeight="1">
      <x:c r="A9" s="19" t="str">
        <x:v>SHSE:603259</x:v>
      </x:c>
      <x:c r="B9" s="19" t="str">
        <x:v>药明康德</x:v>
      </x:c>
      <x:c r="C9" s="67" t="n">
        <x:v>12</x:v>
      </x:c>
      <x:c r="D9" s="67" t="n">
        <x:v>0</x:v>
      </x:c>
      <x:c r="E9" s="67" t="n">
        <x:v>12</x:v>
      </x:c>
      <x:c r="F9" s="67" t="n">
        <x:v>0</x:v>
      </x:c>
      <x:c r="G9" s="67" t="n">
        <x:v>0</x:v>
      </x:c>
      <x:c r="H9" s="19" t="str">
        <x:v>2026-08-04 00:00:00+08</x:v>
      </x:c>
      <x:c r="I9" s="19" t="str">
        <x:v>未选：没有完整正文或高强度候选</x:v>
      </x:c>
    </x:row>
    <x:row r="10" ht="42" customHeight="1">
      <x:c r="A10" s="20" t="str">
        <x:v>SHSE:603986</x:v>
      </x:c>
      <x:c r="B10" s="20" t="str">
        <x:v>兆易创新</x:v>
      </x:c>
      <x:c r="C10" s="68" t="n">
        <x:v>14</x:v>
      </x:c>
      <x:c r="D10" s="68" t="n">
        <x:v>0</x:v>
      </x:c>
      <x:c r="E10" s="68" t="n">
        <x:v>11</x:v>
      </x:c>
      <x:c r="F10" s="68" t="n">
        <x:v>0</x:v>
      </x:c>
      <x:c r="G10" s="68" t="n">
        <x:v>0</x:v>
      </x:c>
      <x:c r="H10" s="20" t="str">
        <x:v>2026-07-22 00:00:00+08</x:v>
      </x:c>
      <x:c r="I10" s="20" t="str">
        <x:v>未选：没有完整正文或高强度候选</x:v>
      </x:c>
    </x:row>
    <x:row r="12" ht="24" customHeight="1">
      <x:c r="A12" s="11" t="str">
        <x:v>选择边界</x:v>
      </x:c>
      <x:c r="B12" s="11" t="str">
        <x:v>选择边界</x:v>
      </x:c>
      <x:c r="C12" s="11" t="str">
        <x:v>选择边界</x:v>
      </x:c>
      <x:c r="D12" s="11" t="str">
        <x:v>选择边界</x:v>
      </x:c>
      <x:c r="E12" s="11" t="str">
        <x:v>选择边界</x:v>
      </x:c>
      <x:c r="F12" s="11" t="str">
        <x:v>选择边界</x:v>
      </x:c>
      <x:c r="G12" s="11" t="str">
        <x:v>选择边界</x:v>
      </x:c>
      <x:c r="H12" s="11" t="str">
        <x:v>选择边界</x:v>
      </x:c>
      <x:c r="I12" s="11" t="str">
        <x:v>选择边界</x:v>
      </x:c>
    </x:row>
    <x:row r="13" ht="36" customHeight="1">
      <x:c r="A13" s="40" t="str">
        <x:v>行业分散</x:v>
      </x:c>
      <x:c r="B13" s="18" t="str">
        <x:v>现有正式证券为恒瑞医药和中芯国际；比亚迪新增新能源汽车行业。</x:v>
      </x:c>
      <x:c r="C13" s="18"/>
      <x:c r="D13" s="18"/>
      <x:c r="E13" s="18"/>
      <x:c r="F13" s="18"/>
      <x:c r="G13" s="18"/>
      <x:c r="H13" s="18"/>
      <x:c r="I13" s="18"/>
    </x:row>
    <x:row r="14" ht="36" customHeight="1">
      <x:c r="A14" s="41" t="str">
        <x:v>一手可核验</x:v>
      </x:c>
      <x:c r="B14" s="19" t="str">
        <x:v>2026/2025 年 7 月公司产销快报可复算月度同比、累计同比和出口占比。</x:v>
      </x:c>
      <x:c r="C14" s="19"/>
      <x:c r="D14" s="19"/>
      <x:c r="E14" s="19"/>
      <x:c r="F14" s="19"/>
      <x:c r="G14" s="19"/>
      <x:c r="H14" s="19"/>
      <x:c r="I14" s="19"/>
    </x:row>
    <x:row r="15" ht="36" customHeight="1">
      <x:c r="A15" s="41" t="str">
        <x:v>不是自动通过</x:v>
      </x:c>
      <x:c r="B15" s="19" t="str">
        <x:v>AI 置信度和候选强度不构成人工结论；累计销量下降可能要求降强度或改方向。</x:v>
      </x:c>
      <x:c r="C15" s="19"/>
      <x:c r="D15" s="19"/>
      <x:c r="E15" s="19"/>
      <x:c r="F15" s="19"/>
      <x:c r="G15" s="19"/>
      <x:c r="H15" s="19"/>
      <x:c r="I15" s="19"/>
    </x:row>
    <x:row r="16" ht="36" customHeight="1">
      <x:c r="A16" s="42" t="str">
        <x:v>不能直接用于 v3</x:v>
      </x:c>
      <x:c r="B16" s="20" t="str">
        <x:v>新的人工确认发生在 v3 行情截止日之后，必须由后续行情版本承接。</x:v>
      </x:c>
      <x:c r="C16" s="20"/>
      <x:c r="D16" s="20"/>
      <x:c r="E16" s="20"/>
      <x:c r="F16" s="20"/>
      <x:c r="G16" s="20"/>
      <x:c r="H16" s="20"/>
      <x:c r="I16" s="20"/>
    </x:row>
  </x:sheetData>
  <x:mergeCells>
    <x:mergeCell ref="A1:I1"/>
    <x:mergeCell ref="A3:I3"/>
    <x:mergeCell ref="A12:I12"/>
    <x:mergeCell ref="B13:I13"/>
    <x:mergeCell ref="B14:I14"/>
    <x:mergeCell ref="B15:I15"/>
    <x:mergeCell ref="B16:I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4" hidden="0" customWidth="1"/>
    <x:col min="4" max="4" width="14" hidden="0" customWidth="1"/>
    <x:col min="5" max="5" width="14" hidden="0" customWidth="1"/>
    <x:col min="6" max="6" width="45" hidden="0" customWidth="1"/>
  </x:cols>
  <x:sheetData>
    <x:row r="1" ht="34" customHeight="1">
      <x:c r="A1" s="4" t="str">
        <x:v>研究员回传完整性检查</x:v>
      </x:c>
      <x:c r="B1" s="4" t="str">
        <x:v>研究员回传完整性检查</x:v>
      </x:c>
      <x:c r="C1" s="4" t="str">
        <x:v>研究员回传完整性检查</x:v>
      </x:c>
      <x:c r="D1" s="4" t="str">
        <x:v>研究员回传完整性检查</x:v>
      </x:c>
      <x:c r="E1" s="4" t="str">
        <x:v>研究员回传完整性检查</x:v>
      </x:c>
      <x:c r="F1" s="4" t="str">
        <x:v>研究员回传完整性检查</x:v>
      </x:c>
    </x:row>
    <x:row r="3">
      <x:c r="A3" s="59" t="str">
        <x:v>所有必填项为 OK 后再回传；本页只检查填写完整性，不判断研究结论是否正确。</x:v>
      </x:c>
      <x:c r="B3" s="59" t="str">
        <x:v>所有必填项为 OK 后再回传；本页只检查填写完整性，不判断研究结论是否正确。</x:v>
      </x:c>
      <x:c r="C3" s="59" t="str">
        <x:v>所有必填项为 OK 后再回传；本页只检查填写完整性，不判断研究结论是否正确。</x:v>
      </x:c>
      <x:c r="D3" s="59" t="str">
        <x:v>所有必填项为 OK 后再回传；本页只检查填写完整性，不判断研究结论是否正确。</x:v>
      </x:c>
      <x:c r="E3" s="59" t="str">
        <x:v>所有必填项为 OK 后再回传；本页只检查填写完整性，不判断研究结论是否正确。</x:v>
      </x:c>
      <x:c r="F3" s="59" t="str">
        <x:v>所有必填项为 OK 后再回传；本页只检查填写完整性，不判断研究结论是否正确。</x:v>
      </x:c>
    </x:row>
    <x:row r="5">
      <x:c r="A5" s="65" t="str">
        <x:v>编号</x:v>
      </x:c>
      <x:c r="B5" s="65" t="str">
        <x:v>检查项</x:v>
      </x:c>
      <x:c r="C5" s="65" t="str">
        <x:v>输入位置</x:v>
      </x:c>
      <x:c r="D5" s="65" t="str">
        <x:v>状态</x:v>
      </x:c>
      <x:c r="E5" s="65" t="str">
        <x:v>要求</x:v>
      </x:c>
      <x:c r="F5" s="65" t="str">
        <x:v>修复提示</x:v>
      </x:c>
    </x:row>
    <x:row r="6" ht="30" customHeight="1">
      <x:c r="A6" s="97" t="n">
        <x:v>1</x:v>
      </x:c>
      <x:c r="B6" s="18" t="str">
        <x:v>一手来源核验</x:v>
      </x:c>
      <x:c r="C6" s="18" t="str">
        <x:v>复核结论!B19</x:v>
      </x:c>
      <x:c r="D6" s="100" t="str">
        <x:f>IF('复核结论'!B19&lt;&gt;"","OK","待填写")</x:f>
        <x:v>OK</x:v>
      </x:c>
      <x:c r="E6" s="18" t="str">
        <x:v>必填</x:v>
      </x:c>
      <x:c r="F6" s="18" t="str">
        <x:v>选择 是 / 否 / 无法确认</x:v>
      </x:c>
    </x:row>
    <x:row r="7" ht="30" customHeight="1">
      <x:c r="A7" s="98" t="n">
        <x:v>2</x:v>
      </x:c>
      <x:c r="B7" s="19" t="str">
        <x:v>复核决定</x:v>
      </x:c>
      <x:c r="C7" s="19" t="str">
        <x:v>复核结论!B20</x:v>
      </x:c>
      <x:c r="D7" s="101" t="str">
        <x:f>IF('复核结论'!B20&lt;&gt;"","OK","待填写")</x:f>
        <x:v>OK</x:v>
      </x:c>
      <x:c r="E7" s="19" t="str">
        <x:v>必填</x:v>
      </x:c>
      <x:c r="F7" s="19" t="str">
        <x:v>选择 通过 / 修改 / 拒绝 / 暂不判断</x:v>
      </x:c>
    </x:row>
    <x:row r="8" ht="30" customHeight="1">
      <x:c r="A8" s="98" t="n">
        <x:v>3</x:v>
      </x:c>
      <x:c r="B8" s="19" t="str">
        <x:v>复核方向</x:v>
      </x:c>
      <x:c r="C8" s="19" t="str">
        <x:v>复核结论!B21</x:v>
      </x:c>
      <x:c r="D8" s="101" t="str">
        <x:f>IF('复核结论'!B21&lt;&gt;"","OK","待填写")</x:f>
        <x:v>OK</x:v>
      </x:c>
      <x:c r="E8" s="19" t="str">
        <x:v>必填</x:v>
      </x:c>
      <x:c r="F8" s="19" t="str">
        <x:v>选择 支持 / 冲突 / 中性 / 无关</x:v>
      </x:c>
    </x:row>
    <x:row r="9" ht="30" customHeight="1">
      <x:c r="A9" s="98" t="n">
        <x:v>4</x:v>
      </x:c>
      <x:c r="B9" s="19" t="str">
        <x:v>复核强度</x:v>
      </x:c>
      <x:c r="C9" s="19" t="str">
        <x:v>复核结论!B22</x:v>
      </x:c>
      <x:c r="D9" s="101" t="str">
        <x:f>IF('复核结论'!B22&lt;&gt;"","OK","待填写")</x:f>
        <x:v>OK</x:v>
      </x:c>
      <x:c r="E9" s="19" t="str">
        <x:v>必填</x:v>
      </x:c>
      <x:c r="F9" s="19" t="str">
        <x:v>选择 高 / 中 / 低</x:v>
      </x:c>
    </x:row>
    <x:row r="10" ht="30" customHeight="1">
      <x:c r="A10" s="98" t="n">
        <x:v>5</x:v>
      </x:c>
      <x:c r="B10" s="19" t="str">
        <x:v>一手定位</x:v>
      </x:c>
      <x:c r="C10" s="19" t="str">
        <x:v>复核结论!B23</x:v>
      </x:c>
      <x:c r="D10" s="101" t="str">
        <x:f>IF('复核结论'!B23&lt;&gt;"","OK","待填写")</x:f>
        <x:v>OK</x:v>
      </x:c>
      <x:c r="E10" s="19" t="str">
        <x:v>必填</x:v>
      </x:c>
      <x:c r="F10" s="19" t="str">
        <x:v>填写公告页码、表格或行</x:v>
      </x:c>
    </x:row>
    <x:row r="11" ht="30" customHeight="1">
      <x:c r="A11" s="98" t="n">
        <x:v>6</x:v>
      </x:c>
      <x:c r="B11" s="19" t="str">
        <x:v>复核理由</x:v>
      </x:c>
      <x:c r="C11" s="19" t="str">
        <x:v>复核结论!B24</x:v>
      </x:c>
      <x:c r="D11" s="101" t="str">
        <x:f>IF('复核结论'!B24&lt;&gt;"","OK","待填写")</x:f>
        <x:v>OK</x:v>
      </x:c>
      <x:c r="E11" s="19" t="str">
        <x:v>必填</x:v>
      </x:c>
      <x:c r="F11" s="19" t="str">
        <x:v>同时回应支持事实、相反事实和限制</x:v>
      </x:c>
    </x:row>
    <x:row r="12" ht="30" customHeight="1">
      <x:c r="A12" s="98" t="n">
        <x:v>7</x:v>
      </x:c>
      <x:c r="B12" s="19" t="str">
        <x:v>研究员姓名</x:v>
      </x:c>
      <x:c r="C12" s="19" t="str">
        <x:v>复核结论!B26</x:v>
      </x:c>
      <x:c r="D12" s="101" t="str">
        <x:f>IF('复核结论'!B26&lt;&gt;"","OK","待填写")</x:f>
        <x:v>OK</x:v>
      </x:c>
      <x:c r="E12" s="19" t="str">
        <x:v>必填</x:v>
      </x:c>
      <x:c r="F12" s="19" t="str">
        <x:v>填写真实姓名或约定研究员编号</x:v>
      </x:c>
    </x:row>
    <x:row r="13" ht="30" customHeight="1">
      <x:c r="A13" s="99" t="n">
        <x:v>8</x:v>
      </x:c>
      <x:c r="B13" s="20" t="str">
        <x:v>复核时间</x:v>
      </x:c>
      <x:c r="C13" s="20" t="str">
        <x:v>复核结论!B27</x:v>
      </x:c>
      <x:c r="D13" s="102" t="str">
        <x:f>IF('复核结论'!B27&lt;&gt;"","OK","待填写")</x:f>
        <x:v>OK</x:v>
      </x:c>
      <x:c r="E13" s="20" t="str">
        <x:v>必填</x:v>
      </x:c>
      <x:c r="F13" s="20" t="str">
        <x:v>填写带时区 ISO 8601 时间</x:v>
      </x:c>
    </x:row>
    <x:row r="15" ht="30" customHeight="1">
      <x:c r="A15" s="103" t="str">
        <x:v>回传状态</x:v>
      </x:c>
      <x:c r="B15" s="103" t="str">
        <x:v>回传状态</x:v>
      </x:c>
      <x:c r="C15" s="103" t="str">
        <x:v>回传状态</x:v>
      </x:c>
      <x:c r="D15" s="105" t="str">
        <x:f>IF(COUNTIF(D6:D13,"OK")=8,"OK","待填写")</x:f>
        <x:v>OK</x:v>
      </x:c>
      <x:c r="E15" s="105"/>
      <x:c r="F15" s="105"/>
    </x:row>
  </x:sheetData>
  <x:mergeCells>
    <x:mergeCell ref="A1:F1"/>
    <x:mergeCell ref="A3:F3"/>
    <x:mergeCell ref="A15:C15"/>
    <x:mergeCell ref="D15:F15"/>
  </x:mergeCells>
  <x:conditionalFormatting sqref="D6:D13">
    <x:cfRule type="containsText" dxfId="0" priority="1" operator="containsText" text="OK"/>
    <x:cfRule type="containsText" dxfId="1" priority="2" operator="containsText" text="待填写"/>
  </x:conditionalFormatting>
  <x:conditionalFormatting sqref="D15:F15">
    <x:cfRule type="containsText" dxfId="2" priority="3" operator="containsText" text="OK"/>
  </x:conditionalFormatting>
  <x:pageMargins left="0.7" right="0.7" top="0.75" bottom="0.75" header="0.3" footer="0.3"/>
</x:worksheet>
</file>